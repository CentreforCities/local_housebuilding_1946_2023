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centreforcities.sharepoint.com/sites/CentreForCities3/Shared Documents/Research/Housing/Theme Data/CfC Historical Datasets 1946-2023/"/>
    </mc:Choice>
  </mc:AlternateContent>
  <xr:revisionPtr revIDLastSave="5" documentId="8_{418BD5BF-690B-47F5-9F40-997A790A418A}" xr6:coauthVersionLast="47" xr6:coauthVersionMax="47" xr10:uidLastSave="{4B7BBCA0-FBDF-488E-A94C-21C565922657}"/>
  <bookViews>
    <workbookView xWindow="-120" yWindow="-120" windowWidth="51840" windowHeight="21120" xr2:uid="{EAE98991-CC3A-404A-82F8-D718CFCCDFDD}"/>
  </bookViews>
  <sheets>
    <sheet name="london_22"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A25" i="1" l="1"/>
  <c r="DV25" i="1"/>
  <c r="DR25" i="1"/>
  <c r="DG25" i="1"/>
  <c r="DB25" i="1"/>
  <c r="CX25" i="1"/>
  <c r="BX25" i="1"/>
  <c r="BW25" i="1"/>
  <c r="BV25" i="1"/>
  <c r="BU25" i="1"/>
  <c r="BT25" i="1"/>
  <c r="BS25" i="1"/>
  <c r="BR25" i="1"/>
  <c r="BQ25" i="1"/>
  <c r="BN25" i="1"/>
  <c r="BJ25" i="1"/>
  <c r="BC25" i="1"/>
  <c r="AY25" i="1"/>
  <c r="EW24" i="1"/>
  <c r="EV24" i="1"/>
  <c r="EU24" i="1"/>
  <c r="ET24" i="1"/>
  <c r="EP24" i="1"/>
  <c r="EK24" i="1"/>
  <c r="EJ24" i="1"/>
  <c r="EI24" i="1"/>
  <c r="EE24" i="1"/>
  <c r="ED24" i="1"/>
  <c r="EC24" i="1"/>
  <c r="EB24" i="1"/>
  <c r="EA24" i="1"/>
  <c r="DZ24" i="1"/>
  <c r="DV24" i="1"/>
  <c r="DQ24" i="1"/>
  <c r="DP24" i="1"/>
  <c r="DO24" i="1"/>
  <c r="DK24" i="1"/>
  <c r="DJ24" i="1"/>
  <c r="DI24" i="1"/>
  <c r="DH24" i="1"/>
  <c r="DG24" i="1"/>
  <c r="DF24" i="1"/>
  <c r="DB24" i="1"/>
  <c r="CW24" i="1"/>
  <c r="CV24" i="1"/>
  <c r="CU24" i="1"/>
  <c r="CP24" i="1"/>
  <c r="CO24" i="1"/>
  <c r="CN24" i="1"/>
  <c r="EW23" i="1"/>
  <c r="EV23" i="1"/>
  <c r="EU23" i="1"/>
  <c r="ET23" i="1"/>
  <c r="ES23" i="1"/>
  <c r="ER23" i="1"/>
  <c r="EQ23" i="1"/>
  <c r="EG23" i="1"/>
  <c r="EF23" i="1"/>
  <c r="EC23" i="1"/>
  <c r="EB23" i="1"/>
  <c r="DZ23" i="1"/>
  <c r="DY23" i="1"/>
  <c r="DX23" i="1"/>
  <c r="DW23" i="1"/>
  <c r="DM23" i="1"/>
  <c r="DL23" i="1"/>
  <c r="DI23" i="1"/>
  <c r="DH23" i="1"/>
  <c r="DF23" i="1"/>
  <c r="DE23" i="1"/>
  <c r="DD23" i="1"/>
  <c r="DC23" i="1"/>
  <c r="CS23" i="1"/>
  <c r="CR23" i="1"/>
  <c r="CO23" i="1"/>
  <c r="CN23" i="1"/>
  <c r="EW21" i="1"/>
  <c r="EW25" i="1" s="1"/>
  <c r="EV21" i="1"/>
  <c r="EV25" i="1" s="1"/>
  <c r="EU21" i="1"/>
  <c r="EU25" i="1" s="1"/>
  <c r="ET21" i="1"/>
  <c r="ET25" i="1" s="1"/>
  <c r="ES21" i="1"/>
  <c r="ES25" i="1" s="1"/>
  <c r="ER21" i="1"/>
  <c r="ER25" i="1" s="1"/>
  <c r="EQ21" i="1"/>
  <c r="EQ25" i="1" s="1"/>
  <c r="EP21" i="1"/>
  <c r="EP25" i="1" s="1"/>
  <c r="EO21" i="1"/>
  <c r="EO25" i="1" s="1"/>
  <c r="EN21" i="1"/>
  <c r="EN25" i="1" s="1"/>
  <c r="EM21" i="1"/>
  <c r="EL21" i="1"/>
  <c r="EL25" i="1" s="1"/>
  <c r="EK21" i="1"/>
  <c r="EK25" i="1" s="1"/>
  <c r="EJ21" i="1"/>
  <c r="EJ25" i="1" s="1"/>
  <c r="EI21" i="1"/>
  <c r="EH21" i="1"/>
  <c r="EH25" i="1" s="1"/>
  <c r="EG21" i="1"/>
  <c r="EG25" i="1" s="1"/>
  <c r="EF21" i="1"/>
  <c r="EE21" i="1"/>
  <c r="EE25" i="1" s="1"/>
  <c r="ED21" i="1"/>
  <c r="ED25" i="1" s="1"/>
  <c r="EC21" i="1"/>
  <c r="EC25" i="1" s="1"/>
  <c r="EB21" i="1"/>
  <c r="EB25" i="1" s="1"/>
  <c r="EA21" i="1"/>
  <c r="DZ21" i="1"/>
  <c r="DZ25" i="1" s="1"/>
  <c r="DY21" i="1"/>
  <c r="DY25" i="1" s="1"/>
  <c r="DX21" i="1"/>
  <c r="DX25" i="1" s="1"/>
  <c r="DW21" i="1"/>
  <c r="DW25" i="1" s="1"/>
  <c r="DV21" i="1"/>
  <c r="DU21" i="1"/>
  <c r="DU25" i="1" s="1"/>
  <c r="DT21" i="1"/>
  <c r="DT25" i="1" s="1"/>
  <c r="DS21" i="1"/>
  <c r="DR21" i="1"/>
  <c r="DQ21" i="1"/>
  <c r="DQ25" i="1" s="1"/>
  <c r="DP21" i="1"/>
  <c r="DP25" i="1" s="1"/>
  <c r="DO21" i="1"/>
  <c r="DN21" i="1"/>
  <c r="DN25" i="1" s="1"/>
  <c r="DM21" i="1"/>
  <c r="DM25" i="1" s="1"/>
  <c r="DL21" i="1"/>
  <c r="DK21" i="1"/>
  <c r="DK25" i="1" s="1"/>
  <c r="DJ21" i="1"/>
  <c r="DJ25" i="1" s="1"/>
  <c r="DI21" i="1"/>
  <c r="DI25" i="1" s="1"/>
  <c r="DH21" i="1"/>
  <c r="DH25" i="1" s="1"/>
  <c r="DG21" i="1"/>
  <c r="DF21" i="1"/>
  <c r="DF25" i="1" s="1"/>
  <c r="DE21" i="1"/>
  <c r="DE25" i="1" s="1"/>
  <c r="DD21" i="1"/>
  <c r="DD25" i="1" s="1"/>
  <c r="DC21" i="1"/>
  <c r="DC25" i="1" s="1"/>
  <c r="DB21" i="1"/>
  <c r="DA21" i="1"/>
  <c r="DA25" i="1" s="1"/>
  <c r="CZ21" i="1"/>
  <c r="CZ25" i="1" s="1"/>
  <c r="CY21" i="1"/>
  <c r="CX21" i="1"/>
  <c r="CW21" i="1"/>
  <c r="CW25" i="1" s="1"/>
  <c r="CV21" i="1"/>
  <c r="CV25" i="1" s="1"/>
  <c r="CU21" i="1"/>
  <c r="CT21" i="1"/>
  <c r="CT25" i="1" s="1"/>
  <c r="CS21" i="1"/>
  <c r="CS25" i="1" s="1"/>
  <c r="CR21" i="1"/>
  <c r="CQ21" i="1"/>
  <c r="CQ25" i="1" s="1"/>
  <c r="CP21" i="1"/>
  <c r="CP25" i="1" s="1"/>
  <c r="CO21" i="1"/>
  <c r="CO25" i="1" s="1"/>
  <c r="CN21" i="1"/>
  <c r="CN25" i="1" s="1"/>
  <c r="CM21" i="1"/>
  <c r="CL21" i="1"/>
  <c r="CK21" i="1"/>
  <c r="CJ21" i="1"/>
  <c r="CI21" i="1"/>
  <c r="CH21" i="1"/>
  <c r="CG21" i="1"/>
  <c r="CF21" i="1"/>
  <c r="CE21" i="1"/>
  <c r="CD21" i="1"/>
  <c r="CC21" i="1"/>
  <c r="CB21" i="1"/>
  <c r="CB25" i="1" s="1"/>
  <c r="CA21" i="1"/>
  <c r="BZ21" i="1"/>
  <c r="BY21" i="1"/>
  <c r="BY25" i="1" s="1"/>
  <c r="CJ13" i="1"/>
  <c r="CJ7" i="1" s="1"/>
  <c r="CJ23" i="1" s="1"/>
  <c r="CE13" i="1"/>
  <c r="CD13" i="1"/>
  <c r="CD7" i="1" s="1"/>
  <c r="CD23" i="1" s="1"/>
  <c r="CC13" i="1"/>
  <c r="CC7" i="1" s="1"/>
  <c r="CC23" i="1" s="1"/>
  <c r="CB13" i="1"/>
  <c r="CB7" i="1" s="1"/>
  <c r="CB23" i="1" s="1"/>
  <c r="CA13" i="1"/>
  <c r="CA7" i="1" s="1"/>
  <c r="CA23" i="1" s="1"/>
  <c r="CE12" i="1"/>
  <c r="CE6" i="1" s="1"/>
  <c r="CD12" i="1"/>
  <c r="CD6" i="1" s="1"/>
  <c r="CA12" i="1"/>
  <c r="CA6" i="1" s="1"/>
  <c r="BY12" i="1"/>
  <c r="CM10" i="1"/>
  <c r="CM12" i="1" s="1"/>
  <c r="CM6" i="1" s="1"/>
  <c r="CL10" i="1"/>
  <c r="CL12" i="1" s="1"/>
  <c r="CL6" i="1" s="1"/>
  <c r="CL24" i="1" s="1"/>
  <c r="CK10" i="1"/>
  <c r="CK13" i="1" s="1"/>
  <c r="CK7" i="1" s="1"/>
  <c r="CK23" i="1" s="1"/>
  <c r="CJ10" i="1"/>
  <c r="CI10" i="1"/>
  <c r="CH10" i="1"/>
  <c r="CH13" i="1" s="1"/>
  <c r="CH7" i="1" s="1"/>
  <c r="CH23" i="1" s="1"/>
  <c r="CG10" i="1"/>
  <c r="CG13" i="1" s="1"/>
  <c r="CG7" i="1" s="1"/>
  <c r="CG23" i="1" s="1"/>
  <c r="CF10" i="1"/>
  <c r="CE10" i="1"/>
  <c r="CD10" i="1"/>
  <c r="CC10" i="1"/>
  <c r="CB10" i="1"/>
  <c r="CA10" i="1"/>
  <c r="BZ10" i="1"/>
  <c r="BZ12" i="1" s="1"/>
  <c r="BZ6" i="1" s="1"/>
  <c r="BZ24" i="1" s="1"/>
  <c r="BY10" i="1"/>
  <c r="BY13" i="1" s="1"/>
  <c r="BY7" i="1" s="1"/>
  <c r="BY23" i="1" s="1"/>
  <c r="CM9" i="1"/>
  <c r="CL9" i="1"/>
  <c r="CK9" i="1"/>
  <c r="CK12" i="1" s="1"/>
  <c r="CK6" i="1" s="1"/>
  <c r="CK24" i="1" s="1"/>
  <c r="CJ9" i="1"/>
  <c r="CJ12" i="1" s="1"/>
  <c r="CJ6" i="1" s="1"/>
  <c r="CJ24" i="1" s="1"/>
  <c r="CI9" i="1"/>
  <c r="CI12" i="1" s="1"/>
  <c r="CI6" i="1" s="1"/>
  <c r="CI24" i="1" s="1"/>
  <c r="CH9" i="1"/>
  <c r="CH12" i="1" s="1"/>
  <c r="CH6" i="1" s="1"/>
  <c r="CG9" i="1"/>
  <c r="CG12" i="1" s="1"/>
  <c r="CG6" i="1" s="1"/>
  <c r="CG24" i="1" s="1"/>
  <c r="CF9" i="1"/>
  <c r="CF13" i="1" s="1"/>
  <c r="CF7" i="1" s="1"/>
  <c r="CF23" i="1" s="1"/>
  <c r="CE9" i="1"/>
  <c r="CD9" i="1"/>
  <c r="CC9" i="1"/>
  <c r="CC12" i="1" s="1"/>
  <c r="CC6" i="1" s="1"/>
  <c r="CC24" i="1" s="1"/>
  <c r="CB9" i="1"/>
  <c r="CB12" i="1" s="1"/>
  <c r="CB6" i="1" s="1"/>
  <c r="CB24" i="1" s="1"/>
  <c r="CA9" i="1"/>
  <c r="BZ9" i="1"/>
  <c r="BY9" i="1"/>
  <c r="ET7" i="1"/>
  <c r="ES7" i="1"/>
  <c r="ER7" i="1"/>
  <c r="EQ7" i="1"/>
  <c r="EP7" i="1"/>
  <c r="EP23" i="1" s="1"/>
  <c r="EO7" i="1"/>
  <c r="EO23" i="1" s="1"/>
  <c r="EN7" i="1"/>
  <c r="EN23" i="1" s="1"/>
  <c r="EM7" i="1"/>
  <c r="EM23" i="1" s="1"/>
  <c r="EL7" i="1"/>
  <c r="EL23" i="1" s="1"/>
  <c r="EK7" i="1"/>
  <c r="EK23" i="1" s="1"/>
  <c r="EJ7" i="1"/>
  <c r="EJ23" i="1" s="1"/>
  <c r="EI7" i="1"/>
  <c r="EI25" i="1" s="1"/>
  <c r="EH7" i="1"/>
  <c r="EH23" i="1" s="1"/>
  <c r="EG7" i="1"/>
  <c r="EF7" i="1"/>
  <c r="EE7" i="1"/>
  <c r="EE23" i="1" s="1"/>
  <c r="ED7" i="1"/>
  <c r="ED23" i="1" s="1"/>
  <c r="EC7" i="1"/>
  <c r="EB7" i="1"/>
  <c r="EA7" i="1"/>
  <c r="EA23" i="1" s="1"/>
  <c r="DZ7" i="1"/>
  <c r="DY7" i="1"/>
  <c r="DX7" i="1"/>
  <c r="DW7" i="1"/>
  <c r="DV7" i="1"/>
  <c r="DV23" i="1" s="1"/>
  <c r="DU7" i="1"/>
  <c r="DU23" i="1" s="1"/>
  <c r="DT7" i="1"/>
  <c r="DT23" i="1" s="1"/>
  <c r="DS7" i="1"/>
  <c r="DS23" i="1" s="1"/>
  <c r="DR7" i="1"/>
  <c r="DR23" i="1" s="1"/>
  <c r="DQ7" i="1"/>
  <c r="DQ23" i="1" s="1"/>
  <c r="DP7" i="1"/>
  <c r="DP23" i="1" s="1"/>
  <c r="DO7" i="1"/>
  <c r="DO25" i="1" s="1"/>
  <c r="DN7" i="1"/>
  <c r="DN23" i="1" s="1"/>
  <c r="DM7" i="1"/>
  <c r="DL7" i="1"/>
  <c r="DK7" i="1"/>
  <c r="DK23" i="1" s="1"/>
  <c r="DJ7" i="1"/>
  <c r="DJ23" i="1" s="1"/>
  <c r="DI7" i="1"/>
  <c r="DH7" i="1"/>
  <c r="DG7" i="1"/>
  <c r="DG23" i="1" s="1"/>
  <c r="DF7" i="1"/>
  <c r="DE7" i="1"/>
  <c r="DD7" i="1"/>
  <c r="DC7" i="1"/>
  <c r="DB7" i="1"/>
  <c r="DB23" i="1" s="1"/>
  <c r="DA7" i="1"/>
  <c r="DA23" i="1" s="1"/>
  <c r="CZ7" i="1"/>
  <c r="CZ23" i="1" s="1"/>
  <c r="CY7" i="1"/>
  <c r="CY23" i="1" s="1"/>
  <c r="CX7" i="1"/>
  <c r="CX23" i="1" s="1"/>
  <c r="CW7" i="1"/>
  <c r="CW23" i="1" s="1"/>
  <c r="CV7" i="1"/>
  <c r="CV23" i="1" s="1"/>
  <c r="CU7" i="1"/>
  <c r="CU25" i="1" s="1"/>
  <c r="CT7" i="1"/>
  <c r="CT23" i="1" s="1"/>
  <c r="CS7" i="1"/>
  <c r="CR7" i="1"/>
  <c r="CQ7" i="1"/>
  <c r="CQ23" i="1" s="1"/>
  <c r="CP7" i="1"/>
  <c r="CP23" i="1" s="1"/>
  <c r="CO7" i="1"/>
  <c r="CN7" i="1"/>
  <c r="CE7" i="1"/>
  <c r="CE23" i="1" s="1"/>
  <c r="BX7" i="1"/>
  <c r="BW7" i="1"/>
  <c r="BV7" i="1"/>
  <c r="BU7" i="1"/>
  <c r="BT7" i="1"/>
  <c r="BS7" i="1"/>
  <c r="BR7" i="1"/>
  <c r="BQ7" i="1"/>
  <c r="BP7" i="1"/>
  <c r="BO7" i="1"/>
  <c r="BN7" i="1"/>
  <c r="BM7" i="1"/>
  <c r="BL7" i="1"/>
  <c r="BK7" i="1"/>
  <c r="BJ7" i="1"/>
  <c r="BI7" i="1"/>
  <c r="BH7" i="1"/>
  <c r="BG7" i="1"/>
  <c r="BG25" i="1" s="1"/>
  <c r="BF7" i="1"/>
  <c r="BE7" i="1"/>
  <c r="BD7" i="1"/>
  <c r="BC7" i="1"/>
  <c r="BB7" i="1"/>
  <c r="BB25" i="1" s="1"/>
  <c r="BA7" i="1"/>
  <c r="AZ7" i="1"/>
  <c r="AY7" i="1"/>
  <c r="AX7" i="1"/>
  <c r="AW7" i="1"/>
  <c r="AV7" i="1"/>
  <c r="AU7" i="1"/>
  <c r="AT7" i="1"/>
  <c r="AS7" i="1"/>
  <c r="AR7" i="1"/>
  <c r="AQ7" i="1"/>
  <c r="AP7" i="1"/>
  <c r="AO7" i="1"/>
  <c r="AN7" i="1"/>
  <c r="AM7" i="1"/>
  <c r="AL7" i="1"/>
  <c r="AK7" i="1"/>
  <c r="AJ7" i="1"/>
  <c r="AI7" i="1"/>
  <c r="AH7" i="1"/>
  <c r="AG7" i="1"/>
  <c r="AF7" i="1"/>
  <c r="AE7" i="1"/>
  <c r="AD7" i="1"/>
  <c r="AC7" i="1"/>
  <c r="AB7" i="1"/>
  <c r="AA7" i="1"/>
  <c r="Z7" i="1"/>
  <c r="Y7" i="1"/>
  <c r="X7" i="1"/>
  <c r="W7" i="1"/>
  <c r="V7" i="1"/>
  <c r="U7" i="1"/>
  <c r="T7" i="1"/>
  <c r="S7" i="1"/>
  <c r="R7" i="1"/>
  <c r="Q7" i="1"/>
  <c r="P7" i="1"/>
  <c r="O7" i="1"/>
  <c r="N7" i="1"/>
  <c r="M7" i="1"/>
  <c r="L7" i="1"/>
  <c r="K7" i="1"/>
  <c r="J7" i="1"/>
  <c r="I7" i="1"/>
  <c r="H7" i="1"/>
  <c r="G7" i="1"/>
  <c r="F7" i="1"/>
  <c r="E7" i="1"/>
  <c r="D7" i="1"/>
  <c r="C7" i="1"/>
  <c r="B7" i="1"/>
  <c r="ET6" i="1"/>
  <c r="ES6" i="1"/>
  <c r="ES24" i="1" s="1"/>
  <c r="ER6" i="1"/>
  <c r="ER24" i="1" s="1"/>
  <c r="EQ6" i="1"/>
  <c r="EQ24" i="1" s="1"/>
  <c r="EP6" i="1"/>
  <c r="EO6" i="1"/>
  <c r="EO24" i="1" s="1"/>
  <c r="EN6" i="1"/>
  <c r="EN24" i="1" s="1"/>
  <c r="EM6" i="1"/>
  <c r="EM25" i="1" s="1"/>
  <c r="EL6" i="1"/>
  <c r="EL24" i="1" s="1"/>
  <c r="EK6" i="1"/>
  <c r="EJ6" i="1"/>
  <c r="EI6" i="1"/>
  <c r="EH6" i="1"/>
  <c r="EH24" i="1" s="1"/>
  <c r="EG6" i="1"/>
  <c r="EG24" i="1" s="1"/>
  <c r="EF6" i="1"/>
  <c r="EF24" i="1" s="1"/>
  <c r="EE6" i="1"/>
  <c r="ED6" i="1"/>
  <c r="EC6" i="1"/>
  <c r="EB6" i="1"/>
  <c r="EA6" i="1"/>
  <c r="DZ6" i="1"/>
  <c r="DY6" i="1"/>
  <c r="DY24" i="1" s="1"/>
  <c r="DX6" i="1"/>
  <c r="DX24" i="1" s="1"/>
  <c r="DW6" i="1"/>
  <c r="DW24" i="1" s="1"/>
  <c r="DV6" i="1"/>
  <c r="DU6" i="1"/>
  <c r="DU24" i="1" s="1"/>
  <c r="DT6" i="1"/>
  <c r="DT24" i="1" s="1"/>
  <c r="DS6" i="1"/>
  <c r="DS25" i="1" s="1"/>
  <c r="DR6" i="1"/>
  <c r="DR24" i="1" s="1"/>
  <c r="DQ6" i="1"/>
  <c r="DP6" i="1"/>
  <c r="DO6" i="1"/>
  <c r="DN6" i="1"/>
  <c r="DN24" i="1" s="1"/>
  <c r="DM6" i="1"/>
  <c r="DM24" i="1" s="1"/>
  <c r="DL6" i="1"/>
  <c r="DL24" i="1" s="1"/>
  <c r="DK6" i="1"/>
  <c r="DJ6" i="1"/>
  <c r="DI6" i="1"/>
  <c r="DH6" i="1"/>
  <c r="DG6" i="1"/>
  <c r="DF6" i="1"/>
  <c r="DE6" i="1"/>
  <c r="DE24" i="1" s="1"/>
  <c r="DD6" i="1"/>
  <c r="DD24" i="1" s="1"/>
  <c r="DC6" i="1"/>
  <c r="DC24" i="1" s="1"/>
  <c r="DB6" i="1"/>
  <c r="DA6" i="1"/>
  <c r="DA24" i="1" s="1"/>
  <c r="CZ6" i="1"/>
  <c r="CZ24" i="1" s="1"/>
  <c r="CY6" i="1"/>
  <c r="CY25" i="1" s="1"/>
  <c r="CX6" i="1"/>
  <c r="CX24" i="1" s="1"/>
  <c r="CW6" i="1"/>
  <c r="CV6" i="1"/>
  <c r="CU6" i="1"/>
  <c r="CT6" i="1"/>
  <c r="CT24" i="1" s="1"/>
  <c r="CS6" i="1"/>
  <c r="CS24" i="1" s="1"/>
  <c r="CR6" i="1"/>
  <c r="CR24" i="1" s="1"/>
  <c r="CQ6" i="1"/>
  <c r="CQ24" i="1" s="1"/>
  <c r="CP6" i="1"/>
  <c r="CO6" i="1"/>
  <c r="CN6" i="1"/>
  <c r="BY6" i="1"/>
  <c r="BY24" i="1" s="1"/>
  <c r="BX6" i="1"/>
  <c r="BW6" i="1"/>
  <c r="BV6" i="1"/>
  <c r="BU6" i="1"/>
  <c r="BT6" i="1"/>
  <c r="BS6" i="1"/>
  <c r="BR6" i="1"/>
  <c r="BQ6" i="1"/>
  <c r="BP6" i="1"/>
  <c r="BP25" i="1" s="1"/>
  <c r="BO6" i="1"/>
  <c r="BO25" i="1" s="1"/>
  <c r="BN6" i="1"/>
  <c r="BM6" i="1"/>
  <c r="BM25" i="1" s="1"/>
  <c r="BL6" i="1"/>
  <c r="BL25" i="1" s="1"/>
  <c r="BK6" i="1"/>
  <c r="BK25" i="1" s="1"/>
  <c r="BJ6" i="1"/>
  <c r="BI6" i="1"/>
  <c r="BI25" i="1" s="1"/>
  <c r="BH6" i="1"/>
  <c r="BH25" i="1" s="1"/>
  <c r="BG6" i="1"/>
  <c r="BF6" i="1"/>
  <c r="BF25" i="1" s="1"/>
  <c r="BE6" i="1"/>
  <c r="BE25" i="1" s="1"/>
  <c r="BD6" i="1"/>
  <c r="BD25" i="1" s="1"/>
  <c r="BC6" i="1"/>
  <c r="BB6" i="1"/>
  <c r="BA6" i="1"/>
  <c r="BA25" i="1" s="1"/>
  <c r="AZ6" i="1"/>
  <c r="AZ25" i="1" s="1"/>
  <c r="AY6" i="1"/>
  <c r="AX6" i="1"/>
  <c r="AX25" i="1" s="1"/>
  <c r="AW6" i="1"/>
  <c r="AV6" i="1"/>
  <c r="AU6" i="1"/>
  <c r="AT6" i="1"/>
  <c r="AS6" i="1"/>
  <c r="AR6" i="1"/>
  <c r="AQ6" i="1"/>
  <c r="AP6" i="1"/>
  <c r="AO6" i="1"/>
  <c r="AN6" i="1"/>
  <c r="AM6" i="1"/>
  <c r="AL6" i="1"/>
  <c r="AK6" i="1"/>
  <c r="AJ6" i="1"/>
  <c r="AI6" i="1"/>
  <c r="AH6" i="1"/>
  <c r="AG6" i="1"/>
  <c r="AF6" i="1"/>
  <c r="AE6" i="1"/>
  <c r="AD6" i="1"/>
  <c r="AC6" i="1"/>
  <c r="AB6" i="1"/>
  <c r="AA6" i="1"/>
  <c r="Z6" i="1"/>
  <c r="Y6" i="1"/>
  <c r="X6" i="1"/>
  <c r="W6" i="1"/>
  <c r="V6" i="1"/>
  <c r="U6" i="1"/>
  <c r="T6" i="1"/>
  <c r="S6" i="1"/>
  <c r="R6" i="1"/>
  <c r="Q6" i="1"/>
  <c r="P6" i="1"/>
  <c r="O6" i="1"/>
  <c r="N6" i="1"/>
  <c r="M6" i="1"/>
  <c r="L6" i="1"/>
  <c r="K6" i="1"/>
  <c r="J6" i="1"/>
  <c r="I6" i="1"/>
  <c r="H6" i="1"/>
  <c r="G6" i="1"/>
  <c r="F6" i="1"/>
  <c r="E6" i="1"/>
  <c r="D6" i="1"/>
  <c r="C6" i="1"/>
  <c r="B6" i="1"/>
  <c r="CC25" i="1" l="1"/>
  <c r="CG25" i="1"/>
  <c r="CH25" i="1"/>
  <c r="CH24" i="1"/>
  <c r="CM25" i="1"/>
  <c r="CM24" i="1"/>
  <c r="CA24" i="1"/>
  <c r="CA25" i="1"/>
  <c r="CJ25" i="1"/>
  <c r="CD25" i="1"/>
  <c r="CD24" i="1"/>
  <c r="CK25" i="1"/>
  <c r="CE25" i="1"/>
  <c r="CE24" i="1"/>
  <c r="CL25" i="1"/>
  <c r="CI13" i="1"/>
  <c r="CI7" i="1" s="1"/>
  <c r="CI23" i="1" s="1"/>
  <c r="CF12" i="1"/>
  <c r="CF6" i="1" s="1"/>
  <c r="CF24" i="1" s="1"/>
  <c r="EF25" i="1"/>
  <c r="CL13" i="1"/>
  <c r="CL7" i="1" s="1"/>
  <c r="CL23" i="1" s="1"/>
  <c r="CM13" i="1"/>
  <c r="CM7" i="1" s="1"/>
  <c r="CM23" i="1" s="1"/>
  <c r="CU23" i="1"/>
  <c r="DO23" i="1"/>
  <c r="EI23" i="1"/>
  <c r="CR25" i="1"/>
  <c r="CY24" i="1"/>
  <c r="EM24" i="1"/>
  <c r="DL25" i="1"/>
  <c r="DS24" i="1"/>
  <c r="BZ13" i="1"/>
  <c r="BZ7" i="1" s="1"/>
  <c r="BZ23" i="1" s="1"/>
  <c r="CI25" i="1" l="1"/>
  <c r="CF25" i="1"/>
  <c r="BZ25" i="1"/>
</calcChain>
</file>

<file path=xl/sharedStrings.xml><?xml version="1.0" encoding="utf-8"?>
<sst xmlns="http://schemas.openxmlformats.org/spreadsheetml/2006/main" count="19" uniqueCount="19">
  <si>
    <t>Year</t>
  </si>
  <si>
    <t>Local Authorities</t>
  </si>
  <si>
    <t>Housing Association / other public sector</t>
  </si>
  <si>
    <t>Private sector</t>
  </si>
  <si>
    <t>Total (No Tenure Available)</t>
  </si>
  <si>
    <t>Private</t>
  </si>
  <si>
    <t>Public</t>
  </si>
  <si>
    <t xml:space="preserve">Total from GLA series (separate row to allow Housing Returns tenure mix to be applied to this data and feed into the chart) </t>
  </si>
  <si>
    <t>England Public</t>
  </si>
  <si>
    <t>England Private</t>
  </si>
  <si>
    <t>England Total (E+W 2010-2019)</t>
  </si>
  <si>
    <t>London Public Share</t>
  </si>
  <si>
    <t>London Private Share</t>
  </si>
  <si>
    <t>London Total Share</t>
  </si>
  <si>
    <t>England Total</t>
  </si>
  <si>
    <t>Wales TOTAL</t>
  </si>
  <si>
    <t>New build homes in Greater London, 1871 to 2017</t>
  </si>
  <si>
    <t>Compiled by GLA from:
- 1871-1937: Report of the Commissioner of the Metropolitan Police, via Quandl.com
- 1946-1960: GLA estimates based on national data from 1946 to 1960 (DCLG, live table 244) and London’s share of the national total before World War II (from B. Mitchell, British Historical Statistics, p392) and after the war from the GLA and DCLG data below
- 1961 to 1969: Annual Abstracts of Greater London Statistics
- 1970 to 2017: DCLG house building statistics</t>
  </si>
  <si>
    <t>Housing in London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</si>
</sst>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43" formatCode="_-* #,##0.00_-;\-* #,##0.00_-;_-* &quot;-&quot;??_-;_-@_-"/>
    <numFmt numFmtId="164" formatCode="_-* #,##0_-;\-* #,##0_-;_-* &quot;-&quot;??_-;_-@_-"/>
    <numFmt numFmtId="167" formatCode="_-&quot;£&quot;* #,##0.00_-;\-&quot;£&quot;* #,##0.00_-;_-&quot;£&quot;* &quot;-&quot;??_-;_-@_-"/>
    <numFmt numFmtId="168" formatCode="_-* #,##0.00_-;\-* #,##0.00_-;_-* &quot;-&quot;??_-;_-@_-"/>
    <numFmt numFmtId="169" formatCode="_(&quot;$&quot;* #,##0.00_);_(&quot;$&quot;* \(#,##0.00\);_(&quot;$&quot;* &quot;-&quot;??_);_(@_)"/>
    <numFmt numFmtId="171" formatCode="General_)"/>
    <numFmt numFmtId="172" formatCode="0000"/>
    <numFmt numFmtId="173" formatCode="#,##0,"/>
    <numFmt numFmtId="174" formatCode="\$#,##0\ ;\(\$#,##0\)"/>
    <numFmt numFmtId="175" formatCode="0.0"/>
    <numFmt numFmtId="176" formatCode="_-[$€-2]* #,##0.00_-;\-[$€-2]* #,##0.00_-;_-[$€-2]* &quot;-&quot;??_-"/>
    <numFmt numFmtId="178" formatCode="#,##0_);;&quot;- &quot;_);@_)\ "/>
    <numFmt numFmtId="179" formatCode="_(General"/>
    <numFmt numFmtId="182" formatCode="mmmm\ d\,\ yyyy"/>
    <numFmt numFmtId="183" formatCode="&quot; &quot;General"/>
    <numFmt numFmtId="185" formatCode="&quot; &quot;#,##0.00&quot; &quot;;&quot;-&quot;#,##0.00&quot; &quot;;&quot; -&quot;00&quot; &quot;;&quot; &quot;@&quot; &quot;"/>
  </numFmts>
  <fonts count="116">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0"/>
      <color theme="1"/>
      <name val="Open Sans"/>
      <family val="2"/>
    </font>
    <font>
      <sz val="10"/>
      <name val="Arial"/>
      <family val="2"/>
    </font>
    <font>
      <b/>
      <sz val="10"/>
      <name val="Arial"/>
      <family val="2"/>
    </font>
    <font>
      <sz val="12"/>
      <name val="Arial"/>
      <family val="2"/>
    </font>
    <font>
      <sz val="8"/>
      <name val="Times New Roman"/>
      <family val="1"/>
    </font>
    <font>
      <u/>
      <sz val="10"/>
      <color indexed="12"/>
      <name val="Arial"/>
      <family val="2"/>
    </font>
    <font>
      <sz val="11"/>
      <color indexed="8"/>
      <name val="Calibri"/>
      <family val="2"/>
    </font>
    <font>
      <sz val="11"/>
      <name val="lr oSVbN"/>
      <charset val="128"/>
    </font>
    <font>
      <sz val="11"/>
      <color indexed="9"/>
      <name val="Calibri"/>
      <family val="2"/>
    </font>
    <font>
      <b/>
      <sz val="11"/>
      <color indexed="63"/>
      <name val="Calibri"/>
      <family val="2"/>
    </font>
    <font>
      <sz val="11"/>
      <color indexed="20"/>
      <name val="Calibri"/>
      <family val="2"/>
    </font>
    <font>
      <b/>
      <sz val="11"/>
      <color indexed="52"/>
      <name val="Calibri"/>
      <family val="2"/>
    </font>
    <font>
      <b/>
      <sz val="11"/>
      <color indexed="9"/>
      <name val="Calibri"/>
      <family val="2"/>
    </font>
    <font>
      <sz val="12"/>
      <name val="CG Times"/>
      <family val="1"/>
    </font>
    <font>
      <b/>
      <sz val="12"/>
      <name val="Arial"/>
      <family val="2"/>
    </font>
    <font>
      <b/>
      <sz val="8"/>
      <name val="Arial"/>
      <family val="2"/>
    </font>
    <font>
      <sz val="9"/>
      <name val="Tms Rmn"/>
    </font>
    <font>
      <sz val="11"/>
      <color indexed="62"/>
      <name val="Calibri"/>
      <family val="2"/>
    </font>
    <font>
      <b/>
      <sz val="11"/>
      <color indexed="8"/>
      <name val="Calibri"/>
      <family val="2"/>
    </font>
    <font>
      <i/>
      <sz val="11"/>
      <color indexed="23"/>
      <name val="Calibri"/>
      <family val="2"/>
    </font>
    <font>
      <sz val="10"/>
      <name val="Helv"/>
    </font>
    <font>
      <sz val="12"/>
      <name val="Helv"/>
    </font>
    <font>
      <sz val="11"/>
      <color indexed="17"/>
      <name val="Calibri"/>
      <family val="2"/>
    </font>
    <font>
      <b/>
      <sz val="15"/>
      <color indexed="56"/>
      <name val="Calibri"/>
      <family val="2"/>
    </font>
    <font>
      <b/>
      <sz val="15"/>
      <color indexed="62"/>
      <name val="Calibri"/>
      <family val="2"/>
    </font>
    <font>
      <b/>
      <sz val="13"/>
      <color indexed="56"/>
      <name val="Calibri"/>
      <family val="2"/>
    </font>
    <font>
      <b/>
      <sz val="13"/>
      <color indexed="62"/>
      <name val="Calibri"/>
      <family val="2"/>
    </font>
    <font>
      <b/>
      <sz val="11"/>
      <color indexed="56"/>
      <name val="Calibri"/>
      <family val="2"/>
    </font>
    <font>
      <b/>
      <sz val="11"/>
      <color indexed="62"/>
      <name val="Calibri"/>
      <family val="2"/>
    </font>
    <font>
      <b/>
      <sz val="18"/>
      <name val="Arial"/>
      <family val="2"/>
    </font>
    <font>
      <u/>
      <sz val="12"/>
      <color indexed="12"/>
      <name val="CG Times"/>
      <family val="1"/>
    </font>
    <font>
      <u/>
      <sz val="10"/>
      <color indexed="30"/>
      <name val="Arial"/>
      <family val="2"/>
    </font>
    <font>
      <u/>
      <sz val="7.5"/>
      <color indexed="12"/>
      <name val="Arial"/>
      <family val="2"/>
    </font>
    <font>
      <u/>
      <sz val="7"/>
      <color indexed="12"/>
      <name val="Arial"/>
      <family val="2"/>
    </font>
    <font>
      <sz val="11"/>
      <color indexed="52"/>
      <name val="Calibri"/>
      <family val="2"/>
    </font>
    <font>
      <sz val="11"/>
      <color indexed="60"/>
      <name val="Calibri"/>
      <family val="2"/>
    </font>
    <font>
      <sz val="11"/>
      <name val="Times New Roman"/>
      <family val="1"/>
    </font>
    <font>
      <sz val="10"/>
      <name val="Times New Roman"/>
      <family val="1"/>
    </font>
    <font>
      <sz val="10"/>
      <color indexed="64"/>
      <name val="Arial"/>
      <family val="2"/>
    </font>
    <font>
      <sz val="10"/>
      <name val="CG Times"/>
      <family val="1"/>
    </font>
    <font>
      <sz val="10"/>
      <name val="Tahoma"/>
      <family val="2"/>
    </font>
    <font>
      <sz val="10"/>
      <name val="Times"/>
      <family val="1"/>
    </font>
    <font>
      <sz val="10"/>
      <name val="Times"/>
    </font>
    <font>
      <sz val="11"/>
      <name val="ＭＳ 明朝"/>
      <family val="1"/>
      <charset val="128"/>
    </font>
    <font>
      <b/>
      <sz val="14"/>
      <name val="Times New Roman"/>
      <family val="1"/>
    </font>
    <font>
      <b/>
      <sz val="18"/>
      <color indexed="56"/>
      <name val="Cambria"/>
      <family val="2"/>
    </font>
    <font>
      <b/>
      <sz val="18"/>
      <color indexed="62"/>
      <name val="Cambria"/>
      <family val="2"/>
    </font>
    <font>
      <sz val="11"/>
      <color indexed="10"/>
      <name val="Calibri"/>
      <family val="2"/>
    </font>
    <font>
      <sz val="11"/>
      <name val="ＭＳ Ｐゴシック"/>
      <family val="3"/>
      <charset val="128"/>
    </font>
    <font>
      <sz val="10"/>
      <name val="Verdana"/>
      <family val="2"/>
    </font>
    <font>
      <sz val="10"/>
      <name val="Courier"/>
      <family val="3"/>
    </font>
    <font>
      <sz val="10"/>
      <color indexed="8"/>
      <name val="Arial"/>
      <family val="2"/>
    </font>
    <font>
      <sz val="10"/>
      <color indexed="8"/>
      <name val="Verdana"/>
      <family val="2"/>
    </font>
    <font>
      <sz val="8"/>
      <name val="Arial"/>
      <family val="2"/>
    </font>
    <font>
      <sz val="10"/>
      <name val="MS Sans Serif"/>
      <family val="2"/>
    </font>
    <font>
      <b/>
      <sz val="11"/>
      <name val="Times New Roman"/>
      <family val="1"/>
    </font>
    <font>
      <b/>
      <sz val="12"/>
      <name val="Times New Roman"/>
      <family val="1"/>
    </font>
    <font>
      <sz val="9"/>
      <name val="Geneva"/>
    </font>
    <font>
      <u/>
      <sz val="10"/>
      <color indexed="12"/>
      <name val="Verdana"/>
      <family val="2"/>
    </font>
    <font>
      <shadow/>
      <sz val="10"/>
      <name val="Times New Roman"/>
      <family val="1"/>
    </font>
    <font>
      <sz val="12"/>
      <name val="CG Times"/>
    </font>
    <font>
      <u/>
      <sz val="12"/>
      <color indexed="12"/>
      <name val="CG Times"/>
    </font>
    <font>
      <sz val="10"/>
      <color theme="1"/>
      <name val="Aptos Narrow"/>
      <family val="2"/>
      <scheme val="minor"/>
    </font>
    <font>
      <sz val="10"/>
      <color theme="0"/>
      <name val="Aptos Narrow"/>
      <family val="2"/>
      <scheme val="minor"/>
    </font>
    <font>
      <sz val="10"/>
      <color rgb="FF9C0006"/>
      <name val="Aptos Narrow"/>
      <family val="2"/>
      <scheme val="minor"/>
    </font>
    <font>
      <sz val="12"/>
      <color rgb="FF9C0006"/>
      <name val="Arial"/>
      <family val="2"/>
    </font>
    <font>
      <b/>
      <sz val="10"/>
      <color rgb="FFFA7D00"/>
      <name val="Aptos Narrow"/>
      <family val="2"/>
      <scheme val="minor"/>
    </font>
    <font>
      <b/>
      <sz val="10"/>
      <color theme="0"/>
      <name val="Aptos Narrow"/>
      <family val="2"/>
      <scheme val="minor"/>
    </font>
    <font>
      <sz val="12"/>
      <color theme="1"/>
      <name val="Arial"/>
      <family val="2"/>
    </font>
    <font>
      <sz val="12"/>
      <color rgb="FF000000"/>
      <name val="Arial"/>
      <family val="2"/>
    </font>
    <font>
      <sz val="10"/>
      <color theme="1"/>
      <name val="Arial"/>
      <family val="2"/>
    </font>
    <font>
      <sz val="12"/>
      <color theme="1"/>
      <name val="Aptos Narrow"/>
      <family val="2"/>
      <scheme val="minor"/>
    </font>
    <font>
      <sz val="11"/>
      <color theme="4" tint="-0.499984740745262"/>
      <name val="Aptos Narrow"/>
      <family val="2"/>
      <scheme val="minor"/>
    </font>
    <font>
      <i/>
      <sz val="10"/>
      <color rgb="FF7F7F7F"/>
      <name val="Aptos Narrow"/>
      <family val="2"/>
      <scheme val="minor"/>
    </font>
    <font>
      <sz val="10"/>
      <color rgb="FF006100"/>
      <name val="Aptos Narrow"/>
      <family val="2"/>
      <scheme val="minor"/>
    </font>
    <font>
      <u/>
      <sz val="11"/>
      <color theme="10"/>
      <name val="Aptos Narrow"/>
      <family val="2"/>
      <scheme val="minor"/>
    </font>
    <font>
      <u/>
      <sz val="10"/>
      <color theme="10"/>
      <name val="Arial"/>
      <family val="2"/>
    </font>
    <font>
      <u/>
      <sz val="10"/>
      <color theme="10"/>
      <name val="Times"/>
      <family val="1"/>
    </font>
    <font>
      <u/>
      <sz val="10"/>
      <color rgb="FF0000FF"/>
      <name val="Arial"/>
      <family val="2"/>
    </font>
    <font>
      <u/>
      <sz val="9.35"/>
      <color theme="10"/>
      <name val="Calibri"/>
      <family val="2"/>
    </font>
    <font>
      <u/>
      <sz val="10"/>
      <color theme="10"/>
      <name val="Verdana"/>
      <family val="2"/>
    </font>
    <font>
      <u/>
      <sz val="12"/>
      <color theme="10"/>
      <name val="Arial"/>
      <family val="2"/>
    </font>
    <font>
      <sz val="11"/>
      <color rgb="FFFFFFFF"/>
      <name val="Aptos Narrow"/>
      <family val="2"/>
      <scheme val="minor"/>
    </font>
    <font>
      <sz val="10"/>
      <color rgb="FF3F3F76"/>
      <name val="Aptos Narrow"/>
      <family val="2"/>
      <scheme val="minor"/>
    </font>
    <font>
      <sz val="11"/>
      <color rgb="FF660066"/>
      <name val="Aptos Narrow"/>
      <family val="2"/>
      <scheme val="minor"/>
    </font>
    <font>
      <sz val="10"/>
      <color rgb="FFFA7D00"/>
      <name val="Aptos Narrow"/>
      <family val="2"/>
      <scheme val="minor"/>
    </font>
    <font>
      <i/>
      <sz val="11"/>
      <color rgb="FF660033"/>
      <name val="Aptos Narrow"/>
      <family val="2"/>
      <scheme val="minor"/>
    </font>
    <font>
      <sz val="10"/>
      <color rgb="FF9C6500"/>
      <name val="Aptos Narrow"/>
      <family val="2"/>
      <scheme val="minor"/>
    </font>
    <font>
      <sz val="10"/>
      <color theme="1"/>
      <name val="Verdana"/>
      <family val="2"/>
    </font>
    <font>
      <sz val="10"/>
      <color rgb="FF000000"/>
      <name val="Arial"/>
      <family val="2"/>
    </font>
    <font>
      <sz val="10"/>
      <color rgb="FF000000"/>
      <name val="Courier"/>
      <family val="3"/>
    </font>
    <font>
      <sz val="9"/>
      <color theme="1"/>
      <name val="Arial"/>
      <family val="2"/>
    </font>
    <font>
      <sz val="10"/>
      <color theme="1"/>
      <name val="Tahoma"/>
      <family val="2"/>
    </font>
    <font>
      <b/>
      <sz val="10"/>
      <color rgb="FF3F3F3F"/>
      <name val="Aptos Narrow"/>
      <family val="2"/>
      <scheme val="minor"/>
    </font>
    <font>
      <sz val="11"/>
      <color theme="9" tint="-0.499984740745262"/>
      <name val="Aptos Narrow"/>
      <family val="2"/>
      <scheme val="minor"/>
    </font>
    <font>
      <sz val="10"/>
      <color rgb="FF006600"/>
      <name val="Aptos Narrow"/>
      <family val="2"/>
      <scheme val="minor"/>
    </font>
    <font>
      <b/>
      <sz val="10"/>
      <color theme="1"/>
      <name val="Aptos Narrow"/>
      <family val="2"/>
      <scheme val="minor"/>
    </font>
    <font>
      <sz val="10"/>
      <color rgb="FFFF0000"/>
      <name val="Aptos Narrow"/>
      <family val="2"/>
      <scheme val="minor"/>
    </font>
  </fonts>
  <fills count="6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indexed="31"/>
      </patternFill>
    </fill>
    <fill>
      <patternFill patternType="solid">
        <fgColor indexed="47"/>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27"/>
      </patternFill>
    </fill>
    <fill>
      <patternFill patternType="solid">
        <fgColor indexed="16"/>
      </patternFill>
    </fill>
    <fill>
      <patternFill patternType="solid">
        <fgColor indexed="44"/>
      </patternFill>
    </fill>
    <fill>
      <patternFill patternType="solid">
        <fgColor indexed="22"/>
      </patternFill>
    </fill>
    <fill>
      <patternFill patternType="solid">
        <fgColor indexed="11"/>
      </patternFill>
    </fill>
    <fill>
      <patternFill patternType="solid">
        <fgColor indexed="43"/>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9"/>
      </patternFill>
    </fill>
    <fill>
      <patternFill patternType="solid">
        <fgColor indexed="9"/>
        <bgColor indexed="64"/>
      </patternFill>
    </fill>
    <fill>
      <patternFill patternType="solid">
        <fgColor indexed="55"/>
      </patternFill>
    </fill>
    <fill>
      <patternFill patternType="solid">
        <fgColor indexed="8"/>
      </patternFill>
    </fill>
    <fill>
      <patternFill patternType="solid">
        <fgColor theme="4" tint="0.39994506668294322"/>
        <bgColor indexed="64"/>
      </patternFill>
    </fill>
    <fill>
      <patternFill patternType="solid">
        <fgColor rgb="FFCC99FF"/>
        <bgColor indexed="64"/>
      </patternFill>
    </fill>
    <fill>
      <patternFill patternType="solid">
        <fgColor rgb="FFFF99CC"/>
        <bgColor indexed="64"/>
      </patternFill>
    </fill>
    <fill>
      <patternFill patternType="solid">
        <fgColor rgb="FFFFD5D5"/>
        <bgColor indexed="64"/>
      </patternFill>
    </fill>
    <fill>
      <patternFill patternType="solid">
        <fgColor rgb="FFFEFCA4"/>
        <bgColor indexed="64"/>
      </patternFill>
    </fill>
    <fill>
      <patternFill patternType="solid">
        <fgColor rgb="FFCCFFCC"/>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0" tint="-0.14993743705557422"/>
      </top>
      <bottom style="thin">
        <color theme="0" tint="-0.149937437055574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double">
        <color indexed="63"/>
      </left>
      <right style="double">
        <color indexed="63"/>
      </right>
      <top style="double">
        <color indexed="63"/>
      </top>
      <bottom style="double">
        <color indexed="63"/>
      </bottom>
      <diagonal/>
    </border>
    <border>
      <left/>
      <right/>
      <top style="thin">
        <color indexed="49"/>
      </top>
      <bottom style="double">
        <color indexed="49"/>
      </bottom>
      <diagonal/>
    </border>
    <border>
      <left/>
      <right/>
      <top/>
      <bottom style="thick">
        <color indexed="62"/>
      </bottom>
      <diagonal/>
    </border>
    <border>
      <left/>
      <right/>
      <top/>
      <bottom style="thick">
        <color indexed="49"/>
      </bottom>
      <diagonal/>
    </border>
    <border>
      <left/>
      <right/>
      <top/>
      <bottom style="thick">
        <color indexed="22"/>
      </bottom>
      <diagonal/>
    </border>
    <border>
      <left/>
      <right/>
      <top/>
      <bottom style="medium">
        <color indexed="30"/>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4"/>
      </left>
      <right/>
      <top style="thin">
        <color indexed="64"/>
      </top>
      <bottom/>
      <diagonal/>
    </border>
    <border>
      <left/>
      <right/>
      <top style="thin">
        <color indexed="64"/>
      </top>
      <bottom/>
      <diagonal/>
    </border>
    <border>
      <left/>
      <right/>
      <top style="thin">
        <color indexed="62"/>
      </top>
      <bottom style="double">
        <color indexed="62"/>
      </bottom>
      <diagonal/>
    </border>
  </borders>
  <cellStyleXfs count="749">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xf numFmtId="0" fontId="19" fillId="0" borderId="0">
      <alignment horizontal="left" wrapText="1"/>
    </xf>
    <xf numFmtId="0" fontId="19" fillId="0" borderId="0">
      <alignment horizontal="left" wrapText="1"/>
    </xf>
    <xf numFmtId="0" fontId="19" fillId="0" borderId="0">
      <alignment horizontal="left" wrapText="1"/>
    </xf>
    <xf numFmtId="0" fontId="19" fillId="0" borderId="0">
      <alignment horizontal="left" wrapText="1"/>
    </xf>
    <xf numFmtId="0" fontId="19" fillId="0" borderId="0">
      <alignment horizontal="left" wrapText="1"/>
    </xf>
    <xf numFmtId="0" fontId="19" fillId="0" borderId="0">
      <alignment horizontal="left" wrapText="1"/>
    </xf>
    <xf numFmtId="0" fontId="25" fillId="0" borderId="0"/>
    <xf numFmtId="0" fontId="24" fillId="34" borderId="0" applyNumberFormat="0" applyBorder="0" applyAlignment="0" applyProtection="0"/>
    <xf numFmtId="0" fontId="80" fillId="10" borderId="0" applyNumberFormat="0" applyBorder="0" applyAlignment="0" applyProtection="0"/>
    <xf numFmtId="0" fontId="24" fillId="35" borderId="0" applyNumberFormat="0" applyBorder="0" applyAlignment="0" applyProtection="0"/>
    <xf numFmtId="0" fontId="24" fillId="34" borderId="0" applyNumberFormat="0" applyBorder="0" applyAlignment="0" applyProtection="0"/>
    <xf numFmtId="0" fontId="24" fillId="35" borderId="0" applyNumberFormat="0" applyBorder="0" applyAlignment="0" applyProtection="0"/>
    <xf numFmtId="0" fontId="24" fillId="36" borderId="0" applyNumberFormat="0" applyBorder="0" applyAlignment="0" applyProtection="0"/>
    <xf numFmtId="0" fontId="80" fillId="14"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24" fillId="38" borderId="0" applyNumberFormat="0" applyBorder="0" applyAlignment="0" applyProtection="0"/>
    <xf numFmtId="0" fontId="80" fillId="18" borderId="0" applyNumberFormat="0" applyBorder="0" applyAlignment="0" applyProtection="0"/>
    <xf numFmtId="0" fontId="24" fillId="39" borderId="0" applyNumberFormat="0" applyBorder="0" applyAlignment="0" applyProtection="0"/>
    <xf numFmtId="0" fontId="24" fillId="38" borderId="0" applyNumberFormat="0" applyBorder="0" applyAlignment="0" applyProtection="0"/>
    <xf numFmtId="0" fontId="24" fillId="39" borderId="0" applyNumberFormat="0" applyBorder="0" applyAlignment="0" applyProtection="0"/>
    <xf numFmtId="0" fontId="24" fillId="40" borderId="0" applyNumberFormat="0" applyBorder="0" applyAlignment="0" applyProtection="0"/>
    <xf numFmtId="0" fontId="80" fillId="22" borderId="0" applyNumberFormat="0" applyBorder="0" applyAlignment="0" applyProtection="0"/>
    <xf numFmtId="0" fontId="24" fillId="35" borderId="0" applyNumberFormat="0" applyBorder="0" applyAlignment="0" applyProtection="0"/>
    <xf numFmtId="0" fontId="24" fillId="40" borderId="0" applyNumberFormat="0" applyBorder="0" applyAlignment="0" applyProtection="0"/>
    <xf numFmtId="0" fontId="24" fillId="35" borderId="0" applyNumberFormat="0" applyBorder="0" applyAlignment="0" applyProtection="0"/>
    <xf numFmtId="0" fontId="24" fillId="41" borderId="0" applyNumberFormat="0" applyBorder="0" applyAlignment="0" applyProtection="0"/>
    <xf numFmtId="0" fontId="80" fillId="26" borderId="0" applyNumberFormat="0" applyBorder="0" applyAlignment="0" applyProtection="0"/>
    <xf numFmtId="0" fontId="24" fillId="41" borderId="0" applyNumberFormat="0" applyBorder="0" applyAlignment="0" applyProtection="0"/>
    <xf numFmtId="0" fontId="24" fillId="35" borderId="0" applyNumberFormat="0" applyBorder="0" applyAlignment="0" applyProtection="0"/>
    <xf numFmtId="0" fontId="80" fillId="30" borderId="0" applyNumberFormat="0" applyBorder="0" applyAlignment="0" applyProtection="0"/>
    <xf numFmtId="0" fontId="24" fillId="39"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35" borderId="0" applyNumberFormat="0" applyBorder="0" applyAlignment="0" applyProtection="0"/>
    <xf numFmtId="0" fontId="24" fillId="39" borderId="0" applyNumberFormat="0" applyBorder="0" applyAlignment="0" applyProtection="0"/>
    <xf numFmtId="0" fontId="24" fillId="42" borderId="0" applyNumberFormat="0" applyBorder="0" applyAlignment="0" applyProtection="0"/>
    <xf numFmtId="0" fontId="24" fillId="41" borderId="0" applyNumberFormat="0" applyBorder="0" applyAlignment="0" applyProtection="0"/>
    <xf numFmtId="0" fontId="24" fillId="35" borderId="0" applyNumberFormat="0" applyBorder="0" applyAlignment="0" applyProtection="0"/>
    <xf numFmtId="0" fontId="24" fillId="43" borderId="0" applyNumberFormat="0" applyBorder="0" applyAlignment="0" applyProtection="0"/>
    <xf numFmtId="0" fontId="80" fillId="11" borderId="0" applyNumberFormat="0" applyBorder="0" applyAlignment="0" applyProtection="0"/>
    <xf numFmtId="0" fontId="24" fillId="44"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37" borderId="0" applyNumberFormat="0" applyBorder="0" applyAlignment="0" applyProtection="0"/>
    <xf numFmtId="0" fontId="80" fillId="15" borderId="0" applyNumberFormat="0" applyBorder="0" applyAlignment="0" applyProtection="0"/>
    <xf numFmtId="0" fontId="24" fillId="37" borderId="0" applyNumberFormat="0" applyBorder="0" applyAlignment="0" applyProtection="0"/>
    <xf numFmtId="0" fontId="24" fillId="45" borderId="0" applyNumberFormat="0" applyBorder="0" applyAlignment="0" applyProtection="0"/>
    <xf numFmtId="0" fontId="80" fillId="19" borderId="0" applyNumberFormat="0" applyBorder="0" applyAlignment="0" applyProtection="0"/>
    <xf numFmtId="0" fontId="24" fillId="46" borderId="0" applyNumberFormat="0" applyBorder="0" applyAlignment="0" applyProtection="0"/>
    <xf numFmtId="0" fontId="24" fillId="45" borderId="0" applyNumberFormat="0" applyBorder="0" applyAlignment="0" applyProtection="0"/>
    <xf numFmtId="0" fontId="24" fillId="46" borderId="0" applyNumberFormat="0" applyBorder="0" applyAlignment="0" applyProtection="0"/>
    <xf numFmtId="0" fontId="24" fillId="40" borderId="0" applyNumberFormat="0" applyBorder="0" applyAlignment="0" applyProtection="0"/>
    <xf numFmtId="0" fontId="80" fillId="23" borderId="0" applyNumberFormat="0" applyBorder="0" applyAlignment="0" applyProtection="0"/>
    <xf numFmtId="0" fontId="24" fillId="44" borderId="0" applyNumberFormat="0" applyBorder="0" applyAlignment="0" applyProtection="0"/>
    <xf numFmtId="0" fontId="24" fillId="40" borderId="0" applyNumberFormat="0" applyBorder="0" applyAlignment="0" applyProtection="0"/>
    <xf numFmtId="0" fontId="24" fillId="44" borderId="0" applyNumberFormat="0" applyBorder="0" applyAlignment="0" applyProtection="0"/>
    <xf numFmtId="0" fontId="24" fillId="43" borderId="0" applyNumberFormat="0" applyBorder="0" applyAlignment="0" applyProtection="0"/>
    <xf numFmtId="0" fontId="80" fillId="27" borderId="0" applyNumberFormat="0" applyBorder="0" applyAlignment="0" applyProtection="0"/>
    <xf numFmtId="0" fontId="24" fillId="43" borderId="0" applyNumberFormat="0" applyBorder="0" applyAlignment="0" applyProtection="0"/>
    <xf numFmtId="0" fontId="24" fillId="47" borderId="0" applyNumberFormat="0" applyBorder="0" applyAlignment="0" applyProtection="0"/>
    <xf numFmtId="0" fontId="80" fillId="31" borderId="0" applyNumberFormat="0" applyBorder="0" applyAlignment="0" applyProtection="0"/>
    <xf numFmtId="0" fontId="24" fillId="46" borderId="0" applyNumberFormat="0" applyBorder="0" applyAlignment="0" applyProtection="0"/>
    <xf numFmtId="0" fontId="24" fillId="47" borderId="0" applyNumberFormat="0" applyBorder="0" applyAlignment="0" applyProtection="0"/>
    <xf numFmtId="0" fontId="24" fillId="46" borderId="0" applyNumberFormat="0" applyBorder="0" applyAlignment="0" applyProtection="0"/>
    <xf numFmtId="0" fontId="24" fillId="48" borderId="0" applyNumberFormat="0" applyBorder="0" applyAlignment="0" applyProtection="0"/>
    <xf numFmtId="0" fontId="24" fillId="37" borderId="0" applyNumberFormat="0" applyBorder="0" applyAlignment="0" applyProtection="0"/>
    <xf numFmtId="0" fontId="24" fillId="46" borderId="0" applyNumberFormat="0" applyBorder="0" applyAlignment="0" applyProtection="0"/>
    <xf numFmtId="0" fontId="24" fillId="44" borderId="0" applyNumberFormat="0" applyBorder="0" applyAlignment="0" applyProtection="0"/>
    <xf numFmtId="0" fontId="24" fillId="48" borderId="0" applyNumberFormat="0" applyBorder="0" applyAlignment="0" applyProtection="0"/>
    <xf numFmtId="0" fontId="24" fillId="35" borderId="0" applyNumberFormat="0" applyBorder="0" applyAlignment="0" applyProtection="0"/>
    <xf numFmtId="0" fontId="26" fillId="49" borderId="0" applyNumberFormat="0" applyBorder="0" applyAlignment="0" applyProtection="0"/>
    <xf numFmtId="0" fontId="81" fillId="12" borderId="0" applyNumberFormat="0" applyBorder="0" applyAlignment="0" applyProtection="0"/>
    <xf numFmtId="0" fontId="26" fillId="48" borderId="0" applyNumberFormat="0" applyBorder="0" applyAlignment="0" applyProtection="0"/>
    <xf numFmtId="0" fontId="26" fillId="49" borderId="0" applyNumberFormat="0" applyBorder="0" applyAlignment="0" applyProtection="0"/>
    <xf numFmtId="0" fontId="26" fillId="48" borderId="0" applyNumberFormat="0" applyBorder="0" applyAlignment="0" applyProtection="0"/>
    <xf numFmtId="0" fontId="26" fillId="37" borderId="0" applyNumberFormat="0" applyBorder="0" applyAlignment="0" applyProtection="0"/>
    <xf numFmtId="0" fontId="81" fillId="16" borderId="0" applyNumberFormat="0" applyBorder="0" applyAlignment="0" applyProtection="0"/>
    <xf numFmtId="0" fontId="26" fillId="37" borderId="0" applyNumberFormat="0" applyBorder="0" applyAlignment="0" applyProtection="0"/>
    <xf numFmtId="0" fontId="26" fillId="45" borderId="0" applyNumberFormat="0" applyBorder="0" applyAlignment="0" applyProtection="0"/>
    <xf numFmtId="0" fontId="81" fillId="20" borderId="0" applyNumberFormat="0" applyBorder="0" applyAlignment="0" applyProtection="0"/>
    <xf numFmtId="0" fontId="26" fillId="46" borderId="0" applyNumberFormat="0" applyBorder="0" applyAlignment="0" applyProtection="0"/>
    <xf numFmtId="0" fontId="26" fillId="45" borderId="0" applyNumberFormat="0" applyBorder="0" applyAlignment="0" applyProtection="0"/>
    <xf numFmtId="0" fontId="26" fillId="46" borderId="0" applyNumberFormat="0" applyBorder="0" applyAlignment="0" applyProtection="0"/>
    <xf numFmtId="0" fontId="26" fillId="50" borderId="0" applyNumberFormat="0" applyBorder="0" applyAlignment="0" applyProtection="0"/>
    <xf numFmtId="0" fontId="81" fillId="24" borderId="0" applyNumberFormat="0" applyBorder="0" applyAlignment="0" applyProtection="0"/>
    <xf numFmtId="0" fontId="26" fillId="44" borderId="0" applyNumberFormat="0" applyBorder="0" applyAlignment="0" applyProtection="0"/>
    <xf numFmtId="0" fontId="26" fillId="50" borderId="0" applyNumberFormat="0" applyBorder="0" applyAlignment="0" applyProtection="0"/>
    <xf numFmtId="0" fontId="26" fillId="44" borderId="0" applyNumberFormat="0" applyBorder="0" applyAlignment="0" applyProtection="0"/>
    <xf numFmtId="0" fontId="26" fillId="48" borderId="0" applyNumberFormat="0" applyBorder="0" applyAlignment="0" applyProtection="0"/>
    <xf numFmtId="0" fontId="81" fillId="28" borderId="0" applyNumberFormat="0" applyBorder="0" applyAlignment="0" applyProtection="0"/>
    <xf numFmtId="0" fontId="26" fillId="48" borderId="0" applyNumberFormat="0" applyBorder="0" applyAlignment="0" applyProtection="0"/>
    <xf numFmtId="0" fontId="26" fillId="51" borderId="0" applyNumberFormat="0" applyBorder="0" applyAlignment="0" applyProtection="0"/>
    <xf numFmtId="0" fontId="81" fillId="32" borderId="0" applyNumberFormat="0" applyBorder="0" applyAlignment="0" applyProtection="0"/>
    <xf numFmtId="0" fontId="26" fillId="37" borderId="0" applyNumberFormat="0" applyBorder="0" applyAlignment="0" applyProtection="0"/>
    <xf numFmtId="0" fontId="26" fillId="51" borderId="0" applyNumberFormat="0" applyBorder="0" applyAlignment="0" applyProtection="0"/>
    <xf numFmtId="0" fontId="26" fillId="37" borderId="0" applyNumberFormat="0" applyBorder="0" applyAlignment="0" applyProtection="0"/>
    <xf numFmtId="0" fontId="26" fillId="48" borderId="0" applyNumberFormat="0" applyBorder="0" applyAlignment="0" applyProtection="0"/>
    <xf numFmtId="0" fontId="26" fillId="37" borderId="0" applyNumberFormat="0" applyBorder="0" applyAlignment="0" applyProtection="0"/>
    <xf numFmtId="0" fontId="26" fillId="46" borderId="0" applyNumberFormat="0" applyBorder="0" applyAlignment="0" applyProtection="0"/>
    <xf numFmtId="0" fontId="26" fillId="44" borderId="0" applyNumberFormat="0" applyBorder="0" applyAlignment="0" applyProtection="0"/>
    <xf numFmtId="0" fontId="26" fillId="48" borderId="0" applyNumberFormat="0" applyBorder="0" applyAlignment="0" applyProtection="0"/>
    <xf numFmtId="0" fontId="26" fillId="35" borderId="0" applyNumberFormat="0" applyBorder="0" applyAlignment="0" applyProtection="0"/>
    <xf numFmtId="0" fontId="26" fillId="52" borderId="0" applyNumberFormat="0" applyBorder="0" applyAlignment="0" applyProtection="0"/>
    <xf numFmtId="0" fontId="81" fillId="9" borderId="0" applyNumberFormat="0" applyBorder="0" applyAlignment="0" applyProtection="0"/>
    <xf numFmtId="0" fontId="26" fillId="48" borderId="0" applyNumberFormat="0" applyBorder="0" applyAlignment="0" applyProtection="0"/>
    <xf numFmtId="0" fontId="26" fillId="52" borderId="0" applyNumberFormat="0" applyBorder="0" applyAlignment="0" applyProtection="0"/>
    <xf numFmtId="0" fontId="26" fillId="48" borderId="0" applyNumberFormat="0" applyBorder="0" applyAlignment="0" applyProtection="0"/>
    <xf numFmtId="0" fontId="26" fillId="53" borderId="0" applyNumberFormat="0" applyBorder="0" applyAlignment="0" applyProtection="0"/>
    <xf numFmtId="0" fontId="81" fillId="13" borderId="0" applyNumberFormat="0" applyBorder="0" applyAlignment="0" applyProtection="0"/>
    <xf numFmtId="0" fontId="26" fillId="53" borderId="0" applyNumberFormat="0" applyBorder="0" applyAlignment="0" applyProtection="0"/>
    <xf numFmtId="0" fontId="26" fillId="54" borderId="0" applyNumberFormat="0" applyBorder="0" applyAlignment="0" applyProtection="0"/>
    <xf numFmtId="0" fontId="81" fillId="17" borderId="0" applyNumberFormat="0" applyBorder="0" applyAlignment="0" applyProtection="0"/>
    <xf numFmtId="0" fontId="26" fillId="54" borderId="0" applyNumberFormat="0" applyBorder="0" applyAlignment="0" applyProtection="0"/>
    <xf numFmtId="0" fontId="26" fillId="50" borderId="0" applyNumberFormat="0" applyBorder="0" applyAlignment="0" applyProtection="0"/>
    <xf numFmtId="0" fontId="81" fillId="21" borderId="0" applyNumberFormat="0" applyBorder="0" applyAlignment="0" applyProtection="0"/>
    <xf numFmtId="0" fontId="26" fillId="55" borderId="0" applyNumberFormat="0" applyBorder="0" applyAlignment="0" applyProtection="0"/>
    <xf numFmtId="0" fontId="26" fillId="50" borderId="0" applyNumberFormat="0" applyBorder="0" applyAlignment="0" applyProtection="0"/>
    <xf numFmtId="0" fontId="26" fillId="55" borderId="0" applyNumberFormat="0" applyBorder="0" applyAlignment="0" applyProtection="0"/>
    <xf numFmtId="0" fontId="26" fillId="48" borderId="0" applyNumberFormat="0" applyBorder="0" applyAlignment="0" applyProtection="0"/>
    <xf numFmtId="0" fontId="81" fillId="25" borderId="0" applyNumberFormat="0" applyBorder="0" applyAlignment="0" applyProtection="0"/>
    <xf numFmtId="0" fontId="26" fillId="48" borderId="0" applyNumberFormat="0" applyBorder="0" applyAlignment="0" applyProtection="0"/>
    <xf numFmtId="0" fontId="26" fillId="56" borderId="0" applyNumberFormat="0" applyBorder="0" applyAlignment="0" applyProtection="0"/>
    <xf numFmtId="0" fontId="81" fillId="29" borderId="0" applyNumberFormat="0" applyBorder="0" applyAlignment="0" applyProtection="0"/>
    <xf numFmtId="0" fontId="26" fillId="56" borderId="0" applyNumberFormat="0" applyBorder="0" applyAlignment="0" applyProtection="0"/>
    <xf numFmtId="0" fontId="26" fillId="48" borderId="0" applyNumberFormat="0" applyBorder="0" applyAlignment="0" applyProtection="0"/>
    <xf numFmtId="0" fontId="26" fillId="53" borderId="0" applyNumberFormat="0" applyBorder="0" applyAlignment="0" applyProtection="0"/>
    <xf numFmtId="0" fontId="26" fillId="54" borderId="0" applyNumberFormat="0" applyBorder="0" applyAlignment="0" applyProtection="0"/>
    <xf numFmtId="0" fontId="26" fillId="55" borderId="0" applyNumberFormat="0" applyBorder="0" applyAlignment="0" applyProtection="0"/>
    <xf numFmtId="0" fontId="26" fillId="48" borderId="0" applyNumberFormat="0" applyBorder="0" applyAlignment="0" applyProtection="0"/>
    <xf numFmtId="0" fontId="26" fillId="56" borderId="0" applyNumberFormat="0" applyBorder="0" applyAlignment="0" applyProtection="0"/>
    <xf numFmtId="0" fontId="19" fillId="0" borderId="0" applyNumberFormat="0" applyFill="0" applyBorder="0" applyAlignment="0" applyProtection="0"/>
    <xf numFmtId="0" fontId="27" fillId="42" borderId="11" applyNumberFormat="0" applyAlignment="0" applyProtection="0"/>
    <xf numFmtId="0" fontId="28" fillId="36" borderId="0" applyNumberFormat="0" applyBorder="0" applyAlignment="0" applyProtection="0"/>
    <xf numFmtId="0" fontId="82" fillId="3" borderId="0" applyNumberFormat="0" applyBorder="0" applyAlignment="0" applyProtection="0"/>
    <xf numFmtId="0" fontId="28" fillId="36" borderId="0" applyNumberFormat="0" applyBorder="0" applyAlignment="0" applyProtection="0"/>
    <xf numFmtId="0" fontId="83" fillId="3" borderId="0" applyNumberFormat="0" applyBorder="0" applyAlignment="0" applyProtection="0"/>
    <xf numFmtId="0" fontId="29" fillId="42" borderId="12" applyNumberFormat="0" applyAlignment="0" applyProtection="0"/>
    <xf numFmtId="0" fontId="29" fillId="44" borderId="12" applyNumberFormat="0" applyAlignment="0" applyProtection="0"/>
    <xf numFmtId="0" fontId="84" fillId="6" borderId="4" applyNumberFormat="0" applyAlignment="0" applyProtection="0"/>
    <xf numFmtId="0" fontId="29" fillId="57" borderId="12" applyNumberFormat="0" applyAlignment="0" applyProtection="0"/>
    <xf numFmtId="0" fontId="29" fillId="44" borderId="12" applyNumberFormat="0" applyAlignment="0" applyProtection="0"/>
    <xf numFmtId="0" fontId="29" fillId="57" borderId="12" applyNumberFormat="0" applyAlignment="0" applyProtection="0"/>
    <xf numFmtId="172" fontId="19" fillId="58" borderId="13">
      <alignment horizontal="right" vertical="top"/>
    </xf>
    <xf numFmtId="0" fontId="19" fillId="58" borderId="13">
      <alignment horizontal="left" indent="5"/>
    </xf>
    <xf numFmtId="3" fontId="19" fillId="58" borderId="13">
      <alignment horizontal="right"/>
    </xf>
    <xf numFmtId="172" fontId="19" fillId="58" borderId="14" applyNumberFormat="0">
      <alignment horizontal="right" vertical="top"/>
    </xf>
    <xf numFmtId="0" fontId="19" fillId="58" borderId="14">
      <alignment horizontal="left" indent="3"/>
    </xf>
    <xf numFmtId="3" fontId="19" fillId="58" borderId="14">
      <alignment horizontal="right"/>
    </xf>
    <xf numFmtId="172" fontId="20" fillId="58" borderId="14" applyNumberFormat="0">
      <alignment horizontal="right" vertical="top"/>
    </xf>
    <xf numFmtId="0" fontId="20" fillId="58" borderId="14">
      <alignment horizontal="left" indent="1"/>
    </xf>
    <xf numFmtId="0" fontId="20" fillId="58" borderId="14">
      <alignment horizontal="right" vertical="top"/>
    </xf>
    <xf numFmtId="0" fontId="20" fillId="58" borderId="14"/>
    <xf numFmtId="173" fontId="20" fillId="58" borderId="14">
      <alignment horizontal="right"/>
    </xf>
    <xf numFmtId="3" fontId="20" fillId="58" borderId="14">
      <alignment horizontal="right"/>
    </xf>
    <xf numFmtId="0" fontId="19" fillId="58" borderId="15" applyFont="0" applyFill="0" applyAlignment="0"/>
    <xf numFmtId="0" fontId="20" fillId="58" borderId="14">
      <alignment horizontal="right" vertical="top"/>
    </xf>
    <xf numFmtId="0" fontId="20" fillId="58" borderId="14">
      <alignment horizontal="left" indent="2"/>
    </xf>
    <xf numFmtId="3" fontId="20" fillId="58" borderId="14">
      <alignment horizontal="right"/>
    </xf>
    <xf numFmtId="172" fontId="19" fillId="58" borderId="14" applyNumberFormat="0">
      <alignment horizontal="right" vertical="top"/>
    </xf>
    <xf numFmtId="0" fontId="19" fillId="58" borderId="14">
      <alignment horizontal="left" indent="3"/>
    </xf>
    <xf numFmtId="3" fontId="19" fillId="58" borderId="14">
      <alignment horizontal="right"/>
    </xf>
    <xf numFmtId="0" fontId="30" fillId="59" borderId="16" applyNumberFormat="0" applyAlignment="0" applyProtection="0"/>
    <xf numFmtId="0" fontId="85" fillId="7" borderId="7" applyNumberFormat="0" applyAlignment="0" applyProtection="0"/>
    <xf numFmtId="0" fontId="30" fillId="59" borderId="16" applyNumberFormat="0" applyAlignment="0" applyProtection="0"/>
    <xf numFmtId="168" fontId="1"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86" fillId="0" borderId="0" applyFont="0" applyFill="0" applyBorder="0" applyAlignment="0" applyProtection="0"/>
    <xf numFmtId="168" fontId="86" fillId="0" borderId="0" applyFont="0" applyFill="0" applyBorder="0" applyAlignment="0" applyProtection="0"/>
    <xf numFmtId="168" fontId="86"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31" fillId="0" borderId="0" applyFont="0" applyFill="0" applyBorder="0" applyAlignment="0" applyProtection="0"/>
    <xf numFmtId="185" fontId="87" fillId="0" borderId="0" applyFont="0" applyFill="0" applyBorder="0" applyAlignment="0" applyProtection="0"/>
    <xf numFmtId="168" fontId="70" fillId="0" borderId="0" applyFont="0" applyFill="0" applyBorder="0" applyAlignment="0" applyProtection="0"/>
    <xf numFmtId="168" fontId="78" fillId="0" borderId="0" applyFont="0" applyFill="0" applyBorder="0" applyAlignment="0" applyProtection="0"/>
    <xf numFmtId="43" fontId="24" fillId="0" borderId="0" applyFont="0" applyFill="0" applyBorder="0" applyAlignment="0" applyProtection="0"/>
    <xf numFmtId="168" fontId="86" fillId="0" borderId="0" applyFont="0" applyFill="0" applyBorder="0" applyAlignment="0" applyProtection="0"/>
    <xf numFmtId="43" fontId="1" fillId="0" borderId="0" applyFont="0" applyFill="0" applyBorder="0" applyAlignment="0" applyProtection="0"/>
    <xf numFmtId="168" fontId="86" fillId="0" borderId="0" applyFont="0" applyFill="0" applyBorder="0" applyAlignment="0" applyProtection="0"/>
    <xf numFmtId="43" fontId="19" fillId="0" borderId="0" applyFont="0" applyFill="0" applyBorder="0" applyAlignment="0" applyProtection="0"/>
    <xf numFmtId="168" fontId="86" fillId="0" borderId="0" applyFont="0" applyFill="0" applyBorder="0" applyAlignment="0" applyProtection="0"/>
    <xf numFmtId="185" fontId="87" fillId="0" borderId="0" applyFont="0" applyFill="0" applyBorder="0" applyAlignment="0" applyProtection="0"/>
    <xf numFmtId="168" fontId="70" fillId="0" borderId="0" applyFont="0" applyFill="0" applyBorder="0" applyAlignment="0" applyProtection="0"/>
    <xf numFmtId="168" fontId="78" fillId="0" borderId="0" applyFont="0" applyFill="0" applyBorder="0" applyAlignment="0" applyProtection="0"/>
    <xf numFmtId="168" fontId="70" fillId="0" borderId="0" applyFont="0" applyFill="0" applyBorder="0" applyAlignment="0" applyProtection="0"/>
    <xf numFmtId="168" fontId="78"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31" fillId="0" borderId="0" applyFont="0" applyFill="0" applyBorder="0" applyAlignment="0" applyProtection="0"/>
    <xf numFmtId="43" fontId="1" fillId="0" borderId="0" applyFont="0" applyFill="0" applyBorder="0" applyAlignment="0" applyProtection="0"/>
    <xf numFmtId="185" fontId="87" fillId="0" borderId="0" applyFont="0" applyFill="0" applyBorder="0" applyAlignment="0" applyProtection="0"/>
    <xf numFmtId="168" fontId="70"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8" fontId="86" fillId="0" borderId="0" applyFont="0" applyFill="0" applyBorder="0" applyAlignment="0" applyProtection="0"/>
    <xf numFmtId="168" fontId="70" fillId="0" borderId="0" applyFont="0" applyFill="0" applyBorder="0" applyAlignment="0" applyProtection="0"/>
    <xf numFmtId="43" fontId="88" fillId="0" borderId="0" applyFont="0" applyFill="0" applyBorder="0" applyAlignment="0" applyProtection="0"/>
    <xf numFmtId="168" fontId="19" fillId="0" borderId="0" applyFont="0" applyFill="0" applyBorder="0" applyAlignment="0" applyProtection="0"/>
    <xf numFmtId="168" fontId="70" fillId="0" borderId="0" applyFont="0" applyFill="0" applyBorder="0" applyAlignment="0" applyProtection="0"/>
    <xf numFmtId="43" fontId="1" fillId="0" borderId="0" applyFont="0" applyFill="0" applyBorder="0" applyAlignment="0" applyProtection="0"/>
    <xf numFmtId="168" fontId="19" fillId="0" borderId="0" applyFont="0" applyFill="0" applyBorder="0" applyAlignment="0" applyProtection="0"/>
    <xf numFmtId="43" fontId="89" fillId="0" borderId="0" applyFont="0" applyFill="0" applyBorder="0" applyAlignment="0" applyProtection="0"/>
    <xf numFmtId="168" fontId="1" fillId="0" borderId="0" applyFont="0" applyFill="0" applyBorder="0" applyAlignment="0" applyProtection="0"/>
    <xf numFmtId="168" fontId="19" fillId="0" borderId="0" applyFont="0" applyFill="0" applyBorder="0" applyAlignment="0" applyProtection="0"/>
    <xf numFmtId="168" fontId="1"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3"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169" fontId="1" fillId="0" borderId="0" applyFont="0" applyFill="0" applyBorder="0" applyAlignment="0" applyProtection="0"/>
    <xf numFmtId="167"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169" fontId="19" fillId="0" borderId="0" applyFont="0" applyFill="0" applyBorder="0" applyAlignment="0" applyProtection="0"/>
    <xf numFmtId="174" fontId="19" fillId="0" borderId="0" applyFont="0" applyFill="0" applyBorder="0" applyAlignment="0" applyProtection="0"/>
    <xf numFmtId="0" fontId="19" fillId="0" borderId="0"/>
    <xf numFmtId="0" fontId="19" fillId="0" borderId="0" applyFont="0" applyFill="0" applyBorder="0" applyAlignment="0" applyProtection="0"/>
    <xf numFmtId="3" fontId="22" fillId="57" borderId="0">
      <alignment horizontal="right"/>
    </xf>
    <xf numFmtId="0" fontId="77" fillId="59" borderId="0"/>
    <xf numFmtId="43" fontId="19" fillId="0" borderId="0" applyFont="0" applyFill="0" applyBorder="0" applyAlignment="0" applyProtection="0"/>
    <xf numFmtId="43" fontId="19" fillId="0" borderId="0" applyFont="0" applyFill="0" applyBorder="0" applyAlignment="0" applyProtection="0"/>
    <xf numFmtId="0" fontId="32" fillId="0" borderId="0"/>
    <xf numFmtId="0" fontId="20" fillId="0" borderId="0">
      <alignment horizontal="left"/>
    </xf>
    <xf numFmtId="0" fontId="33" fillId="0" borderId="0"/>
    <xf numFmtId="175" fontId="34" fillId="0" borderId="0"/>
    <xf numFmtId="0" fontId="90" fillId="61" borderId="0" applyNumberFormat="0" applyBorder="0" applyAlignment="0"/>
    <xf numFmtId="0" fontId="35" fillId="35" borderId="12" applyNumberFormat="0" applyAlignment="0" applyProtection="0"/>
    <xf numFmtId="0" fontId="36" fillId="0" borderId="17" applyNumberFormat="0" applyFill="0" applyAlignment="0" applyProtection="0"/>
    <xf numFmtId="0" fontId="37" fillId="0" borderId="0" applyNumberFormat="0" applyFill="0" applyBorder="0" applyAlignment="0" applyProtection="0"/>
    <xf numFmtId="176" fontId="19" fillId="0" borderId="0" applyFont="0" applyFill="0" applyBorder="0" applyAlignment="0" applyProtection="0"/>
    <xf numFmtId="0" fontId="37" fillId="0" borderId="0" applyNumberFormat="0" applyFill="0" applyBorder="0" applyAlignment="0" applyProtection="0"/>
    <xf numFmtId="0" fontId="91" fillId="0" borderId="0" applyNumberFormat="0" applyFill="0" applyBorder="0" applyAlignment="0" applyProtection="0"/>
    <xf numFmtId="0" fontId="37" fillId="0" borderId="0" applyNumberFormat="0" applyFill="0" applyBorder="0" applyAlignment="0" applyProtection="0"/>
    <xf numFmtId="0" fontId="38" fillId="0" borderId="0"/>
    <xf numFmtId="2" fontId="19" fillId="0" borderId="0" applyFont="0" applyFill="0" applyBorder="0" applyAlignment="0" applyProtection="0"/>
    <xf numFmtId="0" fontId="39" fillId="0" borderId="0"/>
    <xf numFmtId="0" fontId="40" fillId="38" borderId="0" applyNumberFormat="0" applyBorder="0" applyAlignment="0" applyProtection="0"/>
    <xf numFmtId="0" fontId="92" fillId="2" borderId="0" applyNumberFormat="0" applyBorder="0" applyAlignment="0" applyProtection="0"/>
    <xf numFmtId="0" fontId="40" fillId="38" borderId="0" applyNumberFormat="0" applyBorder="0" applyAlignment="0" applyProtection="0"/>
    <xf numFmtId="0" fontId="40" fillId="38" borderId="0" applyNumberFormat="0" applyBorder="0" applyAlignment="0" applyProtection="0"/>
    <xf numFmtId="175" fontId="32" fillId="0" borderId="0">
      <alignment horizontal="left"/>
    </xf>
    <xf numFmtId="0" fontId="33" fillId="0" borderId="0" applyNumberFormat="0">
      <alignment horizontal="left" vertical="top"/>
    </xf>
    <xf numFmtId="0" fontId="33" fillId="0" borderId="0">
      <alignment horizontal="left" wrapText="1"/>
    </xf>
    <xf numFmtId="0" fontId="41" fillId="0" borderId="18"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3" fillId="0" borderId="20" applyNumberFormat="0" applyFill="0" applyAlignment="0" applyProtection="0"/>
    <xf numFmtId="0" fontId="44" fillId="0" borderId="20" applyNumberFormat="0" applyFill="0" applyAlignment="0" applyProtection="0"/>
    <xf numFmtId="0" fontId="44" fillId="0" borderId="20" applyNumberFormat="0" applyFill="0" applyAlignment="0" applyProtection="0"/>
    <xf numFmtId="0" fontId="45" fillId="0" borderId="21" applyNumberFormat="0" applyFill="0" applyAlignment="0" applyProtection="0"/>
    <xf numFmtId="0" fontId="46" fillId="0" borderId="22" applyNumberFormat="0" applyFill="0" applyAlignment="0" applyProtection="0"/>
    <xf numFmtId="0" fontId="46" fillId="0" borderId="22" applyNumberFormat="0" applyFill="0" applyAlignment="0" applyProtection="0"/>
    <xf numFmtId="0" fontId="45"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7" fillId="0" borderId="0" applyProtection="0"/>
    <xf numFmtId="0" fontId="32" fillId="0" borderId="0" applyProtection="0"/>
    <xf numFmtId="0" fontId="19" fillId="0" borderId="0"/>
    <xf numFmtId="0" fontId="20" fillId="0" borderId="0"/>
    <xf numFmtId="0" fontId="20" fillId="0" borderId="0"/>
    <xf numFmtId="0" fontId="19" fillId="0" borderId="0"/>
    <xf numFmtId="0" fontId="19" fillId="0" borderId="0"/>
    <xf numFmtId="0" fontId="19" fillId="0" borderId="0"/>
    <xf numFmtId="0" fontId="19" fillId="0" borderId="0"/>
    <xf numFmtId="0" fontId="19" fillId="0" borderId="0"/>
    <xf numFmtId="0" fontId="79"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93" fillId="0" borderId="0" applyNumberFormat="0" applyFill="0" applyBorder="0" applyAlignment="0" applyProtection="0"/>
    <xf numFmtId="0" fontId="94" fillId="0" borderId="0" applyNumberFormat="0" applyFill="0" applyBorder="0" applyAlignment="0" applyProtection="0"/>
    <xf numFmtId="0" fontId="95"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96" fillId="0" borderId="0" applyNumberFormat="0" applyFill="0" applyBorder="0" applyAlignment="0" applyProtection="0"/>
    <xf numFmtId="0" fontId="76" fillId="0" borderId="0" applyNumberFormat="0" applyFill="0" applyBorder="0" applyAlignment="0" applyProtection="0">
      <alignment vertical="top"/>
      <protection locked="0"/>
    </xf>
    <xf numFmtId="0" fontId="97"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94"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94"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98" fillId="0" borderId="0" applyNumberFormat="0" applyFill="0" applyBorder="0" applyAlignment="0" applyProtection="0">
      <alignment vertical="top"/>
      <protection locked="0"/>
    </xf>
    <xf numFmtId="0" fontId="99" fillId="0" borderId="0" applyNumberFormat="0" applyFill="0" applyBorder="0" applyAlignment="0" applyProtection="0"/>
    <xf numFmtId="0" fontId="100" fillId="13" borderId="0" applyNumberFormat="0" applyBorder="0" applyAlignment="0"/>
    <xf numFmtId="0" fontId="35" fillId="35" borderId="12" applyNumberFormat="0" applyAlignment="0" applyProtection="0"/>
    <xf numFmtId="0" fontId="101" fillId="5" borderId="4" applyNumberFormat="0" applyAlignment="0" applyProtection="0"/>
    <xf numFmtId="0" fontId="35" fillId="46" borderId="12" applyNumberFormat="0" applyAlignment="0" applyProtection="0"/>
    <xf numFmtId="0" fontId="35" fillId="35" borderId="12" applyNumberFormat="0" applyAlignment="0" applyProtection="0"/>
    <xf numFmtId="0" fontId="35" fillId="46" borderId="12" applyNumberFormat="0" applyAlignment="0" applyProtection="0"/>
    <xf numFmtId="0" fontId="102" fillId="62" borderId="0" applyNumberFormat="0" applyBorder="0" applyAlignment="0"/>
    <xf numFmtId="0" fontId="71" fillId="0" borderId="0">
      <alignment horizontal="left" vertical="center"/>
    </xf>
    <xf numFmtId="0" fontId="71" fillId="0" borderId="0">
      <alignment horizontal="center" vertical="center"/>
    </xf>
    <xf numFmtId="0" fontId="52" fillId="0" borderId="23" applyNumberFormat="0" applyFill="0" applyAlignment="0" applyProtection="0"/>
    <xf numFmtId="0" fontId="103" fillId="0" borderId="6" applyNumberFormat="0" applyFill="0" applyAlignment="0" applyProtection="0"/>
    <xf numFmtId="0" fontId="52" fillId="0" borderId="23" applyNumberFormat="0" applyFill="0" applyAlignment="0" applyProtection="0"/>
    <xf numFmtId="0" fontId="104" fillId="63" borderId="0" applyNumberFormat="0" applyBorder="0" applyAlignment="0"/>
    <xf numFmtId="0" fontId="105" fillId="4" borderId="0" applyNumberFormat="0" applyBorder="0" applyAlignment="0" applyProtection="0"/>
    <xf numFmtId="0" fontId="53" fillId="46" borderId="0" applyNumberFormat="0" applyBorder="0" applyAlignment="0" applyProtection="0"/>
    <xf numFmtId="0" fontId="53" fillId="46" borderId="0" applyNumberFormat="0" applyBorder="0" applyAlignment="0" applyProtection="0"/>
    <xf numFmtId="182" fontId="19" fillId="0" borderId="0"/>
    <xf numFmtId="182" fontId="19" fillId="0" borderId="0"/>
    <xf numFmtId="0" fontId="38" fillId="0" borderId="0"/>
    <xf numFmtId="0" fontId="54" fillId="0" borderId="0"/>
    <xf numFmtId="0" fontId="19" fillId="0" borderId="0"/>
    <xf numFmtId="0" fontId="24" fillId="0" borderId="0"/>
    <xf numFmtId="0" fontId="86" fillId="0" borderId="0"/>
    <xf numFmtId="0" fontId="106" fillId="0" borderId="0"/>
    <xf numFmtId="0" fontId="19" fillId="0" borderId="0" applyNumberFormat="0" applyFill="0" applyBorder="0" applyAlignment="0" applyProtection="0"/>
    <xf numFmtId="0" fontId="54" fillId="0" borderId="0"/>
    <xf numFmtId="0" fontId="24" fillId="0" borderId="0"/>
    <xf numFmtId="0" fontId="88" fillId="0" borderId="0"/>
    <xf numFmtId="0" fontId="88" fillId="0" borderId="0"/>
    <xf numFmtId="0" fontId="88" fillId="0" borderId="0"/>
    <xf numFmtId="0" fontId="69" fillId="0" borderId="0"/>
    <xf numFmtId="0" fontId="88" fillId="0" borderId="0"/>
    <xf numFmtId="0" fontId="88" fillId="0" borderId="0"/>
    <xf numFmtId="0" fontId="88" fillId="0" borderId="0"/>
    <xf numFmtId="0" fontId="88" fillId="0" borderId="0"/>
    <xf numFmtId="0" fontId="19" fillId="0" borderId="0"/>
    <xf numFmtId="0" fontId="86" fillId="0" borderId="0"/>
    <xf numFmtId="0" fontId="69" fillId="0" borderId="0"/>
    <xf numFmtId="0" fontId="54" fillId="0" borderId="0"/>
    <xf numFmtId="0" fontId="24" fillId="0" borderId="0"/>
    <xf numFmtId="0" fontId="88" fillId="0" borderId="0"/>
    <xf numFmtId="0" fontId="88" fillId="0" borderId="0"/>
    <xf numFmtId="0" fontId="88" fillId="0" borderId="0"/>
    <xf numFmtId="0" fontId="19" fillId="0" borderId="0"/>
    <xf numFmtId="0" fontId="86" fillId="0" borderId="0"/>
    <xf numFmtId="0" fontId="69" fillId="0" borderId="0"/>
    <xf numFmtId="0" fontId="19" fillId="0" borderId="0"/>
    <xf numFmtId="0" fontId="19" fillId="0" borderId="0"/>
    <xf numFmtId="0" fontId="19" fillId="0" borderId="0"/>
    <xf numFmtId="0" fontId="54" fillId="0" borderId="0"/>
    <xf numFmtId="0" fontId="24" fillId="0" borderId="0"/>
    <xf numFmtId="0" fontId="1" fillId="0" borderId="0"/>
    <xf numFmtId="0" fontId="86" fillId="0" borderId="0"/>
    <xf numFmtId="0" fontId="54" fillId="0" borderId="0"/>
    <xf numFmtId="0" fontId="24" fillId="0" borderId="0"/>
    <xf numFmtId="0" fontId="19" fillId="0" borderId="0"/>
    <xf numFmtId="0" fontId="19" fillId="0" borderId="0"/>
    <xf numFmtId="0" fontId="24" fillId="0" borderId="0"/>
    <xf numFmtId="0" fontId="19" fillId="58" borderId="0"/>
    <xf numFmtId="0" fontId="54" fillId="0" borderId="0"/>
    <xf numFmtId="0" fontId="24" fillId="0" borderId="0"/>
    <xf numFmtId="0" fontId="86" fillId="0" borderId="0"/>
    <xf numFmtId="0" fontId="54" fillId="0" borderId="0"/>
    <xf numFmtId="0" fontId="24" fillId="0" borderId="0"/>
    <xf numFmtId="0" fontId="86" fillId="0" borderId="0"/>
    <xf numFmtId="0" fontId="19" fillId="0" borderId="0"/>
    <xf numFmtId="0" fontId="24" fillId="0" borderId="0"/>
    <xf numFmtId="0" fontId="86" fillId="0" borderId="0"/>
    <xf numFmtId="0" fontId="19" fillId="0" borderId="0"/>
    <xf numFmtId="0" fontId="24" fillId="0" borderId="0"/>
    <xf numFmtId="0" fontId="86" fillId="0" borderId="0"/>
    <xf numFmtId="0" fontId="19" fillId="0" borderId="0"/>
    <xf numFmtId="0" fontId="21" fillId="0" borderId="0"/>
    <xf numFmtId="0" fontId="55" fillId="0" borderId="0"/>
    <xf numFmtId="0" fontId="19" fillId="0" borderId="0"/>
    <xf numFmtId="0" fontId="19" fillId="0" borderId="0"/>
    <xf numFmtId="0" fontId="56" fillId="0" borderId="0"/>
    <xf numFmtId="0" fontId="1" fillId="0" borderId="0"/>
    <xf numFmtId="0" fontId="87" fillId="0" borderId="0" applyNumberFormat="0" applyFont="0" applyBorder="0" applyProtection="0"/>
    <xf numFmtId="0" fontId="19" fillId="0" borderId="0"/>
    <xf numFmtId="0" fontId="57" fillId="0" borderId="0"/>
    <xf numFmtId="0" fontId="19" fillId="0" borderId="0"/>
    <xf numFmtId="0" fontId="107" fillId="0" borderId="0" applyNumberFormat="0" applyBorder="0" applyProtection="0"/>
    <xf numFmtId="0" fontId="1" fillId="0" borderId="0"/>
    <xf numFmtId="0" fontId="1" fillId="0" borderId="0"/>
    <xf numFmtId="0" fontId="1" fillId="0" borderId="0"/>
    <xf numFmtId="0" fontId="87" fillId="0" borderId="0" applyNumberFormat="0" applyBorder="0" applyProtection="0"/>
    <xf numFmtId="0" fontId="1" fillId="0" borderId="0"/>
    <xf numFmtId="0" fontId="87" fillId="0" borderId="0" applyNumberFormat="0" applyFont="0" applyBorder="0" applyProtection="0"/>
    <xf numFmtId="0" fontId="67" fillId="0" borderId="0"/>
    <xf numFmtId="0" fontId="107" fillId="0" borderId="0" applyNumberFormat="0" applyBorder="0" applyProtection="0"/>
    <xf numFmtId="0" fontId="58" fillId="0" borderId="0"/>
    <xf numFmtId="0" fontId="1" fillId="0" borderId="0"/>
    <xf numFmtId="0" fontId="19" fillId="0" borderId="0"/>
    <xf numFmtId="0" fontId="55" fillId="0" borderId="0"/>
    <xf numFmtId="0" fontId="24" fillId="0" borderId="0"/>
    <xf numFmtId="0" fontId="80" fillId="0" borderId="0"/>
    <xf numFmtId="0" fontId="87" fillId="0" borderId="0"/>
    <xf numFmtId="0" fontId="19" fillId="0" borderId="0"/>
    <xf numFmtId="0" fontId="19" fillId="0" borderId="0"/>
    <xf numFmtId="0" fontId="54" fillId="0" borderId="0"/>
    <xf numFmtId="0" fontId="88" fillId="0" borderId="0"/>
    <xf numFmtId="0" fontId="19" fillId="0" borderId="0"/>
    <xf numFmtId="0" fontId="19" fillId="0" borderId="0"/>
    <xf numFmtId="0" fontId="106" fillId="0" borderId="0"/>
    <xf numFmtId="0" fontId="19" fillId="0" borderId="0"/>
    <xf numFmtId="0" fontId="20" fillId="0" borderId="0"/>
    <xf numFmtId="0" fontId="19" fillId="0" borderId="0"/>
    <xf numFmtId="0" fontId="88" fillId="0" borderId="0"/>
    <xf numFmtId="0" fontId="89" fillId="0" borderId="0"/>
    <xf numFmtId="0" fontId="88" fillId="0" borderId="0"/>
    <xf numFmtId="0" fontId="88" fillId="0" borderId="0"/>
    <xf numFmtId="0" fontId="19" fillId="0" borderId="0"/>
    <xf numFmtId="0" fontId="88" fillId="0" borderId="0"/>
    <xf numFmtId="0" fontId="88" fillId="0" borderId="0"/>
    <xf numFmtId="0" fontId="88" fillId="0" borderId="0"/>
    <xf numFmtId="0" fontId="88" fillId="0" borderId="0"/>
    <xf numFmtId="0" fontId="19" fillId="58" borderId="0"/>
    <xf numFmtId="0" fontId="70" fillId="0" borderId="0"/>
    <xf numFmtId="0" fontId="24" fillId="0" borderId="0"/>
    <xf numFmtId="0" fontId="31" fillId="0" borderId="0"/>
    <xf numFmtId="0" fontId="19" fillId="0" borderId="0">
      <alignment horizontal="left" wrapText="1"/>
    </xf>
    <xf numFmtId="0" fontId="107" fillId="0" borderId="0" applyNumberFormat="0" applyBorder="0" applyProtection="0"/>
    <xf numFmtId="0" fontId="107" fillId="0" borderId="0" applyNumberFormat="0" applyBorder="0" applyProtection="0"/>
    <xf numFmtId="0" fontId="1" fillId="0" borderId="0"/>
    <xf numFmtId="0" fontId="54" fillId="0" borderId="0"/>
    <xf numFmtId="0" fontId="1" fillId="0" borderId="0"/>
    <xf numFmtId="0" fontId="107" fillId="0" borderId="0" applyNumberFormat="0" applyFont="0" applyBorder="0" applyProtection="0"/>
    <xf numFmtId="0" fontId="19" fillId="58" borderId="0"/>
    <xf numFmtId="0" fontId="87" fillId="0" borderId="0" applyNumberFormat="0" applyFont="0" applyBorder="0" applyProtection="0"/>
    <xf numFmtId="0" fontId="59" fillId="0" borderId="0"/>
    <xf numFmtId="0" fontId="24" fillId="0" borderId="0"/>
    <xf numFmtId="183" fontId="108" fillId="0" borderId="0" applyBorder="0" applyProtection="0"/>
    <xf numFmtId="0" fontId="19" fillId="58" borderId="0"/>
    <xf numFmtId="183" fontId="108" fillId="0" borderId="0"/>
    <xf numFmtId="0" fontId="88" fillId="0" borderId="0"/>
    <xf numFmtId="0" fontId="21" fillId="0" borderId="0" applyFont="0"/>
    <xf numFmtId="0" fontId="89" fillId="0" borderId="0"/>
    <xf numFmtId="183" fontId="108" fillId="0" borderId="0" applyBorder="0" applyProtection="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21" fillId="0" borderId="0" applyFont="0"/>
    <xf numFmtId="0" fontId="1" fillId="0" borderId="0"/>
    <xf numFmtId="0" fontId="19" fillId="0" borderId="0"/>
    <xf numFmtId="0" fontId="1" fillId="0" borderId="0"/>
    <xf numFmtId="0" fontId="19" fillId="0" borderId="0"/>
    <xf numFmtId="0" fontId="86" fillId="0" borderId="0"/>
    <xf numFmtId="0" fontId="54" fillId="0" borderId="0"/>
    <xf numFmtId="0" fontId="19" fillId="0" borderId="0"/>
    <xf numFmtId="0" fontId="59" fillId="0" borderId="0"/>
    <xf numFmtId="0" fontId="24" fillId="0" borderId="0"/>
    <xf numFmtId="0" fontId="109" fillId="0" borderId="0"/>
    <xf numFmtId="0" fontId="107" fillId="0" borderId="0" applyNumberFormat="0" applyBorder="0" applyProtection="0"/>
    <xf numFmtId="0" fontId="19" fillId="0" borderId="0"/>
    <xf numFmtId="0" fontId="1" fillId="0" borderId="0"/>
    <xf numFmtId="0" fontId="106" fillId="0" borderId="0"/>
    <xf numFmtId="0" fontId="19" fillId="0" borderId="0"/>
    <xf numFmtId="0" fontId="1" fillId="0" borderId="0"/>
    <xf numFmtId="0" fontId="1" fillId="0" borderId="0"/>
    <xf numFmtId="0" fontId="1" fillId="0" borderId="0"/>
    <xf numFmtId="0" fontId="1" fillId="0" borderId="0"/>
    <xf numFmtId="0" fontId="19" fillId="0" borderId="0"/>
    <xf numFmtId="0" fontId="19" fillId="0" borderId="0"/>
    <xf numFmtId="0" fontId="1" fillId="0" borderId="0"/>
    <xf numFmtId="0" fontId="1" fillId="0" borderId="0"/>
    <xf numFmtId="0" fontId="19" fillId="0" borderId="0">
      <alignment horizontal="left" wrapText="1"/>
    </xf>
    <xf numFmtId="0" fontId="1" fillId="0" borderId="0"/>
    <xf numFmtId="0" fontId="19" fillId="0" borderId="0"/>
    <xf numFmtId="0" fontId="107" fillId="0" borderId="0" applyNumberFormat="0" applyBorder="0" applyProtection="0"/>
    <xf numFmtId="0" fontId="86" fillId="0" borderId="0"/>
    <xf numFmtId="0" fontId="55" fillId="0" borderId="0"/>
    <xf numFmtId="0" fontId="24" fillId="0" borderId="0"/>
    <xf numFmtId="0" fontId="19" fillId="0" borderId="0"/>
    <xf numFmtId="0" fontId="107" fillId="0" borderId="0" applyNumberFormat="0" applyBorder="0" applyProtection="0"/>
    <xf numFmtId="0" fontId="86" fillId="0" borderId="0"/>
    <xf numFmtId="0" fontId="1" fillId="0" borderId="0"/>
    <xf numFmtId="0" fontId="19" fillId="0" borderId="0"/>
    <xf numFmtId="0" fontId="19" fillId="0" borderId="0"/>
    <xf numFmtId="0" fontId="1" fillId="0" borderId="0"/>
    <xf numFmtId="0" fontId="1" fillId="0" borderId="0"/>
    <xf numFmtId="0" fontId="1" fillId="0" borderId="0"/>
    <xf numFmtId="0" fontId="19" fillId="0" borderId="0">
      <alignment horizontal="left" wrapText="1"/>
    </xf>
    <xf numFmtId="0" fontId="19" fillId="0" borderId="0"/>
    <xf numFmtId="0" fontId="19" fillId="0" borderId="0"/>
    <xf numFmtId="0" fontId="67" fillId="0" borderId="0"/>
    <xf numFmtId="0" fontId="19" fillId="0" borderId="0"/>
    <xf numFmtId="0" fontId="19" fillId="0" borderId="0"/>
    <xf numFmtId="0" fontId="1" fillId="0" borderId="0"/>
    <xf numFmtId="0" fontId="19" fillId="0" borderId="0"/>
    <xf numFmtId="0" fontId="24" fillId="0" borderId="0"/>
    <xf numFmtId="0" fontId="87" fillId="0" borderId="0" applyNumberFormat="0" applyFont="0" applyBorder="0" applyProtection="0"/>
    <xf numFmtId="0" fontId="86" fillId="0" borderId="0"/>
    <xf numFmtId="0" fontId="54" fillId="0" borderId="0"/>
    <xf numFmtId="0" fontId="60" fillId="0" borderId="0"/>
    <xf numFmtId="0" fontId="59" fillId="0" borderId="0"/>
    <xf numFmtId="171" fontId="68" fillId="0" borderId="0"/>
    <xf numFmtId="0" fontId="87" fillId="0" borderId="0" applyNumberFormat="0" applyFont="0" applyBorder="0" applyProtection="0"/>
    <xf numFmtId="0" fontId="86" fillId="0" borderId="0"/>
    <xf numFmtId="0" fontId="69" fillId="0" borderId="0"/>
    <xf numFmtId="0" fontId="19" fillId="0" borderId="0"/>
    <xf numFmtId="0" fontId="19" fillId="0" borderId="0"/>
    <xf numFmtId="0" fontId="19" fillId="0" borderId="0"/>
    <xf numFmtId="0" fontId="19" fillId="0" borderId="0"/>
    <xf numFmtId="0" fontId="87" fillId="0" borderId="0"/>
    <xf numFmtId="0" fontId="19" fillId="0" borderId="0"/>
    <xf numFmtId="0" fontId="19" fillId="0" borderId="0" applyNumberFormat="0" applyFont="0" applyFill="0" applyBorder="0" applyAlignment="0" applyProtection="0"/>
    <xf numFmtId="0" fontId="110" fillId="0" borderId="0"/>
    <xf numFmtId="0" fontId="19" fillId="0" borderId="0"/>
    <xf numFmtId="0" fontId="86" fillId="0" borderId="0"/>
    <xf numFmtId="0" fontId="106" fillId="0" borderId="0"/>
    <xf numFmtId="0" fontId="54" fillId="0" borderId="0"/>
    <xf numFmtId="0" fontId="19" fillId="0" borderId="0"/>
    <xf numFmtId="0" fontId="24" fillId="0" borderId="0"/>
    <xf numFmtId="0" fontId="86" fillId="0" borderId="0"/>
    <xf numFmtId="0" fontId="1" fillId="0" borderId="0"/>
    <xf numFmtId="0" fontId="86" fillId="0" borderId="0"/>
    <xf numFmtId="0" fontId="106" fillId="0" borderId="0"/>
    <xf numFmtId="0" fontId="19" fillId="0" borderId="0"/>
    <xf numFmtId="0" fontId="78" fillId="0" borderId="0"/>
    <xf numFmtId="0" fontId="19" fillId="0" borderId="0"/>
    <xf numFmtId="0" fontId="19" fillId="0" borderId="0"/>
    <xf numFmtId="0" fontId="54" fillId="0" borderId="0"/>
    <xf numFmtId="0" fontId="24" fillId="0" borderId="0"/>
    <xf numFmtId="0" fontId="86" fillId="0" borderId="0"/>
    <xf numFmtId="0" fontId="19" fillId="0" borderId="0"/>
    <xf numFmtId="0" fontId="75" fillId="0" borderId="0"/>
    <xf numFmtId="0" fontId="86" fillId="0" borderId="0"/>
    <xf numFmtId="0" fontId="54" fillId="0" borderId="0"/>
    <xf numFmtId="0" fontId="24" fillId="0" borderId="0"/>
    <xf numFmtId="0" fontId="1" fillId="0" borderId="0"/>
    <xf numFmtId="0" fontId="86" fillId="0" borderId="0"/>
    <xf numFmtId="0" fontId="19" fillId="39" borderId="24" applyNumberFormat="0" applyFont="0" applyAlignment="0" applyProtection="0"/>
    <xf numFmtId="0" fontId="80" fillId="8" borderId="8" applyNumberFormat="0" applyFont="0" applyAlignment="0" applyProtection="0"/>
    <xf numFmtId="0" fontId="1" fillId="8" borderId="8" applyNumberFormat="0" applyFont="0" applyAlignment="0" applyProtection="0"/>
    <xf numFmtId="0" fontId="19" fillId="39" borderId="24" applyNumberFormat="0" applyFont="0" applyAlignment="0" applyProtection="0"/>
    <xf numFmtId="0" fontId="19" fillId="39" borderId="24" applyNumberFormat="0" applyFont="0" applyAlignment="0" applyProtection="0"/>
    <xf numFmtId="0" fontId="19" fillId="39" borderId="24" applyNumberFormat="0" applyFont="0" applyAlignment="0" applyProtection="0"/>
    <xf numFmtId="175" fontId="19" fillId="0" borderId="0">
      <alignment horizontal="center"/>
    </xf>
    <xf numFmtId="175" fontId="19" fillId="0" borderId="0">
      <alignment horizontal="center"/>
    </xf>
    <xf numFmtId="175" fontId="19" fillId="0" borderId="0">
      <alignment horizontal="center"/>
    </xf>
    <xf numFmtId="175" fontId="19" fillId="0" borderId="0">
      <alignment horizontal="center"/>
    </xf>
    <xf numFmtId="175" fontId="19" fillId="0" borderId="0">
      <alignment horizontal="center"/>
    </xf>
    <xf numFmtId="0" fontId="27" fillId="44" borderId="11" applyNumberFormat="0" applyAlignment="0" applyProtection="0"/>
    <xf numFmtId="0" fontId="111" fillId="6" borderId="5" applyNumberFormat="0" applyAlignment="0" applyProtection="0"/>
    <xf numFmtId="0" fontId="27" fillId="57" borderId="11" applyNumberFormat="0" applyAlignment="0" applyProtection="0"/>
    <xf numFmtId="0" fontId="27" fillId="44" borderId="11" applyNumberFormat="0" applyAlignment="0" applyProtection="0"/>
    <xf numFmtId="0" fontId="27" fillId="57" borderId="11" applyNumberFormat="0" applyAlignment="0" applyProtection="0"/>
    <xf numFmtId="9" fontId="54" fillId="0" borderId="0" applyFont="0" applyFill="0" applyBorder="0" applyAlignment="0" applyProtection="0"/>
    <xf numFmtId="9" fontId="86" fillId="0" borderId="0" applyFon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9" fontId="54" fillId="0" borderId="0" applyFont="0" applyFill="0" applyBorder="0" applyAlignment="0" applyProtection="0"/>
    <xf numFmtId="9" fontId="24" fillId="0" borderId="0" applyFont="0" applyFill="0" applyBorder="0" applyAlignment="0" applyProtection="0"/>
    <xf numFmtId="9" fontId="86" fillId="0" borderId="0" applyFont="0" applyFill="0" applyBorder="0" applyAlignment="0" applyProtection="0"/>
    <xf numFmtId="9" fontId="54" fillId="0" borderId="0" applyFont="0" applyFill="0" applyBorder="0" applyAlignment="0" applyProtection="0"/>
    <xf numFmtId="9" fontId="24" fillId="0" borderId="0" applyFont="0" applyFill="0" applyBorder="0" applyAlignment="0" applyProtection="0"/>
    <xf numFmtId="9" fontId="19" fillId="0" borderId="0" applyFont="0" applyFill="0" applyBorder="0" applyAlignment="0" applyProtection="0"/>
    <xf numFmtId="9" fontId="54" fillId="0" borderId="0" applyFont="0" applyFill="0" applyBorder="0" applyAlignment="0" applyProtection="0"/>
    <xf numFmtId="9" fontId="24" fillId="0" borderId="0" applyFont="0" applyFill="0" applyBorder="0" applyAlignment="0" applyProtection="0"/>
    <xf numFmtId="9" fontId="19" fillId="0" borderId="0" applyFont="0" applyFill="0" applyBorder="0" applyAlignment="0" applyProtection="0"/>
    <xf numFmtId="9" fontId="54" fillId="0" borderId="0" applyFont="0" applyFill="0" applyBorder="0" applyAlignment="0" applyProtection="0"/>
    <xf numFmtId="9" fontId="24" fillId="0" borderId="0" applyFont="0" applyFill="0" applyBorder="0" applyAlignment="0" applyProtection="0"/>
    <xf numFmtId="9" fontId="86" fillId="0" borderId="0" applyFont="0" applyFill="0" applyBorder="0" applyAlignment="0" applyProtection="0"/>
    <xf numFmtId="9" fontId="54" fillId="0" borderId="0" applyFont="0" applyFill="0" applyBorder="0" applyAlignment="0" applyProtection="0"/>
    <xf numFmtId="9" fontId="24" fillId="0" borderId="0" applyFont="0" applyFill="0" applyBorder="0" applyAlignment="0" applyProtection="0"/>
    <xf numFmtId="9" fontId="86" fillId="0" borderId="0" applyFont="0" applyFill="0" applyBorder="0" applyAlignment="0" applyProtection="0"/>
    <xf numFmtId="9" fontId="54" fillId="0" borderId="0" applyFont="0" applyFill="0" applyBorder="0" applyAlignment="0" applyProtection="0"/>
    <xf numFmtId="9" fontId="24" fillId="0" borderId="0" applyFont="0" applyFill="0" applyBorder="0" applyAlignment="0" applyProtection="0"/>
    <xf numFmtId="9" fontId="86" fillId="0" borderId="0" applyFont="0" applyFill="0" applyBorder="0" applyAlignment="0" applyProtection="0"/>
    <xf numFmtId="9" fontId="54" fillId="0" borderId="0" applyFont="0" applyFill="0" applyBorder="0" applyAlignment="0" applyProtection="0"/>
    <xf numFmtId="9" fontId="19"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87" fillId="0" borderId="0" applyFont="0" applyFill="0" applyBorder="0" applyAlignment="0" applyProtection="0"/>
    <xf numFmtId="9" fontId="70" fillId="0" borderId="0" applyFont="0" applyFill="0" applyBorder="0" applyAlignment="0" applyProtection="0"/>
    <xf numFmtId="9" fontId="24"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58" fillId="0" borderId="0" applyFont="0" applyFill="0" applyBorder="0" applyAlignment="0" applyProtection="0"/>
    <xf numFmtId="9" fontId="75" fillId="0" borderId="0" applyFont="0" applyFill="0" applyBorder="0" applyAlignment="0" applyProtection="0"/>
    <xf numFmtId="9" fontId="87" fillId="0" borderId="0" applyFont="0" applyFill="0" applyBorder="0" applyAlignment="0" applyProtection="0"/>
    <xf numFmtId="9" fontId="70" fillId="0" borderId="0" applyFont="0" applyFill="0" applyBorder="0" applyAlignment="0" applyProtection="0"/>
    <xf numFmtId="9" fontId="19" fillId="0" borderId="0" applyFont="0" applyFill="0" applyBorder="0" applyAlignment="0" applyProtection="0"/>
    <xf numFmtId="9" fontId="70" fillId="0" borderId="0" applyFont="0" applyFill="0" applyBorder="0" applyAlignment="0" applyProtection="0"/>
    <xf numFmtId="9" fontId="6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19" fillId="0" borderId="0" applyNumberFormat="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1" fillId="0" borderId="0" applyFont="0" applyFill="0" applyBorder="0" applyAlignment="0" applyProtection="0"/>
    <xf numFmtId="9" fontId="87" fillId="0" borderId="0" applyFont="0" applyFill="0" applyBorder="0" applyAlignment="0" applyProtection="0"/>
    <xf numFmtId="9" fontId="88" fillId="0" borderId="0" applyFont="0" applyFill="0" applyBorder="0" applyAlignment="0" applyProtection="0"/>
    <xf numFmtId="9" fontId="87" fillId="0" borderId="0" applyFont="0" applyFill="0" applyBorder="0" applyAlignment="0" applyProtection="0"/>
    <xf numFmtId="9" fontId="70" fillId="0" borderId="0" applyFont="0" applyFill="0" applyBorder="0" applyAlignment="0" applyProtection="0"/>
    <xf numFmtId="9" fontId="54" fillId="0" borderId="0" applyFont="0" applyFill="0" applyBorder="0" applyAlignment="0" applyProtection="0"/>
    <xf numFmtId="9" fontId="1" fillId="0" borderId="0" applyFont="0" applyFill="0" applyBorder="0" applyAlignment="0" applyProtection="0"/>
    <xf numFmtId="9" fontId="86" fillId="0" borderId="0" applyFont="0" applyFill="0" applyBorder="0" applyAlignment="0" applyProtection="0"/>
    <xf numFmtId="9" fontId="87" fillId="0" borderId="0" applyFont="0" applyFill="0" applyBorder="0" applyAlignment="0" applyProtection="0"/>
    <xf numFmtId="9" fontId="86" fillId="0" borderId="0" applyFont="0" applyFill="0" applyBorder="0" applyAlignment="0" applyProtection="0"/>
    <xf numFmtId="9" fontId="54" fillId="0" borderId="0" applyFont="0" applyFill="0" applyBorder="0" applyAlignment="0" applyProtection="0"/>
    <xf numFmtId="9" fontId="19" fillId="0" borderId="0" applyFont="0" applyFill="0" applyBorder="0" applyAlignment="0" applyProtection="0"/>
    <xf numFmtId="9" fontId="86" fillId="0" borderId="0" applyFont="0" applyFill="0" applyBorder="0" applyAlignment="0" applyProtection="0"/>
    <xf numFmtId="9" fontId="86" fillId="0" borderId="0" applyFont="0" applyFill="0" applyBorder="0" applyAlignment="0" applyProtection="0"/>
    <xf numFmtId="9" fontId="54" fillId="0" borderId="0" applyFont="0" applyFill="0" applyBorder="0" applyAlignment="0" applyProtection="0"/>
    <xf numFmtId="9" fontId="88" fillId="0" borderId="0" applyFont="0" applyFill="0" applyBorder="0" applyAlignment="0" applyProtection="0"/>
    <xf numFmtId="9" fontId="86" fillId="0" borderId="0" applyFont="0" applyFill="0" applyBorder="0" applyAlignment="0" applyProtection="0"/>
    <xf numFmtId="9" fontId="19" fillId="0" borderId="0" applyFont="0" applyFill="0" applyBorder="0" applyAlignment="0" applyProtection="0"/>
    <xf numFmtId="9" fontId="86" fillId="0" borderId="0" applyFont="0" applyFill="0" applyBorder="0" applyAlignment="0" applyProtection="0"/>
    <xf numFmtId="9" fontId="54" fillId="0" borderId="0" applyFont="0" applyFill="0" applyBorder="0" applyAlignment="0" applyProtection="0"/>
    <xf numFmtId="9" fontId="24" fillId="0" borderId="0" applyFont="0" applyFill="0" applyBorder="0" applyAlignment="0" applyProtection="0"/>
    <xf numFmtId="9" fontId="86" fillId="0" borderId="0" applyFont="0" applyFill="0" applyBorder="0" applyAlignment="0" applyProtection="0"/>
    <xf numFmtId="9" fontId="19" fillId="0" borderId="0" applyFont="0" applyFill="0" applyBorder="0" applyAlignment="0" applyProtection="0"/>
    <xf numFmtId="9" fontId="86" fillId="0" borderId="0" applyFont="0" applyFill="0" applyBorder="0" applyAlignment="0" applyProtection="0"/>
    <xf numFmtId="9" fontId="54" fillId="0" borderId="0" applyFont="0" applyFill="0" applyBorder="0" applyAlignment="0" applyProtection="0"/>
    <xf numFmtId="9" fontId="24" fillId="0" borderId="0" applyFont="0" applyFill="0" applyBorder="0" applyAlignment="0" applyProtection="0"/>
    <xf numFmtId="9" fontId="70" fillId="0" borderId="0" applyFont="0" applyFill="0" applyBorder="0" applyAlignment="0" applyProtection="0"/>
    <xf numFmtId="0" fontId="19" fillId="0" borderId="0" applyNumberFormat="0" applyFill="0" applyBorder="0" applyAlignment="0" applyProtection="0"/>
    <xf numFmtId="9" fontId="54" fillId="0" borderId="0" applyFont="0" applyFill="0" applyBorder="0" applyAlignment="0" applyProtection="0"/>
    <xf numFmtId="9" fontId="24" fillId="0" borderId="0" applyFont="0" applyFill="0" applyBorder="0" applyAlignment="0" applyProtection="0"/>
    <xf numFmtId="9" fontId="86" fillId="0" borderId="0" applyFon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9" fontId="19" fillId="0" borderId="0" applyFont="0" applyFill="0" applyBorder="0" applyAlignment="0" applyProtection="0"/>
    <xf numFmtId="0" fontId="19" fillId="0" borderId="0"/>
    <xf numFmtId="0" fontId="24" fillId="64" borderId="0" applyNumberFormat="0" applyFont="0" applyBorder="0" applyAlignment="0" applyProtection="0"/>
    <xf numFmtId="0" fontId="28" fillId="36" borderId="0" applyNumberForma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12" fillId="65" borderId="0" applyNumberFormat="0" applyBorder="0" applyAlignment="0"/>
    <xf numFmtId="0" fontId="19" fillId="0" borderId="0"/>
    <xf numFmtId="0" fontId="61" fillId="0" borderId="0"/>
    <xf numFmtId="0" fontId="19" fillId="0" borderId="0">
      <alignment horizontal="left" wrapText="1"/>
    </xf>
    <xf numFmtId="0" fontId="19" fillId="0" borderId="0" applyNumberFormat="0" applyFill="0" applyBorder="0" applyAlignment="0" applyProtection="0"/>
    <xf numFmtId="0" fontId="71" fillId="0" borderId="0">
      <alignment horizontal="center" vertical="center" wrapText="1"/>
    </xf>
    <xf numFmtId="0" fontId="71" fillId="0" borderId="0">
      <alignment horizontal="right"/>
    </xf>
    <xf numFmtId="0" fontId="74" fillId="60" borderId="0">
      <alignment horizontal="center"/>
    </xf>
    <xf numFmtId="0" fontId="113" fillId="66" borderId="0" applyNumberFormat="0" applyBorder="0" applyAlignment="0"/>
    <xf numFmtId="0" fontId="62" fillId="58" borderId="25" applyNumberFormat="0" applyFont="0" applyFill="0" applyBorder="0" applyAlignment="0" applyProtection="0">
      <alignment horizontal="left"/>
    </xf>
    <xf numFmtId="178" fontId="54" fillId="0" borderId="26" applyFill="0" applyBorder="0" applyProtection="0">
      <alignment horizontal="right"/>
    </xf>
    <xf numFmtId="0" fontId="73" fillId="0" borderId="0" applyNumberFormat="0" applyFill="0" applyBorder="0" applyProtection="0">
      <alignment horizontal="center" vertical="center" wrapText="1"/>
    </xf>
    <xf numFmtId="1" fontId="74" fillId="0" borderId="0" applyNumberFormat="0" applyFill="0" applyBorder="0" applyProtection="0">
      <alignment horizontal="right" vertical="top"/>
    </xf>
    <xf numFmtId="179" fontId="54" fillId="0" borderId="0" applyNumberFormat="0" applyFill="0" applyBorder="0" applyProtection="0">
      <alignment horizontal="left"/>
    </xf>
    <xf numFmtId="0" fontId="74" fillId="0" borderId="0" applyNumberFormat="0" applyFill="0" applyBorder="0" applyProtection="0">
      <alignment horizontal="left" vertical="top"/>
    </xf>
    <xf numFmtId="0" fontId="19" fillId="0" borderId="0"/>
    <xf numFmtId="0" fontId="63"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36" fillId="0" borderId="27" applyNumberFormat="0" applyFill="0" applyAlignment="0" applyProtection="0"/>
    <xf numFmtId="0" fontId="114" fillId="0" borderId="9" applyNumberFormat="0" applyFill="0" applyAlignment="0" applyProtection="0"/>
    <xf numFmtId="0" fontId="36" fillId="0" borderId="17" applyNumberFormat="0" applyFill="0" applyAlignment="0" applyProtection="0"/>
    <xf numFmtId="0" fontId="36" fillId="0" borderId="27" applyNumberFormat="0" applyFill="0" applyAlignment="0" applyProtection="0"/>
    <xf numFmtId="0" fontId="36" fillId="0" borderId="17" applyNumberFormat="0" applyFill="0" applyAlignment="0" applyProtection="0"/>
    <xf numFmtId="0" fontId="113" fillId="66" borderId="0" applyNumberFormat="0" applyBorder="0" applyAlignment="0"/>
    <xf numFmtId="0" fontId="42" fillId="0" borderId="19" applyNumberFormat="0" applyFill="0" applyAlignment="0" applyProtection="0"/>
    <xf numFmtId="0" fontId="44" fillId="0" borderId="19" applyNumberFormat="0" applyFill="0" applyAlignment="0" applyProtection="0"/>
    <xf numFmtId="0" fontId="46" fillId="0" borderId="22" applyNumberFormat="0" applyFill="0" applyAlignment="0" applyProtection="0"/>
    <xf numFmtId="0" fontId="46" fillId="0" borderId="0" applyNumberFormat="0" applyFill="0" applyBorder="0" applyAlignment="0" applyProtection="0"/>
    <xf numFmtId="0" fontId="64" fillId="0" borderId="0" applyNumberFormat="0" applyFill="0" applyBorder="0" applyAlignment="0" applyProtection="0"/>
    <xf numFmtId="0" fontId="52" fillId="0" borderId="23" applyNumberFormat="0" applyFill="0" applyAlignment="0" applyProtection="0"/>
    <xf numFmtId="44" fontId="19" fillId="0" borderId="0" applyFon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115" fillId="0" borderId="0" applyNumberFormat="0" applyFill="0" applyBorder="0" applyAlignment="0" applyProtection="0"/>
    <xf numFmtId="0" fontId="65" fillId="0" borderId="0" applyNumberFormat="0" applyFill="0" applyBorder="0" applyAlignment="0" applyProtection="0"/>
    <xf numFmtId="0" fontId="20" fillId="0" borderId="0"/>
    <xf numFmtId="0" fontId="19" fillId="0" borderId="0"/>
    <xf numFmtId="0" fontId="19" fillId="0" borderId="0"/>
    <xf numFmtId="0" fontId="19" fillId="0" borderId="0"/>
    <xf numFmtId="0" fontId="19" fillId="0" borderId="0"/>
    <xf numFmtId="0" fontId="30" fillId="59" borderId="16" applyNumberFormat="0" applyAlignment="0" applyProtection="0"/>
    <xf numFmtId="0" fontId="66" fillId="0" borderId="0">
      <alignment vertical="center"/>
    </xf>
  </cellStyleXfs>
  <cellXfs count="9">
    <xf numFmtId="0" fontId="0" fillId="0" borderId="0" xfId="0"/>
    <xf numFmtId="0" fontId="0" fillId="0" borderId="0" xfId="0" applyAlignment="1">
      <alignment horizontal="left"/>
    </xf>
    <xf numFmtId="0" fontId="0" fillId="0" borderId="0" xfId="0" applyAlignment="1">
      <alignment horizontal="left" vertical="center"/>
    </xf>
    <xf numFmtId="3" fontId="0" fillId="0" borderId="0" xfId="0" applyNumberFormat="1" applyAlignment="1">
      <alignment horizontal="right" vertical="center"/>
    </xf>
    <xf numFmtId="3" fontId="0" fillId="0" borderId="0" xfId="0" applyNumberFormat="1"/>
    <xf numFmtId="164" fontId="0" fillId="0" borderId="0" xfId="1" applyNumberFormat="1" applyFont="1"/>
    <xf numFmtId="9" fontId="0" fillId="0" borderId="0" xfId="2" applyFont="1"/>
    <xf numFmtId="3" fontId="18" fillId="33" borderId="10" xfId="0" applyNumberFormat="1" applyFont="1" applyFill="1" applyBorder="1"/>
    <xf numFmtId="0" fontId="0" fillId="0" borderId="0" xfId="0" applyFont="1" applyAlignment="1">
      <alignment horizontal="left"/>
    </xf>
  </cellXfs>
  <cellStyles count="749">
    <cellStyle name="%" xfId="44" xr:uid="{8AEE5367-C4F8-4EB5-AD34-DC525A803789}"/>
    <cellStyle name="_TiL new and unused charts" xfId="45" xr:uid="{4E6B5089-C763-4DE3-9FE0-2832E068CB41}"/>
    <cellStyle name="_TiL new and unused charts_Tables 1.2" xfId="46" xr:uid="{677DD7AC-9B7D-4B1A-9BCD-B49743DF0AEE}"/>
    <cellStyle name="_TiL new and unused charts_Tables 2011" xfId="47" xr:uid="{8936BDF8-EED2-4066-9F6A-F6C16840BAA4}"/>
    <cellStyle name="_TiL new charts" xfId="48" xr:uid="{D058DAE6-81D7-410A-98AA-DB96A1AF5857}"/>
    <cellStyle name="_TiL new charts_Tables 1.2" xfId="49" xr:uid="{A12405DD-7946-4113-AD57-4B699F83C983}"/>
    <cellStyle name="_TiL new charts_Tables 2011" xfId="50" xr:uid="{3FF689E7-6479-4F61-B85C-91E3168419A7}"/>
    <cellStyle name="W_v\è`" xfId="51" xr:uid="{AE65E71D-F68F-47E1-8084-EB2045DCDEC5}"/>
    <cellStyle name="20% - Accent1" xfId="21" builtinId="30" customBuiltin="1"/>
    <cellStyle name="20% - Accent1 2" xfId="52" xr:uid="{89B56658-C4D8-4A18-B394-D58EC6B765BA}"/>
    <cellStyle name="20% - Accent1 2 2" xfId="53" xr:uid="{AAC5A12B-A4D9-4A36-985E-A09E79BFF06E}"/>
    <cellStyle name="20% - Accent1 2 3" xfId="54" xr:uid="{EFCE8DBD-62F5-4CC5-8825-DD06F204B135}"/>
    <cellStyle name="20% - Accent1 3" xfId="55" xr:uid="{B15825FC-A10C-4A3F-9445-0E06ED87C0A9}"/>
    <cellStyle name="20% - Accent1 4" xfId="56" xr:uid="{AC053BBE-0E92-46F3-B0FA-F60A8154B2C8}"/>
    <cellStyle name="20% - Accent2" xfId="25" builtinId="34" customBuiltin="1"/>
    <cellStyle name="20% - Accent2 2" xfId="57" xr:uid="{1820A871-E8D9-401B-A74C-E67D91224188}"/>
    <cellStyle name="20% - Accent2 2 2" xfId="58" xr:uid="{931F2A64-A85F-4B2E-A891-429051B9FFC9}"/>
    <cellStyle name="20% - Accent2 2 3" xfId="59" xr:uid="{0976BA9D-EA1A-4C9C-A804-8670B974D2AB}"/>
    <cellStyle name="20% - Accent2 2 4" xfId="60" xr:uid="{AC8DC91F-75F0-48CB-A220-AD1B328903CB}"/>
    <cellStyle name="20% - Accent2 3" xfId="61" xr:uid="{51EAB740-5A4E-43BB-ACBE-F8DDC9CF5795}"/>
    <cellStyle name="20% - Accent2 4" xfId="62" xr:uid="{3304CDE6-7EE8-449E-8040-0CC67D158BEE}"/>
    <cellStyle name="20% - Accent3" xfId="29" builtinId="38" customBuiltin="1"/>
    <cellStyle name="20% - Accent3 2" xfId="63" xr:uid="{D9F595B9-DC8D-40C3-B0F7-E1509178CF67}"/>
    <cellStyle name="20% - Accent3 2 2" xfId="64" xr:uid="{A61034BD-BBD9-490A-A255-044BA2C1923F}"/>
    <cellStyle name="20% - Accent3 2 3" xfId="65" xr:uid="{7BB7846E-C22D-4CEF-B9D6-012E763FB2FC}"/>
    <cellStyle name="20% - Accent3 3" xfId="66" xr:uid="{B249BC75-60A3-4BB8-A0C6-233EB7240959}"/>
    <cellStyle name="20% - Accent3 4" xfId="67" xr:uid="{766AAA31-750B-4E86-9582-36EB757B4E7D}"/>
    <cellStyle name="20% - Accent4" xfId="33" builtinId="42" customBuiltin="1"/>
    <cellStyle name="20% - Accent4 2" xfId="68" xr:uid="{D0FC47E0-E8A9-4234-B3FB-E2A6DAD3A290}"/>
    <cellStyle name="20% - Accent4 2 2" xfId="69" xr:uid="{D42CAF15-B2B6-41AD-A549-6E638D2699CB}"/>
    <cellStyle name="20% - Accent4 2 3" xfId="70" xr:uid="{5A3BC1AC-7AD0-4072-BCDC-BE739B04CCA8}"/>
    <cellStyle name="20% - Accent4 3" xfId="71" xr:uid="{9E62B4D7-7B31-4756-83B8-8A4F3822986D}"/>
    <cellStyle name="20% - Accent4 4" xfId="72" xr:uid="{E493C96B-F0B5-48D9-B7D5-3E00DC4761EF}"/>
    <cellStyle name="20% - Accent5" xfId="37" builtinId="46" customBuiltin="1"/>
    <cellStyle name="20% - Accent5 2" xfId="73" xr:uid="{6DA01CAA-6A7F-4791-A840-2204EC5C0A6B}"/>
    <cellStyle name="20% - Accent5 2 2" xfId="74" xr:uid="{9CD8B9F6-FAB0-4D4D-AAF8-5E4FDF64695F}"/>
    <cellStyle name="20% - Accent5 3" xfId="75" xr:uid="{CF7BF19F-CDEF-4D79-9D88-7BD9C133D19E}"/>
    <cellStyle name="20% - Accent6" xfId="41" builtinId="50" customBuiltin="1"/>
    <cellStyle name="20% - Accent6 2" xfId="76" xr:uid="{0F35DA2F-F54D-4F22-BC9B-92FD013A40C7}"/>
    <cellStyle name="20% - Accent6 2 2" xfId="77" xr:uid="{FFE2BE66-DCE0-41A4-B92F-D08A1ED3453C}"/>
    <cellStyle name="20% - Accent6 2 3" xfId="78" xr:uid="{335A6A5B-5139-4A3D-9A1F-743A4C8A27D2}"/>
    <cellStyle name="20% - Accent6 3" xfId="79" xr:uid="{6817B5C5-D898-41B8-A55C-A9E339299379}"/>
    <cellStyle name="20% - Accent6 4" xfId="80" xr:uid="{5B7E82D7-CEC8-4E9B-BA75-A0562C901C40}"/>
    <cellStyle name="20% - Akzent1 2" xfId="81" xr:uid="{64681BAC-EE3A-41FF-8C8D-67F80DD4D7EA}"/>
    <cellStyle name="20% - Akzent2 2" xfId="82" xr:uid="{24254D45-C60C-4001-BFB4-A8CDF8052D45}"/>
    <cellStyle name="20% - Akzent3 2" xfId="83" xr:uid="{76984FC6-4A4E-4948-9899-95B338993A59}"/>
    <cellStyle name="20% - Akzent4 2" xfId="84" xr:uid="{654F472F-49C2-42C8-ACCB-50B7FE9D55FC}"/>
    <cellStyle name="20% - Akzent5 2" xfId="85" xr:uid="{BBFA6807-A0AE-46DB-AC8D-ECEA02B321C5}"/>
    <cellStyle name="20% - Akzent6 2" xfId="86" xr:uid="{8FB7BD70-6006-4EEB-B1EE-993D0574C2DD}"/>
    <cellStyle name="40% - Accent1" xfId="22" builtinId="31" customBuiltin="1"/>
    <cellStyle name="40% - Accent1 2" xfId="87" xr:uid="{446308ED-44FF-4019-AF7D-79F217BE6154}"/>
    <cellStyle name="40% - Accent1 2 2" xfId="88" xr:uid="{342D7A1F-3FE4-489E-807B-A9D0DD94B7E4}"/>
    <cellStyle name="40% - Accent1 2 3" xfId="89" xr:uid="{BEE1943B-2E30-4538-8694-D6D32C2DA971}"/>
    <cellStyle name="40% - Accent1 3" xfId="90" xr:uid="{2F6714A4-6094-47F0-9B43-B9CE82EDBE7C}"/>
    <cellStyle name="40% - Accent1 4" xfId="91" xr:uid="{0C30DA1F-D857-4377-B6E4-EA97D9CE95F8}"/>
    <cellStyle name="40% - Accent2" xfId="26" builtinId="35" customBuiltin="1"/>
    <cellStyle name="40% - Accent2 2" xfId="92" xr:uid="{AF54D3B6-6043-4DB4-A596-3CF9EB7B6DA1}"/>
    <cellStyle name="40% - Accent2 2 2" xfId="93" xr:uid="{1BD91763-7E6C-4FB3-A3A6-BF8C86565824}"/>
    <cellStyle name="40% - Accent2 3" xfId="94" xr:uid="{833514BC-AD10-4F64-8C63-ABAA07B3E69A}"/>
    <cellStyle name="40% - Accent3" xfId="30" builtinId="39" customBuiltin="1"/>
    <cellStyle name="40% - Accent3 2" xfId="95" xr:uid="{22F2F206-D5FD-44DB-BF07-DB5928509AE3}"/>
    <cellStyle name="40% - Accent3 2 2" xfId="96" xr:uid="{272F3CCE-3E0A-4980-A6FA-E836AE9827BF}"/>
    <cellStyle name="40% - Accent3 2 3" xfId="97" xr:uid="{B4C439D5-2464-45E4-BB5B-78E4905A185B}"/>
    <cellStyle name="40% - Accent3 3" xfId="98" xr:uid="{D575172D-BC58-4A6F-93D5-D9137631E19D}"/>
    <cellStyle name="40% - Accent3 4" xfId="99" xr:uid="{F03BC8CC-6C6D-4EF2-9862-AE3B1FDF4E61}"/>
    <cellStyle name="40% - Accent4" xfId="34" builtinId="43" customBuiltin="1"/>
    <cellStyle name="40% - Accent4 2" xfId="100" xr:uid="{94C45B2E-8B5D-41F7-A072-2379EBB0475D}"/>
    <cellStyle name="40% - Accent4 2 2" xfId="101" xr:uid="{947766C2-C44E-46F2-9EA4-4E6C0BA6F73F}"/>
    <cellStyle name="40% - Accent4 2 3" xfId="102" xr:uid="{AA1F62A9-9F5B-4A0E-AC35-C9373D2A3F18}"/>
    <cellStyle name="40% - Accent4 3" xfId="103" xr:uid="{F61F28BC-3C23-466B-AE87-AED7F50EC607}"/>
    <cellStyle name="40% - Accent4 4" xfId="104" xr:uid="{016B9633-552B-42D9-867D-F1564F587BE1}"/>
    <cellStyle name="40% - Accent5" xfId="38" builtinId="47" customBuiltin="1"/>
    <cellStyle name="40% - Accent5 2" xfId="105" xr:uid="{DFA7A8B1-56C3-4648-AEBF-2F8990DC6DB4}"/>
    <cellStyle name="40% - Accent5 2 2" xfId="106" xr:uid="{9421B2D5-2E00-47D9-8818-0EB883437153}"/>
    <cellStyle name="40% - Accent5 3" xfId="107" xr:uid="{0B7EBBD6-4326-4146-8EDA-62185D7B3459}"/>
    <cellStyle name="40% - Accent6" xfId="42" builtinId="51" customBuiltin="1"/>
    <cellStyle name="40% - Accent6 2" xfId="108" xr:uid="{F6983936-5DFC-4E72-A85B-D8634B718D28}"/>
    <cellStyle name="40% - Accent6 2 2" xfId="109" xr:uid="{B5FF359D-8FA2-4884-9171-5857AE29CEC1}"/>
    <cellStyle name="40% - Accent6 2 3" xfId="110" xr:uid="{38733CE1-9F17-444A-8BFC-CC859DFDCF24}"/>
    <cellStyle name="40% - Accent6 3" xfId="111" xr:uid="{0FA9C180-A1D0-40A9-A9D0-B1B156A9A254}"/>
    <cellStyle name="40% - Accent6 4" xfId="112" xr:uid="{44EB38E4-48BF-4054-880F-469F061BF1EA}"/>
    <cellStyle name="40% - Akzent1 2" xfId="113" xr:uid="{A31DBB44-A48A-43BE-A1BC-C56C509E9DFB}"/>
    <cellStyle name="40% - Akzent2 2" xfId="114" xr:uid="{E68366FE-560E-4B5C-A3B6-A42D2EF09755}"/>
    <cellStyle name="40% - Akzent3 2" xfId="115" xr:uid="{FB435098-DAEA-4614-B271-9038F2E69345}"/>
    <cellStyle name="40% - Akzent4 2" xfId="116" xr:uid="{74177FC6-63A5-4803-9D41-E948F7CC9D18}"/>
    <cellStyle name="40% - Akzent5 2" xfId="117" xr:uid="{70571191-4380-4475-9406-AB1E86657766}"/>
    <cellStyle name="40% - Akzent6 2" xfId="118" xr:uid="{89AB2B3F-D11E-4FEA-87FD-B5D7F6091CA0}"/>
    <cellStyle name="60% - Accent1" xfId="23" builtinId="32" customBuiltin="1"/>
    <cellStyle name="60% - Accent1 2" xfId="119" xr:uid="{3BC43F38-31A2-4FB0-9BA5-DCFC1B255E82}"/>
    <cellStyle name="60% - Accent1 2 2" xfId="120" xr:uid="{522E0F9E-954C-4821-A78F-EB75C0FE929F}"/>
    <cellStyle name="60% - Accent1 2 3" xfId="121" xr:uid="{001EA778-EFBB-415E-9058-438EF29F87BF}"/>
    <cellStyle name="60% - Accent1 3" xfId="122" xr:uid="{6C817FE9-3FEB-4D35-9882-69DAED502002}"/>
    <cellStyle name="60% - Accent1 4" xfId="123" xr:uid="{73E94B7B-6746-443B-A35E-316C671C1D7A}"/>
    <cellStyle name="60% - Accent2" xfId="27" builtinId="36" customBuiltin="1"/>
    <cellStyle name="60% - Accent2 2" xfId="124" xr:uid="{51E0A76F-C003-458F-AEBA-591FDAD030CF}"/>
    <cellStyle name="60% - Accent2 2 2" xfId="125" xr:uid="{13FA541C-49FB-4408-8068-3E780C42310D}"/>
    <cellStyle name="60% - Accent2 3" xfId="126" xr:uid="{6098CA06-7606-4ED5-ABA0-05CD2253D89F}"/>
    <cellStyle name="60% - Accent3" xfId="31" builtinId="40" customBuiltin="1"/>
    <cellStyle name="60% - Accent3 2" xfId="127" xr:uid="{65E921E8-DAC8-41BE-BBA2-BCB177C966B0}"/>
    <cellStyle name="60% - Accent3 2 2" xfId="128" xr:uid="{586EF017-0C5C-416C-8609-9E58B26A5D7E}"/>
    <cellStyle name="60% - Accent3 2 3" xfId="129" xr:uid="{556827D9-4F37-4C22-9CB3-7650F6910D5D}"/>
    <cellStyle name="60% - Accent3 3" xfId="130" xr:uid="{78AB67EC-4436-49DB-9598-1E137E939BDD}"/>
    <cellStyle name="60% - Accent3 4" xfId="131" xr:uid="{C525C00E-16B0-47D2-9FE6-B0E56484382B}"/>
    <cellStyle name="60% - Accent4" xfId="35" builtinId="44" customBuiltin="1"/>
    <cellStyle name="60% - Accent4 2" xfId="132" xr:uid="{14676F1D-316D-4958-9F15-449A33B19D62}"/>
    <cellStyle name="60% - Accent4 2 2" xfId="133" xr:uid="{32BEC86D-5737-4A14-8543-8DCF9A9934A7}"/>
    <cellStyle name="60% - Accent4 2 3" xfId="134" xr:uid="{581B5712-87D6-41A3-8B9F-FC90377CE1A0}"/>
    <cellStyle name="60% - Accent4 3" xfId="135" xr:uid="{C9484CD2-DB75-4E39-B715-9FE1755A5B89}"/>
    <cellStyle name="60% - Accent4 4" xfId="136" xr:uid="{EC500A4B-A9FF-4E8B-A2D4-9BF08B0E2AD4}"/>
    <cellStyle name="60% - Accent5" xfId="39" builtinId="48" customBuiltin="1"/>
    <cellStyle name="60% - Accent5 2" xfId="137" xr:uid="{E1618F7D-F08C-4474-B55D-5E4142118A6D}"/>
    <cellStyle name="60% - Accent5 2 2" xfId="138" xr:uid="{D59AC498-86BC-42EA-886F-6DFC97A7E279}"/>
    <cellStyle name="60% - Accent5 3" xfId="139" xr:uid="{A558497A-2746-44AC-94A2-242FAC337ADF}"/>
    <cellStyle name="60% - Accent6" xfId="43" builtinId="52" customBuiltin="1"/>
    <cellStyle name="60% - Accent6 2" xfId="140" xr:uid="{784EBE36-9947-4133-853E-75E98E6558D5}"/>
    <cellStyle name="60% - Accent6 2 2" xfId="141" xr:uid="{D4A2B731-2747-409E-8EC9-2048348C5067}"/>
    <cellStyle name="60% - Accent6 2 3" xfId="142" xr:uid="{186A7E4E-CB96-4CF2-A097-8476DA76DC38}"/>
    <cellStyle name="60% - Accent6 3" xfId="143" xr:uid="{6A6B2CCE-0FF3-4FB6-B38C-B4B0B48AE54E}"/>
    <cellStyle name="60% - Accent6 4" xfId="144" xr:uid="{7B6096BF-B4C1-48F9-BC68-25EB86D7D7DE}"/>
    <cellStyle name="60% - Akzent1 2" xfId="145" xr:uid="{0BE4613E-8F19-4CFA-89D0-BD84DC8324B9}"/>
    <cellStyle name="60% - Akzent2 2" xfId="146" xr:uid="{1BBE5550-AF54-4605-8F9E-1E4950171054}"/>
    <cellStyle name="60% - Akzent3 2" xfId="147" xr:uid="{4B8A686D-EEE9-420D-98DF-793E4B24F4B5}"/>
    <cellStyle name="60% - Akzent4 2" xfId="148" xr:uid="{553296F5-303F-4FD2-A1DA-35F612285439}"/>
    <cellStyle name="60% - Akzent5 2" xfId="149" xr:uid="{D54F41EB-07CA-45D1-B512-84C54308ECAF}"/>
    <cellStyle name="60% - Akzent6 2" xfId="150" xr:uid="{C3E35F21-C1E2-46AD-ACAF-F1517C44810B}"/>
    <cellStyle name="Accent1" xfId="20" builtinId="29" customBuiltin="1"/>
    <cellStyle name="Accent1 2" xfId="151" xr:uid="{5C54FBAC-D603-4DFD-8349-A315C4B6337A}"/>
    <cellStyle name="Accent1 2 2" xfId="152" xr:uid="{ABF7FED8-7479-47BD-895D-00D624291F68}"/>
    <cellStyle name="Accent1 2 3" xfId="153" xr:uid="{1E4D986F-6AEA-40CD-B636-6534C06FB24C}"/>
    <cellStyle name="Accent1 3" xfId="154" xr:uid="{5A4E7B80-5184-4CE7-8A18-946EDBB438AE}"/>
    <cellStyle name="Accent1 4" xfId="155" xr:uid="{3F655FC9-DD1E-4D14-BBD1-51C3C7154DF0}"/>
    <cellStyle name="Accent2" xfId="24" builtinId="33" customBuiltin="1"/>
    <cellStyle name="Accent2 2" xfId="156" xr:uid="{A36EB694-10C4-45C3-A93F-EF6740C8CBE3}"/>
    <cellStyle name="Accent2 2 2" xfId="157" xr:uid="{A7F80BFE-4107-4D2E-9AF8-E4088997AF4C}"/>
    <cellStyle name="Accent2 3" xfId="158" xr:uid="{5079C6FB-4B03-421D-9EAE-379BEB4E80D7}"/>
    <cellStyle name="Accent3" xfId="28" builtinId="37" customBuiltin="1"/>
    <cellStyle name="Accent3 2" xfId="159" xr:uid="{3A141758-6468-4275-B863-26A268B6E2B0}"/>
    <cellStyle name="Accent3 2 2" xfId="160" xr:uid="{27ED4728-560F-4BAA-973D-D7C76AB1DA65}"/>
    <cellStyle name="Accent3 3" xfId="161" xr:uid="{4370F35C-F560-44C3-BBC6-A60C2634D2A8}"/>
    <cellStyle name="Accent4" xfId="32" builtinId="41" customBuiltin="1"/>
    <cellStyle name="Accent4 2" xfId="162" xr:uid="{AF262A53-D39B-47CA-A427-5CB0E2F3D63F}"/>
    <cellStyle name="Accent4 2 2" xfId="163" xr:uid="{1DB980B7-982E-4C9C-80A3-2819917BA00B}"/>
    <cellStyle name="Accent4 2 3" xfId="164" xr:uid="{079778F7-14D1-4B9F-AD7F-7B1CE8F96AC8}"/>
    <cellStyle name="Accent4 3" xfId="165" xr:uid="{17A97C95-51BE-4DB5-9DA5-461D1BF959A4}"/>
    <cellStyle name="Accent4 4" xfId="166" xr:uid="{F184D7B4-1705-4750-BB61-87ACACB2D803}"/>
    <cellStyle name="Accent5" xfId="36" builtinId="45" customBuiltin="1"/>
    <cellStyle name="Accent5 2" xfId="167" xr:uid="{D428372A-5ADF-4CF6-824C-0850C642464F}"/>
    <cellStyle name="Accent5 2 2" xfId="168" xr:uid="{E3D4D8D5-345D-4C35-ADFF-97BB9127D6E4}"/>
    <cellStyle name="Accent5 3" xfId="169" xr:uid="{38E48242-2E6C-434C-A459-51F1E8770714}"/>
    <cellStyle name="Accent6" xfId="40" builtinId="49" customBuiltin="1"/>
    <cellStyle name="Accent6 2" xfId="170" xr:uid="{D060A1AD-D3EA-4863-A18D-E968F628A301}"/>
    <cellStyle name="Accent6 2 2" xfId="171" xr:uid="{EB3E6E3D-73B0-43E5-8E60-54B690E67627}"/>
    <cellStyle name="Accent6 3" xfId="172" xr:uid="{1A1D6854-C731-4E0E-9957-08F999703A2E}"/>
    <cellStyle name="Akzent1 2" xfId="173" xr:uid="{273BCCBA-919B-42FC-AE81-D315AD61DD50}"/>
    <cellStyle name="Akzent2 2" xfId="174" xr:uid="{62BD5A01-1301-4E65-BD15-117F92679A46}"/>
    <cellStyle name="Akzent3 2" xfId="175" xr:uid="{23228887-975B-458E-9B58-26A8705D90D8}"/>
    <cellStyle name="Akzent4 2" xfId="176" xr:uid="{2E18D06E-562C-45D3-88E2-6724A12CD82B}"/>
    <cellStyle name="Akzent5 2" xfId="177" xr:uid="{7AF418BF-19A5-4EB2-8B42-C842852FE985}"/>
    <cellStyle name="Akzent6 2" xfId="178" xr:uid="{E465C2F2-D32A-456C-8913-CE021ACC263A}"/>
    <cellStyle name="ANCLAS,REZONES Y SUS PARTES,DE FUNDICION,DE HIERRO O DE ACERO" xfId="179" xr:uid="{3C0751CB-3A60-4EB3-963C-57B9C0D98F64}"/>
    <cellStyle name="Ausgabe 2" xfId="180" xr:uid="{3B8D2F8F-5715-480B-8A3C-B780B1EF763A}"/>
    <cellStyle name="Bad" xfId="9" builtinId="27" customBuiltin="1"/>
    <cellStyle name="Bad 2" xfId="181" xr:uid="{A6525B82-F241-4CBC-85AF-DEFFA5249B75}"/>
    <cellStyle name="Bad 2 2" xfId="182" xr:uid="{15324BBF-D7F1-4F8C-BC08-B3601BC2B802}"/>
    <cellStyle name="Bad 3" xfId="183" xr:uid="{CF4B3EA9-C16A-47FD-B014-D6625BF0AF9E}"/>
    <cellStyle name="Bad 4" xfId="184" xr:uid="{4CF66FD0-51A1-47CF-8614-BFA508E13D58}"/>
    <cellStyle name="Berechnung 2" xfId="185" xr:uid="{AF74C9B3-10B3-47CC-928E-C11FF001BF24}"/>
    <cellStyle name="Calculation" xfId="13" builtinId="22" customBuiltin="1"/>
    <cellStyle name="Calculation 2" xfId="186" xr:uid="{8D55D675-4C4E-4B2B-B566-F4768FB01BF4}"/>
    <cellStyle name="Calculation 2 2" xfId="187" xr:uid="{7C5EC192-5314-4039-BE7E-838DC997FCAD}"/>
    <cellStyle name="Calculation 2 3" xfId="188" xr:uid="{572918C4-8E17-480E-9581-7A1D046D7747}"/>
    <cellStyle name="Calculation 3" xfId="189" xr:uid="{12C20739-9B5D-4676-A93A-3609CA53FB93}"/>
    <cellStyle name="Calculation 4" xfId="190" xr:uid="{B044F3AF-688E-44B9-9A44-1BA137D9E166}"/>
    <cellStyle name="CellBACode" xfId="191" xr:uid="{873DC30F-505F-4223-A6BD-DDB52DC8F330}"/>
    <cellStyle name="CellBAName" xfId="192" xr:uid="{5879F10E-64E5-4059-8F80-EFA86FF1233E}"/>
    <cellStyle name="CellBAValue" xfId="193" xr:uid="{F8131D10-670A-419D-A176-8ED3C2D2BEC0}"/>
    <cellStyle name="CellMCCode" xfId="194" xr:uid="{30CFF5F0-C4B9-4A2D-9EE9-02795BAC1470}"/>
    <cellStyle name="CellMCName" xfId="195" xr:uid="{B218AA69-9B16-4FC2-B27B-41AB881F9AC1}"/>
    <cellStyle name="CellMCValue" xfId="196" xr:uid="{35CDB550-5193-4854-990B-072566441BB6}"/>
    <cellStyle name="CellNationCode" xfId="197" xr:uid="{09E17E26-E3F3-4920-BFD3-C9B5DA1331DD}"/>
    <cellStyle name="CellNationName" xfId="198" xr:uid="{1A0B78F6-92A0-4329-84DB-198553462F41}"/>
    <cellStyle name="CellNationSubCode" xfId="199" xr:uid="{CE6BE976-FCD6-4766-BFA8-88F077DD8E71}"/>
    <cellStyle name="CellNationSubName" xfId="200" xr:uid="{027325C8-DB43-4600-B3A1-FA0075B2DC44}"/>
    <cellStyle name="CellNationSubValue" xfId="201" xr:uid="{778A7F6C-573F-413B-B416-828C75E26F1A}"/>
    <cellStyle name="CellNationValue" xfId="202" xr:uid="{CE54A954-2FE4-4417-98C0-354BD7EEE61E}"/>
    <cellStyle name="CellNormal" xfId="203" xr:uid="{B64A1A6A-9ECC-4375-A264-3455F67900C6}"/>
    <cellStyle name="CellRegionCode" xfId="204" xr:uid="{7BDD558A-BE0F-4A47-B9BA-83AF96636827}"/>
    <cellStyle name="CellRegionName" xfId="205" xr:uid="{F7115089-150F-4834-AD2D-523DA07EC5E4}"/>
    <cellStyle name="CellRegionValue" xfId="206" xr:uid="{5B171FE1-D1F1-4147-B4C9-8D04728DD3FB}"/>
    <cellStyle name="CellUACode" xfId="207" xr:uid="{1024C625-84D8-4C3C-A3C6-D30305F37803}"/>
    <cellStyle name="CellUAName" xfId="208" xr:uid="{D855E973-0C69-4529-9443-F64E0F514C1B}"/>
    <cellStyle name="CellUAValue" xfId="209" xr:uid="{AAFC9F8C-6BEB-4FA5-BB14-E0C17CC91D9D}"/>
    <cellStyle name="Check Cell" xfId="15" builtinId="23" customBuiltin="1"/>
    <cellStyle name="Check Cell 2" xfId="210" xr:uid="{8D4B72CB-68F1-4958-A7CD-524B2C2F9E90}"/>
    <cellStyle name="Check Cell 2 2" xfId="211" xr:uid="{D5C02313-4F4B-4780-A75D-FE9D180CBD13}"/>
    <cellStyle name="Check Cell 3" xfId="212" xr:uid="{DC9DC2FD-958F-4E20-8261-10CE3DD437D7}"/>
    <cellStyle name="Comma" xfId="1" builtinId="3"/>
    <cellStyle name="Comma 10" xfId="214" xr:uid="{1684D5FB-070B-4601-AAF0-6BD33E341ECF}"/>
    <cellStyle name="Comma 11" xfId="215" xr:uid="{C8B272FF-5619-449B-B2A5-6E3FE312577E}"/>
    <cellStyle name="Comma 12" xfId="216" xr:uid="{F7045F37-3DBD-473A-A38E-7AD6180D0EFE}"/>
    <cellStyle name="Comma 13" xfId="217" xr:uid="{4E33A565-8888-49D7-B0AB-266BF8397233}"/>
    <cellStyle name="Comma 14" xfId="218" xr:uid="{194DCE7C-AB3D-4C89-84F5-1D72E19C2268}"/>
    <cellStyle name="Comma 15" xfId="219" xr:uid="{A2086ADC-65E7-4D19-BBE7-C5AEFBF468DF}"/>
    <cellStyle name="Comma 16" xfId="220" xr:uid="{0180BB27-9041-4092-A4E6-685278417765}"/>
    <cellStyle name="Comma 17" xfId="221" xr:uid="{2E24A583-79D8-468C-8EAB-7A7A6E609CE8}"/>
    <cellStyle name="Comma 18" xfId="222" xr:uid="{BCDAEA4B-209A-40FB-A8E7-3AD279A40CF1}"/>
    <cellStyle name="Comma 19" xfId="223" xr:uid="{4912A92B-C716-4104-80FC-8324C5600425}"/>
    <cellStyle name="Comma 2" xfId="224" xr:uid="{E480E032-183F-4E33-A967-3EA6AD4FBEFA}"/>
    <cellStyle name="Comma 2 2" xfId="225" xr:uid="{A800C980-3640-4748-A22F-AAEF6BA5E6EA}"/>
    <cellStyle name="Comma 2 2 2" xfId="226" xr:uid="{148C95A7-3899-4E72-BDD2-769B9D0DC047}"/>
    <cellStyle name="Comma 2 2 2 2" xfId="227" xr:uid="{94C10071-6337-4564-BDA2-73DBE6500113}"/>
    <cellStyle name="Comma 2 2 3" xfId="228" xr:uid="{767C280B-8C74-4189-A1DF-C8AEC0865E21}"/>
    <cellStyle name="Comma 2 2 4" xfId="229" xr:uid="{EF745B56-FBA9-4E80-9728-E5BE54EAA40B}"/>
    <cellStyle name="Comma 2 2 5" xfId="230" xr:uid="{389CD965-4AB8-474C-8198-BC1658497695}"/>
    <cellStyle name="Comma 2 2 6" xfId="231" xr:uid="{3FB6C5A2-2D14-46AD-B81C-7E80EA2B3956}"/>
    <cellStyle name="Comma 2 3" xfId="232" xr:uid="{25DB1479-99DD-42A1-93ED-AD272E6864D6}"/>
    <cellStyle name="Comma 2 3 2" xfId="233" xr:uid="{4449AD7D-F29A-412F-9C4A-B2E3B0B967A2}"/>
    <cellStyle name="Comma 2 4" xfId="234" xr:uid="{E5F6F1FD-318D-45D9-B47C-83B46F2E4501}"/>
    <cellStyle name="Comma 2 4 2" xfId="235" xr:uid="{C9B99A87-71D7-4D77-9925-F349B5504BCC}"/>
    <cellStyle name="Comma 2 5" xfId="236" xr:uid="{FDF25E1F-A180-4634-9E36-30D5D175E773}"/>
    <cellStyle name="Comma 2 5 2" xfId="237" xr:uid="{926F74A3-2A64-4897-A05E-7ED3AB9EA9B0}"/>
    <cellStyle name="Comma 2 6" xfId="238" xr:uid="{6A2613D9-94FF-4745-9215-B8B86C3476D1}"/>
    <cellStyle name="Comma 2 7" xfId="239" xr:uid="{5579AB2D-9DFE-4F31-92E6-590167E5284A}"/>
    <cellStyle name="Comma 2 8" xfId="240" xr:uid="{E9B69E5A-67B8-4275-9DA7-6102A942120F}"/>
    <cellStyle name="Comma 20" xfId="241" xr:uid="{FCCD95ED-9B95-4B57-A112-F978AE19FB8E}"/>
    <cellStyle name="Comma 21" xfId="242" xr:uid="{18C6EFF0-EBBD-46F8-BEB7-0457C75D4F6D}"/>
    <cellStyle name="Comma 22" xfId="243" xr:uid="{9FAE3526-11CF-45CC-8690-A633D7CEF03A}"/>
    <cellStyle name="Comma 23" xfId="213" xr:uid="{4E9614CD-6A88-4227-8C70-0902C0C0CDF5}"/>
    <cellStyle name="Comma 3" xfId="244" xr:uid="{8CF26F17-B973-43AA-AB0C-1B222752A36E}"/>
    <cellStyle name="Comma 3 2" xfId="245" xr:uid="{EFBB9102-9B2C-43ED-A58F-2C9D2883ECCC}"/>
    <cellStyle name="Comma 3 2 2" xfId="246" xr:uid="{2F489D97-02B2-450C-9018-A37CE5841506}"/>
    <cellStyle name="Comma 3 3" xfId="247" xr:uid="{ABCAA822-35C4-4ABA-A324-6A182453EB7F}"/>
    <cellStyle name="Comma 3 4" xfId="248" xr:uid="{4DE81787-9567-4181-BDDA-78E0CF2E3613}"/>
    <cellStyle name="Comma 3 5" xfId="249" xr:uid="{F47CFBA2-C991-4F45-996A-5A06FBEE4CF1}"/>
    <cellStyle name="Comma 3 6" xfId="250" xr:uid="{1F26C77E-A547-493E-83CD-100EE0B44FC2}"/>
    <cellStyle name="Comma 4" xfId="251" xr:uid="{5ABA07D7-1D2F-40CA-A9DE-DD69269C8AA0}"/>
    <cellStyle name="Comma 4 2" xfId="252" xr:uid="{73141B0B-8B37-4D7E-BD51-8E32056A261D}"/>
    <cellStyle name="Comma 4 3" xfId="253" xr:uid="{7A02E063-45A9-4502-AEE7-02C3FFF525DD}"/>
    <cellStyle name="Comma 4 4" xfId="254" xr:uid="{1ACB8ABD-0FA5-46E1-A97F-8749C77224CA}"/>
    <cellStyle name="Comma 5" xfId="255" xr:uid="{C884B868-FB43-4C4C-940D-386594FEE7D2}"/>
    <cellStyle name="Comma 5 2" xfId="256" xr:uid="{CABA2BEC-0405-4625-B693-4750C46466E1}"/>
    <cellStyle name="Comma 5 3" xfId="257" xr:uid="{044748A3-BBA2-4ABE-9B2E-F52BBFF64341}"/>
    <cellStyle name="Comma 6" xfId="258" xr:uid="{AB5BBEC8-CA8D-463B-ACE2-266B8C72426B}"/>
    <cellStyle name="Comma 6 2" xfId="259" xr:uid="{4E9BB1FF-A449-46A9-BEBC-63C1148DF31C}"/>
    <cellStyle name="Comma 7" xfId="260" xr:uid="{49BE4BA8-F81F-46D4-BB5A-D3481BCD803E}"/>
    <cellStyle name="Comma 7 2" xfId="261" xr:uid="{B189486F-BF2C-4A69-ACCD-8B27E10788E8}"/>
    <cellStyle name="Comma 7 3" xfId="262" xr:uid="{8763EB85-F8BA-44F2-9055-54B338BFC20C}"/>
    <cellStyle name="Comma 8" xfId="263" xr:uid="{AEDE67F0-E3F7-4836-B309-AE0452ACCD54}"/>
    <cellStyle name="Comma 8 2" xfId="264" xr:uid="{621CC127-EC83-48A9-9351-645F8B34EC5D}"/>
    <cellStyle name="Comma 9" xfId="265" xr:uid="{606A604B-D0B3-447E-A8B9-20A91555596F}"/>
    <cellStyle name="Comma0" xfId="266" xr:uid="{E6BC71DD-D2C4-410D-8937-95BEAA688756}"/>
    <cellStyle name="Currency 2" xfId="267" xr:uid="{4700B160-17D8-4DD9-A9A6-148CCF68D4DF}"/>
    <cellStyle name="Currency 2 2" xfId="268" xr:uid="{8580C6EE-D1D4-49DE-9F5D-70909FF19F1A}"/>
    <cellStyle name="Currency 2 3" xfId="269" xr:uid="{F9DC060D-0431-4807-92B5-29ACF6FAA171}"/>
    <cellStyle name="Currency 2 4" xfId="270" xr:uid="{7C52AE5D-C254-465A-B5F4-3F2DFE77A7F2}"/>
    <cellStyle name="Currency 3" xfId="271" xr:uid="{2056FD26-BC7A-4658-9177-701EEF54A6D6}"/>
    <cellStyle name="Currency 4" xfId="272" xr:uid="{B444891F-8585-4369-8935-898F566DA2CB}"/>
    <cellStyle name="Currency 5" xfId="273" xr:uid="{C7AA0D74-9FF1-4FB9-9593-2E2E56510986}"/>
    <cellStyle name="Currency0" xfId="274" xr:uid="{2F008377-29F2-41C7-B937-861A6B7C7FC3}"/>
    <cellStyle name="Data_Total" xfId="275" xr:uid="{07A533E5-2538-4FE3-8114-672C75D960D4}"/>
    <cellStyle name="Date" xfId="276" xr:uid="{4F2D7BE4-7D05-4A9A-A796-E41DFEEA5715}"/>
    <cellStyle name="Default Column Data" xfId="277" xr:uid="{C3B7A77F-1F36-41A8-91E8-EA6334D840FE}"/>
    <cellStyle name="DEnormalgray" xfId="278" xr:uid="{FE10AAFA-8F9E-4A24-92B1-7B6ECA7A3F3E}"/>
    <cellStyle name="Dezimal 2" xfId="279" xr:uid="{419902ED-2FDC-4ECD-8F95-C2DE97592136}"/>
    <cellStyle name="Dezimal 3" xfId="280" xr:uid="{36C16C28-997C-4AE6-80AA-A96C152FD516}"/>
    <cellStyle name="Digest heading 1" xfId="281" xr:uid="{58730F0C-0510-4D24-BB38-C78E7E16AE6A}"/>
    <cellStyle name="Digest heading 2" xfId="282" xr:uid="{BF7C1C89-C4C8-487E-AB06-4ED00A24FA4C}"/>
    <cellStyle name="Digest heading 3" xfId="283" xr:uid="{07D77F4A-5B31-4928-B3E1-D54567F0804A}"/>
    <cellStyle name="diskette" xfId="284" xr:uid="{23DEA7A3-7702-4A1C-ACFF-52FE6BC58B6F}"/>
    <cellStyle name="DONE" xfId="285" xr:uid="{F0E95F79-BBA2-404D-AA0E-7BFB751D5CAB}"/>
    <cellStyle name="Eingabe 2" xfId="286" xr:uid="{29A53381-30FB-48F9-AFDA-4DCF898805C0}"/>
    <cellStyle name="Ergebnis 2" xfId="287" xr:uid="{48F94960-FC9F-49F3-9C55-203287B08E8D}"/>
    <cellStyle name="Erklärender Text 2" xfId="288" xr:uid="{AE6E7F0E-8A78-4840-AFA7-A7F2F1DF2AD9}"/>
    <cellStyle name="Euro" xfId="289" xr:uid="{B1734A02-5737-4245-8930-BE5709E0D353}"/>
    <cellStyle name="Explanatory Text" xfId="18" builtinId="53" customBuiltin="1"/>
    <cellStyle name="Explanatory Text 2" xfId="290" xr:uid="{E795176C-C374-4D1F-B330-CB01969AC0D4}"/>
    <cellStyle name="Explanatory Text 2 2" xfId="291" xr:uid="{B2A421E3-6570-4E14-8A8F-8076A5DBED52}"/>
    <cellStyle name="Explanatory Text 3" xfId="292" xr:uid="{D41D96C5-6DDF-4D74-AECD-502320238A33}"/>
    <cellStyle name="F0 - Style2" xfId="293" xr:uid="{73C0FE79-C8C7-4724-A231-B782BCD7C2B5}"/>
    <cellStyle name="Fixed" xfId="294" xr:uid="{A332CB26-8269-4C1F-964D-3CF4D842B9E3}"/>
    <cellStyle name="Fixed1 - Style1" xfId="295" xr:uid="{3F296EA9-2C02-4FEA-A630-CEB1D7E4DD0B}"/>
    <cellStyle name="Good" xfId="8" builtinId="26" customBuiltin="1"/>
    <cellStyle name="Good 2" xfId="296" xr:uid="{2A6F14D2-F707-4D89-B9B8-E722D16135C8}"/>
    <cellStyle name="Good 2 2" xfId="297" xr:uid="{C078CDC7-425A-4D30-B025-26DB982E3601}"/>
    <cellStyle name="Good 3" xfId="298" xr:uid="{D395C3BE-9CD4-4A4B-B9B0-FA0EEA07DACE}"/>
    <cellStyle name="Gut 2" xfId="299" xr:uid="{21C1AB02-2126-4627-B5FB-979AA1BB3A11}"/>
    <cellStyle name="Header" xfId="300" xr:uid="{4B3F9501-12EA-487A-B9E3-50C3DAEB65EF}"/>
    <cellStyle name="Header2" xfId="301" xr:uid="{19BD835F-CCFF-4E8C-96C1-02312A84705D}"/>
    <cellStyle name="HeaderLEA" xfId="302" xr:uid="{D1C90361-69F4-4F37-90E9-26B23500162F}"/>
    <cellStyle name="Heading 1" xfId="4" builtinId="16" customBuiltin="1"/>
    <cellStyle name="Heading 1 2" xfId="303" xr:uid="{941CF3F3-5FDB-48D6-91DC-B2195D72C01C}"/>
    <cellStyle name="Heading 1 2 2" xfId="304" xr:uid="{68FCABDA-6A05-4805-BDDA-E03A7612846E}"/>
    <cellStyle name="Heading 1 3" xfId="305" xr:uid="{689A89B7-B102-400D-9386-3B2D44FED4BA}"/>
    <cellStyle name="Heading 2" xfId="5" builtinId="17" customBuiltin="1"/>
    <cellStyle name="Heading 2 2" xfId="306" xr:uid="{EB72958B-F067-47E5-8D2C-8BC42E42B20F}"/>
    <cellStyle name="Heading 2 2 2" xfId="307" xr:uid="{A67ECCD1-D6E9-43E4-999E-D15E034DAE85}"/>
    <cellStyle name="Heading 2 3" xfId="308" xr:uid="{0FE9C9D3-D33C-47A7-BC1B-14991BFF12FE}"/>
    <cellStyle name="Heading 3" xfId="6" builtinId="18" customBuiltin="1"/>
    <cellStyle name="Heading 3 2" xfId="309" xr:uid="{78A31BAC-009B-4436-9BF1-2999C55A48B0}"/>
    <cellStyle name="Heading 3 2 2" xfId="310" xr:uid="{80837FE7-BA45-4804-9AED-504C2B2D74D3}"/>
    <cellStyle name="Heading 3 3" xfId="311" xr:uid="{EAAC4C67-4921-4CCD-891D-6EE6266F680E}"/>
    <cellStyle name="Heading 4" xfId="7" builtinId="19" customBuiltin="1"/>
    <cellStyle name="Heading 4 2" xfId="312" xr:uid="{4A512CD8-4FE1-4D27-A3D7-33D7A859C8E6}"/>
    <cellStyle name="Heading 4 2 2" xfId="313" xr:uid="{599EF565-5026-4253-9A37-EDAD9B7480A3}"/>
    <cellStyle name="Heading 4 3" xfId="314" xr:uid="{263B272A-326E-4195-B1FC-05B3DC7576A3}"/>
    <cellStyle name="HEADING1" xfId="315" xr:uid="{CB267BAA-4C82-4CEE-97B0-7E092EEE5627}"/>
    <cellStyle name="HEADING2" xfId="316" xr:uid="{5A16FF43-DC0D-4D92-ACE7-1D56BE2232AF}"/>
    <cellStyle name="Headings" xfId="317" xr:uid="{A281712C-4F7C-4143-8513-A8A2C4DEAA0B}"/>
    <cellStyle name="Headings 2" xfId="318" xr:uid="{30CEA98C-FEAF-4A61-90B0-E22167D7B721}"/>
    <cellStyle name="Headings 2 2" xfId="319" xr:uid="{80DE063C-C385-4101-8F4A-8EB85DD56AEA}"/>
    <cellStyle name="Headings 3" xfId="320" xr:uid="{C29C7DDA-E141-46CF-95DB-13671FCA8406}"/>
    <cellStyle name="Headings 3 2" xfId="321" xr:uid="{854BB19B-4F9B-446D-84F0-F15002CB248C}"/>
    <cellStyle name="Headings 3 3" xfId="322" xr:uid="{98DDD3A1-3817-4CAB-A94B-C09FFC980C96}"/>
    <cellStyle name="Headings 4" xfId="323" xr:uid="{7C4626B8-10C4-4000-A960-14F07F173BB3}"/>
    <cellStyle name="Headings 5" xfId="324" xr:uid="{F97F3B35-F61D-4244-9FEC-DA1B0E683E59}"/>
    <cellStyle name="Hyperlink 10" xfId="325" xr:uid="{A7B25D25-5D42-4C57-91A4-77F80B24E0BD}"/>
    <cellStyle name="Hyperlink 2" xfId="326" xr:uid="{53148636-C3A5-4B62-9A91-DA58BB50D20E}"/>
    <cellStyle name="Hyperlink 2 2" xfId="327" xr:uid="{2BA4A1E4-BB93-412B-8396-E49CBE2E90AC}"/>
    <cellStyle name="Hyperlink 2 2 2" xfId="328" xr:uid="{6897B7FC-25DE-4596-97D2-154A7AFF8AE1}"/>
    <cellStyle name="Hyperlink 2 2 2 2" xfId="329" xr:uid="{21D69B74-11FB-43EB-89E3-8C207B21EEB0}"/>
    <cellStyle name="Hyperlink 2 2 3" xfId="330" xr:uid="{3B3DAF23-733A-4FC4-BF1B-0CDB9FE92FF7}"/>
    <cellStyle name="Hyperlink 2 3" xfId="331" xr:uid="{7BB4D485-8E86-4C9C-A6F2-BF8966F0EF0C}"/>
    <cellStyle name="Hyperlink 2 3 2" xfId="332" xr:uid="{3BE296B2-A74B-4D77-BDE3-6EE00FD09247}"/>
    <cellStyle name="Hyperlink 2 4" xfId="333" xr:uid="{EDA7AAFB-CC29-493B-A1A7-1AE738CE7331}"/>
    <cellStyle name="Hyperlink 2 5" xfId="334" xr:uid="{D3A869C1-6E78-4E56-9098-9D34AF09577A}"/>
    <cellStyle name="Hyperlink 2 6" xfId="335" xr:uid="{E4CF1551-F398-44F3-A99C-21D16A3A1EB1}"/>
    <cellStyle name="Hyperlink 2 7" xfId="336" xr:uid="{416D8117-8915-4C27-A56C-AAD1E222F3F5}"/>
    <cellStyle name="Hyperlink 2 8" xfId="337" xr:uid="{85C5D38A-9341-4873-9F11-51235C51D5C0}"/>
    <cellStyle name="Hyperlink 3" xfId="338" xr:uid="{2BB75155-06B0-411F-8175-D3DFAE794DEB}"/>
    <cellStyle name="Hyperlink 3 2" xfId="339" xr:uid="{B400AA47-9DC4-4443-B526-583A7BE59A61}"/>
    <cellStyle name="Hyperlink 4" xfId="340" xr:uid="{F68E7708-BCA4-4ADF-BA3B-4808EC1FE128}"/>
    <cellStyle name="Hyperlink 4 2" xfId="341" xr:uid="{3DC568F4-9143-45F8-B90D-ABE11B274C7F}"/>
    <cellStyle name="Hyperlink 5" xfId="342" xr:uid="{92A50EF0-271F-41D5-9C35-02D2764D2D72}"/>
    <cellStyle name="Hyperlink 6" xfId="343" xr:uid="{5BC50459-84C8-470F-B7E8-6513FB2D7F9B}"/>
    <cellStyle name="Hyperlink 7" xfId="344" xr:uid="{3A7DF6F8-61AA-4136-939F-9F058A643F84}"/>
    <cellStyle name="Hyperlink 8" xfId="345" xr:uid="{517A39D9-8B00-45A1-84EC-46EA8E4DC3FE}"/>
    <cellStyle name="Hyperlink 9" xfId="346" xr:uid="{81040849-43A0-442E-85D3-D70B5E9060DB}"/>
    <cellStyle name="I'm here now" xfId="347" xr:uid="{EA42F6B2-AF79-4619-B5EB-34983122882F}"/>
    <cellStyle name="Input" xfId="11" builtinId="20" customBuiltin="1"/>
    <cellStyle name="Input 2" xfId="348" xr:uid="{9C4952B8-36CF-4558-9C73-C561141C1DCC}"/>
    <cellStyle name="Input 2 2" xfId="349" xr:uid="{F3FDE983-ABA9-4FA9-B6C6-C92A6576737F}"/>
    <cellStyle name="Input 2 3" xfId="350" xr:uid="{A348C3B5-5658-4484-BA9D-FD299CF51269}"/>
    <cellStyle name="Input 3" xfId="351" xr:uid="{571F6482-225A-474E-A213-CAAA4915F47F}"/>
    <cellStyle name="Input 4" xfId="352" xr:uid="{287976C4-1A71-4F17-B24F-EEE1B3473E49}"/>
    <cellStyle name="Later" xfId="353" xr:uid="{7DB39B72-7CF1-4B3D-8180-2F356D118B5E}"/>
    <cellStyle name="LEAName" xfId="354" xr:uid="{7DE1FE09-C489-4D50-945C-8F2AB699B425}"/>
    <cellStyle name="LEANumber" xfId="355" xr:uid="{4A567903-F2C7-4505-88FD-2E2A3029F8EA}"/>
    <cellStyle name="Linked Cell" xfId="14" builtinId="24" customBuiltin="1"/>
    <cellStyle name="Linked Cell 2" xfId="356" xr:uid="{1C66050E-9B0E-4FE5-9988-6D681CF89AA3}"/>
    <cellStyle name="Linked Cell 2 2" xfId="357" xr:uid="{099DCED6-4976-4A14-A220-3DDB6EF56043}"/>
    <cellStyle name="Linked Cell 3" xfId="358" xr:uid="{BB68D389-2548-4660-B343-EDFFD301FE4B}"/>
    <cellStyle name="Manual" xfId="359" xr:uid="{9CDAFCF8-1CEA-432F-A16B-8E5EA3170F14}"/>
    <cellStyle name="Neutral" xfId="10" builtinId="28" customBuiltin="1"/>
    <cellStyle name="Neutral 2" xfId="360" xr:uid="{1E221CA1-223A-47BA-86C9-7A662B89C071}"/>
    <cellStyle name="Neutral 2 2" xfId="361" xr:uid="{4BF65431-7F7D-47E0-BC52-400E45242AD8}"/>
    <cellStyle name="Neutral 3" xfId="362" xr:uid="{35CA4E5C-86F8-46E0-A783-68EF3CE6C0AC}"/>
    <cellStyle name="Norma" xfId="363" xr:uid="{0CABEEEC-34D4-4534-8B12-807A355B7C52}"/>
    <cellStyle name="Norma 2" xfId="364" xr:uid="{DEB36FAA-E9A7-462C-B8C7-1F998C1047A9}"/>
    <cellStyle name="Normal" xfId="0" builtinId="0"/>
    <cellStyle name="Normal - Style1" xfId="365" xr:uid="{181E8861-0043-400B-9539-845B0760859F}"/>
    <cellStyle name="Normal 10" xfId="366" xr:uid="{621C8000-9454-4852-AC4B-5767B8DD3877}"/>
    <cellStyle name="Normal 10 2" xfId="367" xr:uid="{EBB52D67-728F-410B-9D83-453DA693A9F3}"/>
    <cellStyle name="Normal 10 3" xfId="368" xr:uid="{3AB0CA48-1A53-4AA3-BFB6-DD1B22570E53}"/>
    <cellStyle name="Normal 10 4" xfId="369" xr:uid="{8D589654-50E8-40E3-92F9-0CFC2D444EC8}"/>
    <cellStyle name="Normal 10 5" xfId="370" xr:uid="{79195799-C792-4327-B1D9-2CC219E37758}"/>
    <cellStyle name="Normal 105" xfId="371" xr:uid="{6695AF6D-8AA1-4E8B-BB5E-FD45578CF222}"/>
    <cellStyle name="Normal 11" xfId="372" xr:uid="{3985ED61-4C52-4DF1-AD4E-BCE794EC3DA9}"/>
    <cellStyle name="Normal 11 2" xfId="373" xr:uid="{57F662EC-9F42-4574-A4B6-C0A88D1DBE2C}"/>
    <cellStyle name="Normal 11 2 2" xfId="374" xr:uid="{5B027EE6-B837-4C72-978E-8EC6CF2CCC11}"/>
    <cellStyle name="Normal 11 2 2 2" xfId="375" xr:uid="{4676ACE7-3471-4DDF-8B07-10DD46C641D2}"/>
    <cellStyle name="Normal 11 2 3" xfId="376" xr:uid="{1D7AFB68-F3CE-40FA-BCA8-3B4BD45811D5}"/>
    <cellStyle name="Normal 11 3" xfId="377" xr:uid="{243A7830-29E8-4011-A037-2C8D3D85EDB2}"/>
    <cellStyle name="Normal 11 3 2" xfId="378" xr:uid="{7ADDB86F-E5D2-4ADA-B10A-7DC632B45BDB}"/>
    <cellStyle name="Normal 11 3 2 2" xfId="379" xr:uid="{296D0B76-D163-40FF-BFD7-72C8F9E7868A}"/>
    <cellStyle name="Normal 11 3 3" xfId="380" xr:uid="{1F95A743-F9D7-40E6-9647-5BEADF6421B1}"/>
    <cellStyle name="Normal 11 3 4" xfId="381" xr:uid="{351555BD-5A8D-4A80-8037-3E5481352C57}"/>
    <cellStyle name="Normal 11 4" xfId="382" xr:uid="{D02B09A4-8E93-40A6-A590-56BF9ABBAE4F}"/>
    <cellStyle name="Normal 11 5" xfId="383" xr:uid="{FE45A5C9-6368-487B-9F4E-0D6A68D1FE71}"/>
    <cellStyle name="Normal 11_AHP Dec 2012 QS (London)" xfId="384" xr:uid="{F9241C56-B476-4BE8-95AD-CFD2D1DD981F}"/>
    <cellStyle name="Normal 12" xfId="385" xr:uid="{FC7A9B10-1764-41EA-8627-0C982495A04C}"/>
    <cellStyle name="Normal 12 2" xfId="386" xr:uid="{0818E6D5-A7FF-4652-93E8-40C103774294}"/>
    <cellStyle name="Normal 12 2 2" xfId="387" xr:uid="{D411971E-FBE2-44C7-8AC6-7E84E789A220}"/>
    <cellStyle name="Normal 12 2 2 2" xfId="388" xr:uid="{69D00B60-5DDE-4E04-BCC1-765DC5FBE935}"/>
    <cellStyle name="Normal 12 2 3" xfId="389" xr:uid="{1DAC1E98-5392-4360-B054-33CA2847F652}"/>
    <cellStyle name="Normal 12 3" xfId="390" xr:uid="{CF510ECB-14E1-4E60-8CDC-DFEEB5A592E5}"/>
    <cellStyle name="Normal 12 4" xfId="391" xr:uid="{E08F8D5C-FC30-4993-B534-074BA6E1581B}"/>
    <cellStyle name="Normal 12_AHP Dec 2012 QS (London)" xfId="392" xr:uid="{AAF31EDC-9B10-4C4B-A768-3A377BB6E0A4}"/>
    <cellStyle name="Normal 120" xfId="393" xr:uid="{33D9F666-CC0E-41DA-A1E2-70ABCA12350A}"/>
    <cellStyle name="Normal 123" xfId="394" xr:uid="{7FC62058-296C-4A4D-863B-10C42E4C6CB8}"/>
    <cellStyle name="Normal 124" xfId="395" xr:uid="{5F2CD559-96F8-4002-8A10-26B4D9D02606}"/>
    <cellStyle name="Normal 13" xfId="396" xr:uid="{8B293C5A-B0C2-4FC1-8A19-C1B028CA6D9A}"/>
    <cellStyle name="Normal 13 2" xfId="397" xr:uid="{85300829-5178-4623-BE32-31DF350E9616}"/>
    <cellStyle name="Normal 13 3" xfId="398" xr:uid="{2CDAD296-85D0-43BC-BEA0-10C2DC002168}"/>
    <cellStyle name="Normal 13 4" xfId="399" xr:uid="{F2E24E09-F991-4E8C-93E7-E14BCFB0F9A4}"/>
    <cellStyle name="Normal 14" xfId="400" xr:uid="{279DEFC3-2E18-44CC-9DFF-E1F59B8B22AC}"/>
    <cellStyle name="Normal 14 2" xfId="401" xr:uid="{DC8ADFCF-0B06-459E-93C9-46A222A4DB6F}"/>
    <cellStyle name="Normal 14 3" xfId="402" xr:uid="{EE707C93-14B9-491B-97CD-4E691C18D4B5}"/>
    <cellStyle name="Normal 15" xfId="403" xr:uid="{19E7763F-6C04-4CF7-A815-BD28F90A5064}"/>
    <cellStyle name="Normal 15 2" xfId="404" xr:uid="{6137884E-0D7C-493B-9A14-281A0E090614}"/>
    <cellStyle name="Normal 15 3" xfId="405" xr:uid="{9B94FAE6-77CA-4052-94E6-805A94542E12}"/>
    <cellStyle name="Normal 16" xfId="406" xr:uid="{6622F94F-EE67-45BA-9035-3DCA3E882300}"/>
    <cellStyle name="Normal 16 2" xfId="407" xr:uid="{0388D6F2-DE7D-4D80-AF13-8FFD58C57639}"/>
    <cellStyle name="Normal 16 3" xfId="408" xr:uid="{341B1D99-2D22-44F5-8392-DBF9E6CF7CB2}"/>
    <cellStyle name="Normal 17" xfId="409" xr:uid="{7361E637-7950-4165-BBB5-745306FD5CC6}"/>
    <cellStyle name="Normal 17 2" xfId="410" xr:uid="{E0A57D75-FC19-4DB6-8174-A25005F86BA6}"/>
    <cellStyle name="Normal 17 3" xfId="411" xr:uid="{D9C700AF-76BE-485A-B9CA-D0236133B322}"/>
    <cellStyle name="Normal 18" xfId="412" xr:uid="{45A3070A-B186-4601-957D-0FBF5F36971C}"/>
    <cellStyle name="Normal 18 2" xfId="413" xr:uid="{E453AD8F-57D2-4808-B8B3-3C658ACAC709}"/>
    <cellStyle name="Normal 18 3" xfId="414" xr:uid="{28A3DF38-05C9-411F-BDCC-5A8EE92602D3}"/>
    <cellStyle name="Normal 19" xfId="415" xr:uid="{D75629CF-830D-469C-8745-BCBDB50508F2}"/>
    <cellStyle name="Normal 19 2" xfId="416" xr:uid="{C0885B73-1C64-414C-8A6C-E3B49C6A1DED}"/>
    <cellStyle name="Normal 19 3" xfId="417" xr:uid="{438EEE13-2976-43F2-A4B4-67AEC7FB6184}"/>
    <cellStyle name="Normal 2" xfId="418" xr:uid="{9F977748-2DD3-4A90-A50A-F82A8CC2CF19}"/>
    <cellStyle name="Normal 2 2" xfId="419" xr:uid="{199735D6-1223-4825-B58E-BCC43A15E1F9}"/>
    <cellStyle name="Normal 2 2 2" xfId="420" xr:uid="{45872930-FC74-4F39-955F-98DD7B344E32}"/>
    <cellStyle name="Normal 2 2 2 2" xfId="421" xr:uid="{D5C34B80-C7AF-4CB1-B334-F626131DD3DA}"/>
    <cellStyle name="Normal 2 2 2 5" xfId="422" xr:uid="{1E682E83-AC17-411D-A87F-27024842A5E7}"/>
    <cellStyle name="Normal 2 2 3" xfId="423" xr:uid="{932D54BB-3240-4EAC-AA7F-F13CAB93F79A}"/>
    <cellStyle name="Normal 2 2 4" xfId="424" xr:uid="{BF528612-A40E-4334-8A2A-7E2DC563F1BF}"/>
    <cellStyle name="Normal 2 2 5" xfId="425" xr:uid="{F6CE1941-8B33-452B-AAA2-5D974FBFE7A2}"/>
    <cellStyle name="Normal 2 3" xfId="426" xr:uid="{3AC2DFC0-979E-48FA-8265-B85D34519950}"/>
    <cellStyle name="Normal 2 3 2" xfId="427" xr:uid="{AF192194-3B9B-46E6-A533-3D43315D1F93}"/>
    <cellStyle name="Normal 2 3 2 2" xfId="428" xr:uid="{9CB7F306-5773-4031-AA28-E798C598EB2F}"/>
    <cellStyle name="Normal 2 3 2 2 2" xfId="429" xr:uid="{7B26FE42-C34E-417E-A0A1-6FDD711219D9}"/>
    <cellStyle name="Normal 2 3 2 3" xfId="430" xr:uid="{E137DC38-E37F-48BE-B130-32E905C0D884}"/>
    <cellStyle name="Normal 2 3 2 4" xfId="431" xr:uid="{F72986B7-D26C-45C6-BC04-3CF144345123}"/>
    <cellStyle name="Normal 2 3 2 5" xfId="432" xr:uid="{D49AF2FB-1A03-4667-98AA-9DDAE815C73F}"/>
    <cellStyle name="Normal 2 3 2 6" xfId="433" xr:uid="{1DBA3C60-4999-4A55-822F-A703716268E8}"/>
    <cellStyle name="Normal 2 3 3" xfId="434" xr:uid="{27DB8383-DA98-4324-BE27-C2A57361FE80}"/>
    <cellStyle name="Normal 2 3 3 2" xfId="435" xr:uid="{7CF4C95E-C63F-4489-92A6-DD3D6CCD44D9}"/>
    <cellStyle name="Normal 2 3 4" xfId="436" xr:uid="{6AF1B1DC-2136-48EF-8A41-A597935CB94F}"/>
    <cellStyle name="Normal 2 3 5" xfId="437" xr:uid="{D73CCEC8-F55B-482D-97AD-0C2236007CDD}"/>
    <cellStyle name="Normal 2 4" xfId="438" xr:uid="{EA9E6FBE-7A9B-4FBA-B01E-EA4C461FA671}"/>
    <cellStyle name="Normal 2 4 2" xfId="439" xr:uid="{BB1A3A55-15FE-41D1-801B-1A595EA187D8}"/>
    <cellStyle name="Normal 2 4 3" xfId="440" xr:uid="{164AD56C-DFA7-4F08-9D7B-F4205CCA35EF}"/>
    <cellStyle name="Normal 2 5" xfId="441" xr:uid="{63A6C840-A435-413C-95E2-CA317F229136}"/>
    <cellStyle name="Normal 2 5 2" xfId="442" xr:uid="{3BECDC25-416F-4F26-9E7F-F303BFBB7157}"/>
    <cellStyle name="Normal 2 6" xfId="443" xr:uid="{D410D3A1-B909-455B-8FBA-6121CE417F34}"/>
    <cellStyle name="Normal 2 7" xfId="444" xr:uid="{32927753-1B4F-4800-AA83-3BE23B7A522E}"/>
    <cellStyle name="Normal 2 85" xfId="445" xr:uid="{0BC5188F-F7BF-424C-A986-0B5F4C1794B0}"/>
    <cellStyle name="Normal 2_AHP Dec 2012 QS (London)" xfId="446" xr:uid="{0A2B6B9D-8C02-4BCA-B7B0-DB2677F121C0}"/>
    <cellStyle name="Normal 20" xfId="447" xr:uid="{5B88FB8E-1605-4C2C-AEC5-8C69C9BA95BC}"/>
    <cellStyle name="Normal 20 2" xfId="448" xr:uid="{A8CB22FA-D188-4CB2-BCCF-F108DFB9AFF6}"/>
    <cellStyle name="Normal 21" xfId="449" xr:uid="{C66AA0AF-5C5D-4265-AF06-3E69778F4675}"/>
    <cellStyle name="Normal 21 2" xfId="450" xr:uid="{A5349BA8-816F-4C7D-9E76-E5C007A4BC01}"/>
    <cellStyle name="Normal 21 3" xfId="451" xr:uid="{B51100CD-066B-4211-9527-1A6A6E8C65E1}"/>
    <cellStyle name="Normal 22" xfId="452" xr:uid="{229C11BE-B711-4E00-A792-32BCC8F9326D}"/>
    <cellStyle name="Normal 22 2" xfId="453" xr:uid="{DC604E0E-BA48-429F-98B7-8A6AB45CA41D}"/>
    <cellStyle name="Normal 23" xfId="454" xr:uid="{6819D49B-0D37-49D3-9997-B1ECC1C85D64}"/>
    <cellStyle name="Normal 23 2" xfId="455" xr:uid="{EA8B42CE-56D3-426B-9416-57975971FFB8}"/>
    <cellStyle name="Normal 23 3" xfId="456" xr:uid="{3CA5AB94-7886-4E21-B1C3-E267226C278E}"/>
    <cellStyle name="Normal 24" xfId="457" xr:uid="{10585C87-E5DC-45AE-B00A-B07EF33D3B69}"/>
    <cellStyle name="Normal 25" xfId="458" xr:uid="{02E6BC0E-A21B-4793-8CA6-94DAD81DE317}"/>
    <cellStyle name="Normal 25 2" xfId="459" xr:uid="{3D4485B7-15CF-455C-AE48-CA63ECCE152D}"/>
    <cellStyle name="Normal 26" xfId="460" xr:uid="{4D9E1CD6-952C-419A-B684-C523C48A7169}"/>
    <cellStyle name="Normal 27" xfId="461" xr:uid="{EF77F8E3-F70C-44CD-B773-29505C645974}"/>
    <cellStyle name="Normal 28" xfId="462" xr:uid="{FA1A8958-15CD-4A9C-8ED8-CB61C7A81227}"/>
    <cellStyle name="Normal 29" xfId="463" xr:uid="{D8263FDC-1705-4895-BA43-31362098AED9}"/>
    <cellStyle name="Normal 3" xfId="464" xr:uid="{39F2F050-06A0-47CC-9AA3-CF5EF8AE1E81}"/>
    <cellStyle name="Normal 3 10" xfId="465" xr:uid="{B8351634-F177-4799-A3F9-F6DE1C6B9794}"/>
    <cellStyle name="Normal 3 2" xfId="466" xr:uid="{AA3F4FE6-9866-4692-8A68-B6B7845E0931}"/>
    <cellStyle name="Normal 3 2 2" xfId="467" xr:uid="{12210C1C-2CFC-435C-AE58-CDD8C2BF9CF2}"/>
    <cellStyle name="Normal 3 2 2 2" xfId="468" xr:uid="{77B90C5B-9D54-4268-A9A7-076895E02B2F}"/>
    <cellStyle name="Normal 3 2 2 3" xfId="469" xr:uid="{EFE5E9DD-6A41-48DB-A03E-980235734B3A}"/>
    <cellStyle name="Normal 3 2 3" xfId="470" xr:uid="{1301BE6C-B241-4FF2-9085-A3ABEDB8F568}"/>
    <cellStyle name="Normal 3 2 4" xfId="471" xr:uid="{3063FB96-3658-43AA-AC78-7D5F69AFD676}"/>
    <cellStyle name="Normal 3 3" xfId="472" xr:uid="{A073F3B3-C8AD-46E3-BDBB-14DF0E933478}"/>
    <cellStyle name="Normal 3 3 2" xfId="473" xr:uid="{D988C70E-0724-4FFC-B27F-A7AFD3192100}"/>
    <cellStyle name="Normal 3 3 2 2" xfId="474" xr:uid="{851A899D-5B66-4F91-8E4F-3009FECC7AB5}"/>
    <cellStyle name="Normal 3 3 3" xfId="475" xr:uid="{662C1C5F-810E-4D76-86C2-6384FBD61695}"/>
    <cellStyle name="Normal 3 3 4" xfId="476" xr:uid="{52560B5B-9A39-4F06-84D1-48598CC75B67}"/>
    <cellStyle name="Normal 3 4" xfId="477" xr:uid="{8CC6573F-EFBA-4524-BED7-59E3B9FEB539}"/>
    <cellStyle name="Normal 3 4 2" xfId="478" xr:uid="{DCD4313B-06B4-49B4-995E-78F2949CAA16}"/>
    <cellStyle name="Normal 3 4 3" xfId="479" xr:uid="{85B8352A-FF16-4339-9AE6-49B8EBBBE53A}"/>
    <cellStyle name="Normal 3 5" xfId="480" xr:uid="{CB1FFDAD-542F-4257-B308-6894A6EFE058}"/>
    <cellStyle name="Normal 3 5 2" xfId="481" xr:uid="{AF2E4457-D1D7-4A27-8E82-987D2A602859}"/>
    <cellStyle name="Normal 3 6" xfId="482" xr:uid="{ABF630AF-EA7B-4E0F-87DE-B1E4CD6F1CF2}"/>
    <cellStyle name="Normal 3 7" xfId="483" xr:uid="{3953049D-AFBF-4818-920A-8B1CA2C33523}"/>
    <cellStyle name="Normal 3 8" xfId="484" xr:uid="{034D072E-3BB8-4799-8536-D9F27F6E4621}"/>
    <cellStyle name="Normal 3 9" xfId="485" xr:uid="{58F08B4C-3739-41C5-88CF-0529F2BA1A02}"/>
    <cellStyle name="Normal 30" xfId="486" xr:uid="{BF3D4116-1C3A-4A7F-B31C-93FBAB0F4B9A}"/>
    <cellStyle name="Normal 31" xfId="487" xr:uid="{A3970384-DE8B-49CC-AF5F-2705CDA6AAD2}"/>
    <cellStyle name="Normal 32" xfId="488" xr:uid="{6C9D96B2-04AE-4BB4-86E8-28FABA927005}"/>
    <cellStyle name="Normal 33" xfId="489" xr:uid="{F8213ABC-5DD7-4132-962C-439FFBB443BB}"/>
    <cellStyle name="Normal 34" xfId="490" xr:uid="{FE5026C8-6532-48BF-957B-49A5DE9F2AC1}"/>
    <cellStyle name="Normal 35" xfId="491" xr:uid="{F88991F2-3A93-49DF-81F1-166630113BE2}"/>
    <cellStyle name="Normal 36" xfId="492" xr:uid="{40D988E8-0FA8-4531-AAC3-802CB61C0AA3}"/>
    <cellStyle name="Normal 37" xfId="493" xr:uid="{4A8C3C06-0F2A-49F4-9E34-534DA202283B}"/>
    <cellStyle name="Normal 38" xfId="494" xr:uid="{A2170CF3-35D8-4311-ABB1-691496BE719D}"/>
    <cellStyle name="Normal 39" xfId="495" xr:uid="{E6B76199-6BDB-486F-AFB7-DC501371A1B3}"/>
    <cellStyle name="Normal 4" xfId="496" xr:uid="{537DD954-272C-479C-8A2C-4A95A56F87A6}"/>
    <cellStyle name="Normal 4 2" xfId="497" xr:uid="{04C39F10-F09D-4349-B108-32F65E496E07}"/>
    <cellStyle name="Normal 4 2 2" xfId="498" xr:uid="{0C494CF7-23DB-42D3-AC3C-31573950B781}"/>
    <cellStyle name="Normal 4 2 3" xfId="499" xr:uid="{A11B5618-2DA9-4407-ACFD-B70C3F5E2A38}"/>
    <cellStyle name="Normal 4 3" xfId="500" xr:uid="{FE9564DB-F3A8-4B21-9433-1D3A60A0AB7C}"/>
    <cellStyle name="Normal 4 3 2" xfId="501" xr:uid="{F95D01E6-12EB-4B0C-B047-4F2BDC43C15A}"/>
    <cellStyle name="Normal 4 4" xfId="502" xr:uid="{CB7208D5-96E0-440A-9A9C-5A7CFA51135D}"/>
    <cellStyle name="Normal 4 4 2" xfId="503" xr:uid="{C2583C4F-84D8-4E3F-89F6-0C6CE04E057F}"/>
    <cellStyle name="Normal 4 5" xfId="504" xr:uid="{13C2E7D8-202B-48D2-AE79-7BE286CFD5A5}"/>
    <cellStyle name="Normal 4 6" xfId="505" xr:uid="{59B9D91E-4F6F-480F-AC00-DB3DB3ABB117}"/>
    <cellStyle name="Normal 40" xfId="506" xr:uid="{781FD5E8-6507-463D-AD58-28A2456114C2}"/>
    <cellStyle name="Normal 40 2" xfId="507" xr:uid="{FF9A0C2C-78C1-4291-9861-0DF1F6F7DDF7}"/>
    <cellStyle name="Normal 41" xfId="508" xr:uid="{AB0CCEBC-1911-4156-9684-9A078975853C}"/>
    <cellStyle name="Normal 42" xfId="509" xr:uid="{362AAB3B-D6AA-4923-8E2A-CEB8725420EC}"/>
    <cellStyle name="Normal 43" xfId="510" xr:uid="{5DFC0FCD-269D-419A-8580-281EA5DF0C46}"/>
    <cellStyle name="Normal 44" xfId="511" xr:uid="{88B3917D-23E0-43CB-B0CA-1F3BC6F5898F}"/>
    <cellStyle name="Normal 45" xfId="512" xr:uid="{443B31AA-7D49-4BAC-A265-9BEA0336BBB1}"/>
    <cellStyle name="Normal 46" xfId="513" xr:uid="{0FEFFEEB-B058-475F-8ED5-62ADE54F776B}"/>
    <cellStyle name="Normal 47" xfId="514" xr:uid="{871EF9C5-C4DF-4EE2-8EF0-7846AD67B100}"/>
    <cellStyle name="Normal 47 2" xfId="515" xr:uid="{222A60B4-4052-4B29-B56D-DE07BE0FFCE2}"/>
    <cellStyle name="Normal 48" xfId="516" xr:uid="{F36C08D3-51C2-47E8-ABCE-4E44A80BF792}"/>
    <cellStyle name="Normal 49" xfId="517" xr:uid="{C87904C8-963C-419D-8988-5BD0160030C0}"/>
    <cellStyle name="Normal 5" xfId="518" xr:uid="{C0E71379-9698-4442-9199-0F106BA688BE}"/>
    <cellStyle name="Normal 5 2" xfId="519" xr:uid="{6F6824E3-C1B2-45A6-B5E6-63C79308C707}"/>
    <cellStyle name="Normal 5 2 2" xfId="520" xr:uid="{937D475A-AE2F-4893-B5E8-38B7B2F03BB6}"/>
    <cellStyle name="Normal 5 2 3" xfId="521" xr:uid="{4C3D63F6-168B-43F4-8A7D-7488EF1A1B90}"/>
    <cellStyle name="Normal 5 2 4" xfId="522" xr:uid="{45F9FE6B-DF64-4034-BC1E-A93E365B1640}"/>
    <cellStyle name="Normal 5 3" xfId="523" xr:uid="{BC444401-9AC9-43C7-B96D-0C5F6D719245}"/>
    <cellStyle name="Normal 5 3 2" xfId="524" xr:uid="{B3C5F2A3-039F-4DE7-A8BF-6E0C4DD07BB4}"/>
    <cellStyle name="Normal 5 3 3" xfId="525" xr:uid="{08E124B9-0C05-4A8A-948D-6D03B71CAFCD}"/>
    <cellStyle name="Normal 5 4" xfId="526" xr:uid="{1E7C2B10-F69F-46A2-8532-F020F7C6D6A2}"/>
    <cellStyle name="Normal 5 5" xfId="527" xr:uid="{0CA9F78D-BF07-4CE5-8295-C1F946914C02}"/>
    <cellStyle name="Normal 50" xfId="528" xr:uid="{8804344B-BEF5-44B0-8C47-CDBB1AD6B754}"/>
    <cellStyle name="Normal 51" xfId="529" xr:uid="{AE385684-00C4-4397-B2B1-8C6FF7E4E1C5}"/>
    <cellStyle name="Normal 52" xfId="530" xr:uid="{CFDE13C0-D3C9-4A8F-859A-9AE65888C662}"/>
    <cellStyle name="Normal 53" xfId="531" xr:uid="{620D0A75-23AC-4F64-AB50-F32F3219497F}"/>
    <cellStyle name="Normal 54" xfId="532" xr:uid="{AAD1C22F-BA59-4B95-81E0-1A40D3225662}"/>
    <cellStyle name="Normal 55" xfId="533" xr:uid="{14A67883-3CD3-4E65-96F4-743BB308F38D}"/>
    <cellStyle name="Normal 56" xfId="534" xr:uid="{36D3456C-6D4F-476F-82F0-857935DE9F7F}"/>
    <cellStyle name="Normal 57" xfId="535" xr:uid="{A1C6A13F-DE86-457A-BF88-4969FC068C37}"/>
    <cellStyle name="Normal 57 2" xfId="536" xr:uid="{B103FA9D-D653-4AF8-8A44-440B4F1A6803}"/>
    <cellStyle name="Normal 58" xfId="537" xr:uid="{77DAAD0C-89B7-47C6-9687-72768A3071C8}"/>
    <cellStyle name="Normal 59" xfId="538" xr:uid="{022EE2A2-64B3-4534-883E-F20FA4943ACA}"/>
    <cellStyle name="Normal 59 2" xfId="539" xr:uid="{2C2FEC89-EC26-4D64-9B25-03AA8DB85067}"/>
    <cellStyle name="Normal 6" xfId="540" xr:uid="{54AFA299-3CB0-4718-BEBB-3E74E92BCC3F}"/>
    <cellStyle name="Normal 6 2" xfId="541" xr:uid="{49C6F778-96A0-4AFA-9C59-72FCEA28CE61}"/>
    <cellStyle name="Normal 6 2 2" xfId="542" xr:uid="{7A9A9F3C-BC2D-44B2-AC8D-DAF1FDF7FF09}"/>
    <cellStyle name="Normal 6 2 3" xfId="543" xr:uid="{44C438C6-6700-406D-9CD3-7BA138021F22}"/>
    <cellStyle name="Normal 6 2 4" xfId="544" xr:uid="{AE609AB1-E2AF-4339-947C-F7B9E308BBD0}"/>
    <cellStyle name="Normal 6 3" xfId="545" xr:uid="{B5752A9E-E81F-42D6-B46C-C3D8DF035244}"/>
    <cellStyle name="Normal 6 4" xfId="546" xr:uid="{6FB5ED21-460F-4BC9-8D66-A688CD9C15E2}"/>
    <cellStyle name="Normal 6 5" xfId="547" xr:uid="{7B273E31-EFBD-40A1-99D8-279E6A8A93F3}"/>
    <cellStyle name="Normal 6 6" xfId="548" xr:uid="{674787A5-EB10-402C-840D-3CD10D05385C}"/>
    <cellStyle name="Normal 6 7" xfId="549" xr:uid="{870BD187-BA44-481A-BEB8-38B14E84C020}"/>
    <cellStyle name="Normal 6 8" xfId="550" xr:uid="{485B8D91-B432-48BD-BA2D-F382F0108045}"/>
    <cellStyle name="Normal 6_AHP Dec 2012 QS (London)" xfId="551" xr:uid="{EA1B2CE0-8855-4641-AFC0-00760999A20E}"/>
    <cellStyle name="Normal 60" xfId="552" xr:uid="{B8E62EAA-1C0D-49A7-B9D7-894260674B97}"/>
    <cellStyle name="Normal 60 2" xfId="553" xr:uid="{73B4F230-6CCF-4A6F-BEFB-42C356D5D2FC}"/>
    <cellStyle name="Normal 61" xfId="554" xr:uid="{1280B103-51DA-4467-9F81-17110AD1DDD5}"/>
    <cellStyle name="Normal 62" xfId="555" xr:uid="{5441E057-37AD-4050-B3CB-2231344692E7}"/>
    <cellStyle name="Normal 63" xfId="556" xr:uid="{73270DF6-DC6F-4242-B9A2-1F5EAC1F8067}"/>
    <cellStyle name="Normal 64" xfId="557" xr:uid="{45693690-4EA7-4FD2-B81F-95C83B8C1DA3}"/>
    <cellStyle name="Normal 65" xfId="558" xr:uid="{777C90E2-6DB6-459D-BE08-A11EA122AFAA}"/>
    <cellStyle name="Normal 66" xfId="559" xr:uid="{135CACA0-7ED9-4906-86E6-6F713281C49F}"/>
    <cellStyle name="Normal 67" xfId="560" xr:uid="{6ECCD802-41B5-426E-A07B-9B0D70AB5ED8}"/>
    <cellStyle name="Normal 68" xfId="561" xr:uid="{355AF308-470F-4BA5-87F4-6A30E92DA743}"/>
    <cellStyle name="Normal 69" xfId="562" xr:uid="{CD88A2A7-0255-4344-91B8-F6AAE5C70AD1}"/>
    <cellStyle name="Normal 7" xfId="563" xr:uid="{CD62A237-8C64-47C6-AC03-FCBD0588CFE9}"/>
    <cellStyle name="Normal 7 2" xfId="564" xr:uid="{4BDF134B-B11A-4852-A440-0439344572A6}"/>
    <cellStyle name="Normal 7 2 2" xfId="565" xr:uid="{FEF46F8C-0D6F-4F6D-BCE0-82333DE1E9C1}"/>
    <cellStyle name="Normal 7 2 3" xfId="566" xr:uid="{EAFA1BC2-6264-4D38-91C6-96E0682A201F}"/>
    <cellStyle name="Normal 7 3" xfId="567" xr:uid="{3D82BA91-670E-4067-8FCA-575042819FF8}"/>
    <cellStyle name="Normal 7 4" xfId="568" xr:uid="{BFA68100-A40B-4391-A7BB-E9B8D4E3B3D0}"/>
    <cellStyle name="Normal 70" xfId="569" xr:uid="{D6EFFF83-7013-4565-97F6-12EEB81E1361}"/>
    <cellStyle name="Normal 71" xfId="570" xr:uid="{91BE9482-10BF-4C0F-86D7-B4B5F2D9A6C8}"/>
    <cellStyle name="Normal 72" xfId="571" xr:uid="{481A7164-2EAF-4646-B16C-53968B8080C3}"/>
    <cellStyle name="Normal 73" xfId="572" xr:uid="{97D7B37A-6630-489A-B2AF-FE8D7CA0D2D0}"/>
    <cellStyle name="Normal 74" xfId="573" xr:uid="{74B216B9-0B05-49E6-BB41-2B36087239BD}"/>
    <cellStyle name="Normal 8" xfId="574" xr:uid="{0A9B3D8C-1F15-45A2-B524-E8B1AFDE3855}"/>
    <cellStyle name="Normal 8 2" xfId="575" xr:uid="{D8CF7004-E3E7-4114-94CD-6A19DED0C2A7}"/>
    <cellStyle name="Normal 8 2 2" xfId="576" xr:uid="{7233B87D-1A62-4A70-A214-E0B3AD848B2A}"/>
    <cellStyle name="Normal 8 3" xfId="577" xr:uid="{FDE886CE-8ACA-4E3E-84E7-B64630C4331C}"/>
    <cellStyle name="Normal 8 4" xfId="578" xr:uid="{C98CD3A4-D833-4495-8675-8AB2DBCFAE83}"/>
    <cellStyle name="Normal 8 5" xfId="579" xr:uid="{60F90317-2D39-4623-AEAA-2F925073A1B6}"/>
    <cellStyle name="Normal 9" xfId="580" xr:uid="{4DC08C97-AF1E-4E8C-8CB6-C671DF7DDFF9}"/>
    <cellStyle name="Normal 9 2" xfId="581" xr:uid="{2F373BE6-E11C-4F34-9E52-522A80E56430}"/>
    <cellStyle name="Normal 9 3" xfId="582" xr:uid="{C8F466C5-2CA4-4736-B4EB-430E52C3FAC5}"/>
    <cellStyle name="Normal 9 4" xfId="583" xr:uid="{B7FFD9DF-512C-48C5-B299-8CE120605223}"/>
    <cellStyle name="Note" xfId="17" builtinId="10" customBuiltin="1"/>
    <cellStyle name="Note 2" xfId="584" xr:uid="{57F8A8B6-329E-4B70-9775-4B816F71FAB4}"/>
    <cellStyle name="Note 2 2" xfId="585" xr:uid="{900804E3-8946-4536-9C18-F1C4897705BB}"/>
    <cellStyle name="Note 2 3" xfId="586" xr:uid="{41BF455A-C223-455C-ADE2-2C13C1D9F72B}"/>
    <cellStyle name="Note 3" xfId="587" xr:uid="{FDA3BAB3-CC5B-47C0-91F4-1C38594E9F4F}"/>
    <cellStyle name="Note 4" xfId="588" xr:uid="{D927C156-A6EF-4996-BBB1-33435B3A95C0}"/>
    <cellStyle name="Notiz 2" xfId="589" xr:uid="{05C965A1-9705-440B-A1F2-F63F222F1D64}"/>
    <cellStyle name="numbers" xfId="590" xr:uid="{56E3812A-8AAF-4F82-A2D8-0416F3FCFA2B}"/>
    <cellStyle name="numbers 2" xfId="591" xr:uid="{F439F85F-DFCC-472B-BA83-1E91744F561C}"/>
    <cellStyle name="numbers 3" xfId="592" xr:uid="{DEB4FA2F-7957-4560-9688-7CFAB5EE7344}"/>
    <cellStyle name="numbers 4" xfId="593" xr:uid="{6A4F9378-881E-47A0-99A8-94C4AA4DDA11}"/>
    <cellStyle name="numbers 5" xfId="594" xr:uid="{F57E9BBB-7C4C-4B58-A225-93044356AD65}"/>
    <cellStyle name="Output" xfId="12" builtinId="21" customBuiltin="1"/>
    <cellStyle name="Output 2" xfId="595" xr:uid="{01624C1B-995F-4560-87D7-25C628509DFA}"/>
    <cellStyle name="Output 2 2" xfId="596" xr:uid="{8B631FCD-512F-40AD-9AEC-F921ACF56413}"/>
    <cellStyle name="Output 2 3" xfId="597" xr:uid="{1F2E6C22-AAAC-46E4-969B-6C41AFC88158}"/>
    <cellStyle name="Output 3" xfId="598" xr:uid="{4CD97C1B-15E3-447C-83D7-4554430741F5}"/>
    <cellStyle name="Output 4" xfId="599" xr:uid="{9B4BA697-55E4-4636-83EC-835C1A64E098}"/>
    <cellStyle name="Percent" xfId="2" builtinId="5"/>
    <cellStyle name="Percent 10" xfId="600" xr:uid="{3920EDEF-9C6F-4658-8FEC-38D558DE6333}"/>
    <cellStyle name="Percent 10 2" xfId="601" xr:uid="{0DE6CDC8-E3FA-421B-9F8F-6574CD2482D6}"/>
    <cellStyle name="Percent 100" xfId="602" xr:uid="{6D488E60-5909-423B-BC79-3DA5385470A3}"/>
    <cellStyle name="Percent 101" xfId="603" xr:uid="{FA1DAD40-1DBD-4BC3-8F8D-2421AA0532B6}"/>
    <cellStyle name="Percent 102" xfId="604" xr:uid="{3038357A-6EBC-4530-97F2-7D0729601F8F}"/>
    <cellStyle name="Percent 103" xfId="605" xr:uid="{BBFC1673-E9AB-41A8-89C0-A5F10CCCAB07}"/>
    <cellStyle name="Percent 104" xfId="606" xr:uid="{3299B3F6-B3DE-4FFF-8FFD-801836F0F92F}"/>
    <cellStyle name="Percent 105" xfId="607" xr:uid="{2D7F95F7-2202-4C46-9F44-B8A93D4528BD}"/>
    <cellStyle name="Percent 11" xfId="608" xr:uid="{E8FFA027-7CB3-469B-B7D3-4FB17066F938}"/>
    <cellStyle name="Percent 11 2" xfId="609" xr:uid="{B5CA82A0-19FA-49D6-8BEF-A5ACB102E182}"/>
    <cellStyle name="Percent 11 3" xfId="610" xr:uid="{04BCB7AD-D8F8-4BFF-AA86-5DE8D9E9D6E9}"/>
    <cellStyle name="Percent 12" xfId="611" xr:uid="{9EDA035E-F2F1-45DB-AA8B-B5CA4FF9EB3B}"/>
    <cellStyle name="Percent 12 2" xfId="612" xr:uid="{4F648C17-B4A3-4559-9275-CBC9CE9B477D}"/>
    <cellStyle name="Percent 12 3" xfId="613" xr:uid="{22B01845-FF02-46F9-8599-DC7BBFAD8438}"/>
    <cellStyle name="Percent 13" xfId="614" xr:uid="{0252D03C-9507-4774-A233-3D46437EF1EF}"/>
    <cellStyle name="Percent 13 2" xfId="615" xr:uid="{606324A6-9B36-4496-B814-3B3215C3672F}"/>
    <cellStyle name="Percent 13 3" xfId="616" xr:uid="{5C703087-CE20-45E5-B30B-496B82D92FCA}"/>
    <cellStyle name="Percent 14" xfId="617" xr:uid="{F5BDE6C9-1F78-42AB-A51F-05967E743144}"/>
    <cellStyle name="Percent 14 2" xfId="618" xr:uid="{BB74E588-3B42-418D-9A1F-CA1D4E7828CA}"/>
    <cellStyle name="Percent 14 3" xfId="619" xr:uid="{F6EA4976-C425-45F2-AF6E-99D23B54535B}"/>
    <cellStyle name="Percent 15" xfId="620" xr:uid="{B71348B6-86AD-4399-AEBB-11BE083B3B02}"/>
    <cellStyle name="Percent 15 2" xfId="621" xr:uid="{8BFA14CE-C5D5-4C99-B7B3-CB819C50AD9D}"/>
    <cellStyle name="Percent 15 3" xfId="622" xr:uid="{719ADBA0-098C-4E82-AE6D-7D772E4F4415}"/>
    <cellStyle name="Percent 16" xfId="623" xr:uid="{1D98B846-45BF-4F27-9E2F-4C828B9C8BC2}"/>
    <cellStyle name="Percent 16 2" xfId="624" xr:uid="{C9584385-BFAB-424C-ADB9-127667DDEED2}"/>
    <cellStyle name="Percent 16 3" xfId="625" xr:uid="{D699B864-74D7-48DD-BCF0-7BD71A169FC4}"/>
    <cellStyle name="Percent 17" xfId="626" xr:uid="{FCF5A3CB-F72F-4AB7-9CAE-FE04E93B525B}"/>
    <cellStyle name="Percent 18" xfId="627" xr:uid="{D9751FF9-E20D-45EA-9563-FEA1CEE41E90}"/>
    <cellStyle name="Percent 18 2" xfId="628" xr:uid="{E4BCAAF1-6E09-461A-B530-47749779F2DE}"/>
    <cellStyle name="Percent 19" xfId="629" xr:uid="{B8BB929D-456A-4B6A-BD9D-795AEF4B44B6}"/>
    <cellStyle name="Percent 2" xfId="630" xr:uid="{DF5EBDE2-2189-489A-BC5F-A834383BC9E2}"/>
    <cellStyle name="Percent 2 2" xfId="631" xr:uid="{E629458C-EA11-4B66-BEA8-7EF6AB19BC81}"/>
    <cellStyle name="Percent 2 2 2" xfId="632" xr:uid="{109F4CD1-D0AE-4440-8294-A706E27F0C7E}"/>
    <cellStyle name="Percent 2 2 3" xfId="633" xr:uid="{FA95FBA8-EA8E-4469-967A-456B985E9EB0}"/>
    <cellStyle name="Percent 2 2 4" xfId="634" xr:uid="{885D1FBC-3B0E-405E-ACB3-93E0A82BD5D2}"/>
    <cellStyle name="Percent 2 3" xfId="635" xr:uid="{09DC485F-8D33-4EC3-B010-3346CAEE4621}"/>
    <cellStyle name="Percent 2 3 2" xfId="636" xr:uid="{C7411AC6-83C0-408D-B93E-EB9830CBBA52}"/>
    <cellStyle name="Percent 2 4" xfId="637" xr:uid="{5EA279BA-D236-47E1-828A-478C02774AFA}"/>
    <cellStyle name="Percent 2 5" xfId="638" xr:uid="{8F82CA23-49B8-4A7C-8B09-817C11B5537A}"/>
    <cellStyle name="Percent 2 6" xfId="639" xr:uid="{9537FFED-BB9E-40DC-AE2E-68195C381CC3}"/>
    <cellStyle name="Percent 2 7" xfId="640" xr:uid="{9CC9875B-2725-49F7-8BA6-ABD28C1C9AAF}"/>
    <cellStyle name="Percent 2 8" xfId="641" xr:uid="{4774EFCC-9D83-4AE1-82D2-8EE738F0D599}"/>
    <cellStyle name="Percent 20" xfId="642" xr:uid="{D60605A5-B516-4068-B7F4-08F02895032F}"/>
    <cellStyle name="Percent 20 2" xfId="643" xr:uid="{A16BCB4E-E186-4DFF-9CF7-507F831635B6}"/>
    <cellStyle name="Percent 21" xfId="644" xr:uid="{467D87F0-68C3-4E7D-8323-1479A54DA422}"/>
    <cellStyle name="Percent 22" xfId="645" xr:uid="{A4980FBC-268D-412A-BD7F-C655AF047E0A}"/>
    <cellStyle name="Percent 23" xfId="646" xr:uid="{7A0B6A71-E5EB-456B-9609-7FB621EE807B}"/>
    <cellStyle name="Percent 24" xfId="647" xr:uid="{68A04FDB-6F5C-4F3C-BA3C-229D014C09C9}"/>
    <cellStyle name="Percent 25" xfId="648" xr:uid="{EB3B24EB-6156-49C2-9CC8-779C2520ED1C}"/>
    <cellStyle name="Percent 26" xfId="649" xr:uid="{7529D0AB-118E-4EB7-84D6-9E0103677AF5}"/>
    <cellStyle name="Percent 26 2" xfId="650" xr:uid="{D7D394B2-4A0C-4A43-8362-2CD06D0E6C23}"/>
    <cellStyle name="Percent 27" xfId="651" xr:uid="{95FDF762-6C88-4524-8F4A-939641AD848B}"/>
    <cellStyle name="Percent 3" xfId="652" xr:uid="{C25B179E-D1B1-4266-BC90-F0888340EAF2}"/>
    <cellStyle name="Percent 3 2" xfId="653" xr:uid="{2E8D8395-EBC1-478D-8959-30CC796CA9DD}"/>
    <cellStyle name="Percent 3 2 2" xfId="654" xr:uid="{9793B8C2-D378-4AD4-9CDC-87EC34986DB2}"/>
    <cellStyle name="Percent 3 2 3" xfId="655" xr:uid="{FF21EB5E-CE64-40CC-B21E-4C692B982911}"/>
    <cellStyle name="Percent 3 3" xfId="656" xr:uid="{86B4281F-E053-4987-AA81-193B446756D4}"/>
    <cellStyle name="Percent 3 4" xfId="657" xr:uid="{EAF1F0A6-B178-475B-87B7-EF4735C4A3F8}"/>
    <cellStyle name="Percent 3 5" xfId="658" xr:uid="{7B1FA5B1-B332-44AF-B7CC-E125D6024962}"/>
    <cellStyle name="Percent 4" xfId="659" xr:uid="{5C2D38F5-EF8E-4E9B-B783-7DCC2FA81E1B}"/>
    <cellStyle name="Percent 4 2" xfId="660" xr:uid="{3B685CA3-BE61-4F24-8DB5-6B6F2DD0CB30}"/>
    <cellStyle name="Percent 4 2 2" xfId="661" xr:uid="{DDEC8B14-27FD-4C16-8ED2-4C820976B5A6}"/>
    <cellStyle name="Percent 4 3" xfId="662" xr:uid="{AF53B70F-0209-4C57-9DBA-1EE99B215234}"/>
    <cellStyle name="Percent 4 4" xfId="663" xr:uid="{030F4EB5-B176-4965-A131-7D9252F47AA2}"/>
    <cellStyle name="Percent 5" xfId="664" xr:uid="{D6945D7B-AB6C-4C48-9D4B-01732BB37395}"/>
    <cellStyle name="Percent 5 2" xfId="665" xr:uid="{E61E4C06-6480-4C59-B7E5-3C1B6BEED760}"/>
    <cellStyle name="Percent 5 2 2" xfId="666" xr:uid="{892D82D8-5AC3-438D-A065-7A0BED3E2F19}"/>
    <cellStyle name="Percent 5 3" xfId="667" xr:uid="{8A1F358B-33BA-4359-A7FA-1818548A9CA5}"/>
    <cellStyle name="Percent 6" xfId="668" xr:uid="{1E92B24F-703A-4FAC-BC42-A34A61F1C685}"/>
    <cellStyle name="Percent 6 2" xfId="669" xr:uid="{D6654868-1D07-4C55-B724-EDB99DCBFD01}"/>
    <cellStyle name="Percent 6 2 2" xfId="670" xr:uid="{948A06B2-C3E5-4721-A317-797D4C80A13A}"/>
    <cellStyle name="Percent 6 3" xfId="671" xr:uid="{0FE3536C-4730-4FFE-84F2-B9C3CF196B23}"/>
    <cellStyle name="Percent 6 4" xfId="672" xr:uid="{9C85681A-2007-4DDE-80FA-4038FF82BEB5}"/>
    <cellStyle name="Percent 7" xfId="673" xr:uid="{592967A8-F060-43E1-A4B6-C0B2F5DE5BEF}"/>
    <cellStyle name="Percent 7 2" xfId="674" xr:uid="{F56DBF14-EDB1-4973-84DD-7CDE8EBA708C}"/>
    <cellStyle name="Percent 7 2 2" xfId="675" xr:uid="{F2F7E2B0-64CE-4969-86BC-C13DF6C4DC71}"/>
    <cellStyle name="Percent 7 3" xfId="676" xr:uid="{260BB2B9-D4BC-48AA-9966-3A1C81796A0A}"/>
    <cellStyle name="Percent 7 4" xfId="677" xr:uid="{DEC3B669-8502-4478-BE88-93E0932F4B47}"/>
    <cellStyle name="Percent 8" xfId="678" xr:uid="{9F6099DC-596E-4C1C-AD35-628A9D09F3A5}"/>
    <cellStyle name="Percent 8 2" xfId="679" xr:uid="{D99B3B0E-227B-4D1F-9073-88F58CA4404F}"/>
    <cellStyle name="Percent 8 3" xfId="680" xr:uid="{B658DA9D-47B6-431F-B059-6E3C92395268}"/>
    <cellStyle name="Percent 89" xfId="681" xr:uid="{1FF6C414-9DF4-4728-90F8-2B1DDED5BF0A}"/>
    <cellStyle name="Percent 9" xfId="682" xr:uid="{F146827E-498B-4F3D-9537-A8644A6B5309}"/>
    <cellStyle name="Percent 9 2" xfId="683" xr:uid="{659E9091-FF06-4D43-9328-ADD3588D12C9}"/>
    <cellStyle name="Percent 9 3" xfId="684" xr:uid="{915A60A1-50C5-4079-A986-2F0C292B66C0}"/>
    <cellStyle name="Percent 90" xfId="685" xr:uid="{3F6837DC-C16E-4F3D-BACC-A47C1DC77E5A}"/>
    <cellStyle name="Percent 91" xfId="686" xr:uid="{59A8A82B-236F-4356-BBAB-3E9DEC89EEC4}"/>
    <cellStyle name="Percent 92" xfId="687" xr:uid="{5008C89C-E700-4344-9C37-EED7FF64DDAF}"/>
    <cellStyle name="Percent 93" xfId="688" xr:uid="{315836FB-01DB-4471-BAD0-C20B899E85DF}"/>
    <cellStyle name="Percent 94" xfId="689" xr:uid="{D2CD6813-93CF-4BFF-B8B7-9376914F5310}"/>
    <cellStyle name="Percent 95" xfId="690" xr:uid="{1ACCEBA1-EB74-49DB-B612-253FC9017954}"/>
    <cellStyle name="Percent 96" xfId="691" xr:uid="{5A4E549F-625C-40CB-A55A-8D025E7C4CCE}"/>
    <cellStyle name="Percent 97" xfId="692" xr:uid="{FCE42E51-FEF0-4E65-B75C-0B40B6396FD2}"/>
    <cellStyle name="Percent 98" xfId="693" xr:uid="{EC449C00-357D-4178-B4B1-09BF84E1D6C6}"/>
    <cellStyle name="Percent 99" xfId="694" xr:uid="{48586C62-F2C7-4106-A49C-806944690553}"/>
    <cellStyle name="Prozent 2" xfId="695" xr:uid="{6A3ABD91-BD96-4B25-BDA6-A892B63916A6}"/>
    <cellStyle name="Row_CategoryHeadings" xfId="696" xr:uid="{C6EC127A-62FE-4DBE-9B77-4B55FA07E6AC}"/>
    <cellStyle name="Rowcount" xfId="697" xr:uid="{CD169667-79B2-4D64-A3DE-EE636DFE885B}"/>
    <cellStyle name="Schlecht 2" xfId="698" xr:uid="{5325AE11-C395-431D-A20B-91A22BFB1FAA}"/>
    <cellStyle name="Source" xfId="699" xr:uid="{1158313B-7EC1-493C-9EBE-443DC60F2300}"/>
    <cellStyle name="Source 2" xfId="700" xr:uid="{FAE43286-12C4-46CB-B38C-B52F2D0CFA98}"/>
    <cellStyle name="Source 3" xfId="701" xr:uid="{986CB880-B806-41BF-9325-4DD6D58E6807}"/>
    <cellStyle name="Source 3 2" xfId="702" xr:uid="{291FEE2C-74BD-408F-A925-1843860A2383}"/>
    <cellStyle name="Source 3 3" xfId="703" xr:uid="{178D2588-0675-4A62-9D1E-9A91F790CCA4}"/>
    <cellStyle name="Source 4" xfId="704" xr:uid="{2F98B5EE-8829-46FD-A048-DE9DB5318BB1}"/>
    <cellStyle name="Source 5" xfId="705" xr:uid="{5094FCEC-4CA3-44E1-85DE-B36F65A73991}"/>
    <cellStyle name="SPSS" xfId="706" xr:uid="{053954BF-9201-4721-94BA-2CFA3A32CBF0}"/>
    <cellStyle name="Standard 2" xfId="707" xr:uid="{B636F32A-2B8A-4C59-95E4-98C248952BA6}"/>
    <cellStyle name="Stil 1" xfId="708" xr:uid="{E774612A-B8F7-4394-8022-70E8F640F112}"/>
    <cellStyle name="Style 1" xfId="709" xr:uid="{6C860678-FD33-4BBC-8BF8-59CAD9560755}"/>
    <cellStyle name="Style 1 2" xfId="710" xr:uid="{6A52A391-E924-4739-B093-006027A19AE0}"/>
    <cellStyle name="Style3" xfId="711" xr:uid="{7F6394E7-8B87-4FA2-9471-18EB9679F8B6}"/>
    <cellStyle name="Style5" xfId="712" xr:uid="{BA51039B-765E-4857-8DB5-4DD82E7A2862}"/>
    <cellStyle name="styleDEnormalgray" xfId="713" xr:uid="{6BB3700B-F05F-42A8-8B9C-AB9C2B4A63BF}"/>
    <cellStyle name="Syntax" xfId="714" xr:uid="{EF278480-1897-45EF-8711-FA6A111F5368}"/>
    <cellStyle name="table" xfId="715" xr:uid="{3BE75036-1BEF-4BA5-A971-8002CFB747FF}"/>
    <cellStyle name="Table Cells" xfId="716" xr:uid="{4F7AEEC9-0C41-4816-97BC-A36DD1A5F857}"/>
    <cellStyle name="Table Column Headings" xfId="717" xr:uid="{DCA50479-04E6-4000-BA73-B26478992CBD}"/>
    <cellStyle name="Table Number" xfId="718" xr:uid="{5CD43F3D-5754-4FAB-A192-11A14BC1D9A5}"/>
    <cellStyle name="Table Row Headings" xfId="719" xr:uid="{6A542821-F431-46C8-BFA3-F39B20AD5E61}"/>
    <cellStyle name="Table Title" xfId="720" xr:uid="{54ACB775-F042-4755-B643-89A8B2A9A5CC}"/>
    <cellStyle name="Table_Name" xfId="721" xr:uid="{B5B58D9D-EF19-49EB-AF47-337A9550D447}"/>
    <cellStyle name="Title" xfId="3" builtinId="15" customBuiltin="1"/>
    <cellStyle name="Title 2" xfId="722" xr:uid="{71597188-D657-4DA1-8AD4-3CB40470BAA6}"/>
    <cellStyle name="Title 2 2" xfId="723" xr:uid="{A195485F-8167-4DC7-B825-200B9EA5B389}"/>
    <cellStyle name="Title 3" xfId="724" xr:uid="{B762C1D1-BC12-44AF-A053-88FA8AA1B1EE}"/>
    <cellStyle name="Total" xfId="19" builtinId="25" customBuiltin="1"/>
    <cellStyle name="Total 2" xfId="725" xr:uid="{468E9124-7022-433A-A53F-7D1CE35CC332}"/>
    <cellStyle name="Total 2 2" xfId="726" xr:uid="{769DCE16-FD2C-469A-A43E-788F841933CE}"/>
    <cellStyle name="Total 2 3" xfId="727" xr:uid="{8E2BF21E-CF95-4FF0-96C3-50F5503D3612}"/>
    <cellStyle name="Total 3" xfId="728" xr:uid="{FA64F9D1-579C-4BA1-8F2D-35DD2F3DFE2C}"/>
    <cellStyle name="Total 4" xfId="729" xr:uid="{5281D893-D862-47B7-8980-CFC111B6B7AE}"/>
    <cellStyle name="TSQL" xfId="730" xr:uid="{C20A2B31-D575-41BC-8F54-B4AA362B7F5B}"/>
    <cellStyle name="Überschrift 1 2" xfId="731" xr:uid="{437CA5E0-1412-4418-8F44-983DFCE86F06}"/>
    <cellStyle name="Überschrift 2 2" xfId="732" xr:uid="{7B0C5BF2-4DED-4B16-8A58-9F92D7AF4C73}"/>
    <cellStyle name="Überschrift 3 2" xfId="733" xr:uid="{BFA4BAE0-624C-4C63-A5DE-6BC585FC88B4}"/>
    <cellStyle name="Überschrift 4 2" xfId="734" xr:uid="{C561D209-0F4C-4067-BD90-0229D1BC9D28}"/>
    <cellStyle name="Überschrift 5" xfId="735" xr:uid="{DC2E6136-9413-404E-89C8-8A0010DFC4C5}"/>
    <cellStyle name="Verknüpfte Zelle 2" xfId="736" xr:uid="{12CE097B-926C-49B0-B946-C66520E45059}"/>
    <cellStyle name="Währung 2" xfId="737" xr:uid="{4C0AFC42-96BE-436F-911E-C020FC157D66}"/>
    <cellStyle name="Warnender Text 2" xfId="738" xr:uid="{F323B625-D29B-4DD9-A6AE-1CF71E07EC7E}"/>
    <cellStyle name="Warning Text" xfId="16" builtinId="11" customBuiltin="1"/>
    <cellStyle name="Warning Text 2" xfId="739" xr:uid="{FA99841C-2F0F-4138-901D-79916359FEBE}"/>
    <cellStyle name="Warning Text 2 2" xfId="740" xr:uid="{4C13C8D7-28D4-452C-872D-9BF59A02AA26}"/>
    <cellStyle name="Warning Text 3" xfId="741" xr:uid="{555A333C-5F90-4051-BCA4-C7E30AF94E96}"/>
    <cellStyle name="Warnings" xfId="742" xr:uid="{602C262E-2871-4494-91F0-11F894368E32}"/>
    <cellStyle name="Warnings 2" xfId="743" xr:uid="{3FA8EEE6-AB49-4E6C-880D-2EEDA43EE721}"/>
    <cellStyle name="Warnings 3" xfId="744" xr:uid="{0589C95B-A967-4A15-98B8-9760D3CE1C11}"/>
    <cellStyle name="Warnings 3 2" xfId="745" xr:uid="{7049EBB1-22E8-49D0-8196-A5F3A62A4A97}"/>
    <cellStyle name="Warnings 3 3" xfId="746" xr:uid="{8F60821E-DFE3-4D48-AB39-0B79842EDD15}"/>
    <cellStyle name="Zelle überprüfen 2" xfId="747" xr:uid="{38C6BAC5-A223-45B4-98B2-6D49C7E6C9CC}"/>
    <cellStyle name="標準_Book1" xfId="748" xr:uid="{81F5A1CA-E69D-47BE-A699-AFF4106422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London Total Houses Built, 1871-2018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london_22!$A$5</c:f>
              <c:strCache>
                <c:ptCount val="1"/>
                <c:pt idx="0">
                  <c:v>Total (No Tenure Available)</c:v>
                </c:pt>
              </c:strCache>
            </c:strRef>
          </c:tx>
          <c:spPr>
            <a:solidFill>
              <a:schemeClr val="tx2">
                <a:lumMod val="25000"/>
                <a:lumOff val="75000"/>
              </a:schemeClr>
            </a:solidFill>
            <a:ln>
              <a:noFill/>
            </a:ln>
            <a:effectLst/>
          </c:spPr>
          <c:cat>
            <c:numRef>
              <c:f>london_22!$B$1:$ET$1</c:f>
              <c:numCache>
                <c:formatCode>General</c:formatCode>
                <c:ptCount val="149"/>
                <c:pt idx="0">
                  <c:v>1871</c:v>
                </c:pt>
                <c:pt idx="1">
                  <c:v>1872</c:v>
                </c:pt>
                <c:pt idx="2">
                  <c:v>1873</c:v>
                </c:pt>
                <c:pt idx="3">
                  <c:v>1874</c:v>
                </c:pt>
                <c:pt idx="4">
                  <c:v>1875</c:v>
                </c:pt>
                <c:pt idx="5">
                  <c:v>1876</c:v>
                </c:pt>
                <c:pt idx="6">
                  <c:v>1877</c:v>
                </c:pt>
                <c:pt idx="7">
                  <c:v>1878</c:v>
                </c:pt>
                <c:pt idx="8">
                  <c:v>1879</c:v>
                </c:pt>
                <c:pt idx="9">
                  <c:v>1880</c:v>
                </c:pt>
                <c:pt idx="10">
                  <c:v>1881</c:v>
                </c:pt>
                <c:pt idx="11">
                  <c:v>1882</c:v>
                </c:pt>
                <c:pt idx="12">
                  <c:v>1883</c:v>
                </c:pt>
                <c:pt idx="13">
                  <c:v>1884</c:v>
                </c:pt>
                <c:pt idx="14">
                  <c:v>1885</c:v>
                </c:pt>
                <c:pt idx="15">
                  <c:v>1886</c:v>
                </c:pt>
                <c:pt idx="16">
                  <c:v>1887</c:v>
                </c:pt>
                <c:pt idx="17">
                  <c:v>1888</c:v>
                </c:pt>
                <c:pt idx="18">
                  <c:v>1889</c:v>
                </c:pt>
                <c:pt idx="19">
                  <c:v>1890</c:v>
                </c:pt>
                <c:pt idx="20">
                  <c:v>1891</c:v>
                </c:pt>
                <c:pt idx="21">
                  <c:v>1892</c:v>
                </c:pt>
                <c:pt idx="22">
                  <c:v>1893</c:v>
                </c:pt>
                <c:pt idx="23">
                  <c:v>1894</c:v>
                </c:pt>
                <c:pt idx="24">
                  <c:v>1895</c:v>
                </c:pt>
                <c:pt idx="25">
                  <c:v>1896</c:v>
                </c:pt>
                <c:pt idx="26">
                  <c:v>1897</c:v>
                </c:pt>
                <c:pt idx="27">
                  <c:v>1898</c:v>
                </c:pt>
                <c:pt idx="28">
                  <c:v>1899</c:v>
                </c:pt>
                <c:pt idx="29">
                  <c:v>1900</c:v>
                </c:pt>
                <c:pt idx="30">
                  <c:v>1901</c:v>
                </c:pt>
                <c:pt idx="31">
                  <c:v>1902</c:v>
                </c:pt>
                <c:pt idx="32">
                  <c:v>1903</c:v>
                </c:pt>
                <c:pt idx="33">
                  <c:v>1904</c:v>
                </c:pt>
                <c:pt idx="34">
                  <c:v>1905</c:v>
                </c:pt>
                <c:pt idx="35">
                  <c:v>1906</c:v>
                </c:pt>
                <c:pt idx="36">
                  <c:v>1907</c:v>
                </c:pt>
                <c:pt idx="37">
                  <c:v>1908</c:v>
                </c:pt>
                <c:pt idx="38">
                  <c:v>1909</c:v>
                </c:pt>
                <c:pt idx="39">
                  <c:v>1910</c:v>
                </c:pt>
                <c:pt idx="40">
                  <c:v>1911</c:v>
                </c:pt>
                <c:pt idx="41">
                  <c:v>1912</c:v>
                </c:pt>
                <c:pt idx="42">
                  <c:v>1913</c:v>
                </c:pt>
                <c:pt idx="43">
                  <c:v>1914</c:v>
                </c:pt>
                <c:pt idx="44">
                  <c:v>1915</c:v>
                </c:pt>
                <c:pt idx="45">
                  <c:v>1916</c:v>
                </c:pt>
                <c:pt idx="46">
                  <c:v>1917</c:v>
                </c:pt>
                <c:pt idx="47">
                  <c:v>1918</c:v>
                </c:pt>
                <c:pt idx="48">
                  <c:v>1919</c:v>
                </c:pt>
                <c:pt idx="49">
                  <c:v>1920</c:v>
                </c:pt>
                <c:pt idx="50">
                  <c:v>1921</c:v>
                </c:pt>
                <c:pt idx="51">
                  <c:v>1922</c:v>
                </c:pt>
                <c:pt idx="52">
                  <c:v>1923</c:v>
                </c:pt>
                <c:pt idx="53">
                  <c:v>1924</c:v>
                </c:pt>
                <c:pt idx="54">
                  <c:v>1925</c:v>
                </c:pt>
                <c:pt idx="55">
                  <c:v>1926</c:v>
                </c:pt>
                <c:pt idx="56">
                  <c:v>1927</c:v>
                </c:pt>
                <c:pt idx="57">
                  <c:v>1928</c:v>
                </c:pt>
                <c:pt idx="58">
                  <c:v>1929</c:v>
                </c:pt>
                <c:pt idx="59">
                  <c:v>1930</c:v>
                </c:pt>
                <c:pt idx="60">
                  <c:v>1931</c:v>
                </c:pt>
                <c:pt idx="61">
                  <c:v>1932</c:v>
                </c:pt>
                <c:pt idx="62">
                  <c:v>1933</c:v>
                </c:pt>
                <c:pt idx="63">
                  <c:v>1934</c:v>
                </c:pt>
                <c:pt idx="64">
                  <c:v>1935</c:v>
                </c:pt>
                <c:pt idx="65">
                  <c:v>1936</c:v>
                </c:pt>
                <c:pt idx="66">
                  <c:v>1937</c:v>
                </c:pt>
                <c:pt idx="67">
                  <c:v>1938</c:v>
                </c:pt>
                <c:pt idx="68">
                  <c:v>1939</c:v>
                </c:pt>
                <c:pt idx="69">
                  <c:v>1940</c:v>
                </c:pt>
                <c:pt idx="70">
                  <c:v>1941</c:v>
                </c:pt>
                <c:pt idx="71">
                  <c:v>1942</c:v>
                </c:pt>
                <c:pt idx="72">
                  <c:v>1943</c:v>
                </c:pt>
                <c:pt idx="73">
                  <c:v>1944</c:v>
                </c:pt>
                <c:pt idx="74">
                  <c:v>1945</c:v>
                </c:pt>
                <c:pt idx="75">
                  <c:v>1946</c:v>
                </c:pt>
                <c:pt idx="76">
                  <c:v>1947</c:v>
                </c:pt>
                <c:pt idx="77">
                  <c:v>1948</c:v>
                </c:pt>
                <c:pt idx="78">
                  <c:v>1949</c:v>
                </c:pt>
                <c:pt idx="79">
                  <c:v>1950</c:v>
                </c:pt>
                <c:pt idx="80">
                  <c:v>1951</c:v>
                </c:pt>
                <c:pt idx="81">
                  <c:v>1952</c:v>
                </c:pt>
                <c:pt idx="82">
                  <c:v>1953</c:v>
                </c:pt>
                <c:pt idx="83">
                  <c:v>1954</c:v>
                </c:pt>
                <c:pt idx="84">
                  <c:v>1955</c:v>
                </c:pt>
                <c:pt idx="85">
                  <c:v>1956</c:v>
                </c:pt>
                <c:pt idx="86">
                  <c:v>1957</c:v>
                </c:pt>
                <c:pt idx="87">
                  <c:v>1958</c:v>
                </c:pt>
                <c:pt idx="88">
                  <c:v>1959</c:v>
                </c:pt>
                <c:pt idx="89">
                  <c:v>1960</c:v>
                </c:pt>
                <c:pt idx="90">
                  <c:v>1961</c:v>
                </c:pt>
                <c:pt idx="91">
                  <c:v>1962</c:v>
                </c:pt>
                <c:pt idx="92">
                  <c:v>1963</c:v>
                </c:pt>
                <c:pt idx="93">
                  <c:v>1964</c:v>
                </c:pt>
                <c:pt idx="94">
                  <c:v>1965</c:v>
                </c:pt>
                <c:pt idx="95">
                  <c:v>1966</c:v>
                </c:pt>
                <c:pt idx="96">
                  <c:v>1967</c:v>
                </c:pt>
                <c:pt idx="97">
                  <c:v>1968</c:v>
                </c:pt>
                <c:pt idx="98">
                  <c:v>1969</c:v>
                </c:pt>
                <c:pt idx="99">
                  <c:v>1970</c:v>
                </c:pt>
                <c:pt idx="100">
                  <c:v>1971</c:v>
                </c:pt>
                <c:pt idx="101">
                  <c:v>1972</c:v>
                </c:pt>
                <c:pt idx="102">
                  <c:v>1973</c:v>
                </c:pt>
                <c:pt idx="103">
                  <c:v>1974</c:v>
                </c:pt>
                <c:pt idx="104">
                  <c:v>1975</c:v>
                </c:pt>
                <c:pt idx="105">
                  <c:v>1976</c:v>
                </c:pt>
                <c:pt idx="106">
                  <c:v>1977</c:v>
                </c:pt>
                <c:pt idx="107">
                  <c:v>1978</c:v>
                </c:pt>
                <c:pt idx="108">
                  <c:v>1979</c:v>
                </c:pt>
                <c:pt idx="109">
                  <c:v>1980</c:v>
                </c:pt>
                <c:pt idx="110">
                  <c:v>1981</c:v>
                </c:pt>
                <c:pt idx="111">
                  <c:v>1982</c:v>
                </c:pt>
                <c:pt idx="112">
                  <c:v>1983</c:v>
                </c:pt>
                <c:pt idx="113">
                  <c:v>1984</c:v>
                </c:pt>
                <c:pt idx="114">
                  <c:v>1985</c:v>
                </c:pt>
                <c:pt idx="115">
                  <c:v>1986</c:v>
                </c:pt>
                <c:pt idx="116">
                  <c:v>1987</c:v>
                </c:pt>
                <c:pt idx="117">
                  <c:v>1988</c:v>
                </c:pt>
                <c:pt idx="118">
                  <c:v>1989</c:v>
                </c:pt>
                <c:pt idx="119">
                  <c:v>1990</c:v>
                </c:pt>
                <c:pt idx="120">
                  <c:v>1991</c:v>
                </c:pt>
                <c:pt idx="121">
                  <c:v>1992</c:v>
                </c:pt>
                <c:pt idx="122">
                  <c:v>1993</c:v>
                </c:pt>
                <c:pt idx="123">
                  <c:v>1994</c:v>
                </c:pt>
                <c:pt idx="124">
                  <c:v>1995</c:v>
                </c:pt>
                <c:pt idx="125">
                  <c:v>1996</c:v>
                </c:pt>
                <c:pt idx="126">
                  <c:v>1997</c:v>
                </c:pt>
                <c:pt idx="127">
                  <c:v>1998</c:v>
                </c:pt>
                <c:pt idx="128">
                  <c:v>1999</c:v>
                </c:pt>
                <c:pt idx="129">
                  <c:v>2000</c:v>
                </c:pt>
                <c:pt idx="130">
                  <c:v>2001</c:v>
                </c:pt>
                <c:pt idx="131">
                  <c:v>2002</c:v>
                </c:pt>
                <c:pt idx="132">
                  <c:v>2003</c:v>
                </c:pt>
                <c:pt idx="133">
                  <c:v>2004</c:v>
                </c:pt>
                <c:pt idx="134">
                  <c:v>2005</c:v>
                </c:pt>
                <c:pt idx="135">
                  <c:v>2006</c:v>
                </c:pt>
                <c:pt idx="136">
                  <c:v>2007</c:v>
                </c:pt>
                <c:pt idx="137">
                  <c:v>2008</c:v>
                </c:pt>
                <c:pt idx="138">
                  <c:v>2009</c:v>
                </c:pt>
                <c:pt idx="139">
                  <c:v>2010</c:v>
                </c:pt>
                <c:pt idx="140">
                  <c:v>2011</c:v>
                </c:pt>
                <c:pt idx="141">
                  <c:v>2012</c:v>
                </c:pt>
                <c:pt idx="142">
                  <c:v>2013</c:v>
                </c:pt>
                <c:pt idx="143">
                  <c:v>2014</c:v>
                </c:pt>
                <c:pt idx="144">
                  <c:v>2015</c:v>
                </c:pt>
                <c:pt idx="145">
                  <c:v>2016</c:v>
                </c:pt>
                <c:pt idx="146">
                  <c:v>2017</c:v>
                </c:pt>
                <c:pt idx="147">
                  <c:v>2018</c:v>
                </c:pt>
                <c:pt idx="148">
                  <c:v>2019</c:v>
                </c:pt>
              </c:numCache>
            </c:numRef>
          </c:cat>
          <c:val>
            <c:numRef>
              <c:f>london_22!$B$5:$ET$5</c:f>
              <c:numCache>
                <c:formatCode>#,##0</c:formatCode>
                <c:ptCount val="149"/>
                <c:pt idx="0">
                  <c:v>8693</c:v>
                </c:pt>
                <c:pt idx="1">
                  <c:v>11179</c:v>
                </c:pt>
                <c:pt idx="2">
                  <c:v>7687</c:v>
                </c:pt>
                <c:pt idx="3">
                  <c:v>7764</c:v>
                </c:pt>
                <c:pt idx="4">
                  <c:v>10023</c:v>
                </c:pt>
                <c:pt idx="5">
                  <c:v>12938</c:v>
                </c:pt>
                <c:pt idx="6">
                  <c:v>14410</c:v>
                </c:pt>
                <c:pt idx="7">
                  <c:v>17127</c:v>
                </c:pt>
                <c:pt idx="8">
                  <c:v>21589</c:v>
                </c:pt>
                <c:pt idx="9">
                  <c:v>24945</c:v>
                </c:pt>
                <c:pt idx="10">
                  <c:v>26170</c:v>
                </c:pt>
                <c:pt idx="11">
                  <c:v>23301</c:v>
                </c:pt>
                <c:pt idx="12">
                  <c:v>21110</c:v>
                </c:pt>
                <c:pt idx="13">
                  <c:v>18428</c:v>
                </c:pt>
                <c:pt idx="14">
                  <c:v>15754</c:v>
                </c:pt>
                <c:pt idx="15">
                  <c:v>12252</c:v>
                </c:pt>
                <c:pt idx="16">
                  <c:v>12478</c:v>
                </c:pt>
                <c:pt idx="17">
                  <c:v>12426</c:v>
                </c:pt>
                <c:pt idx="18">
                  <c:v>11829</c:v>
                </c:pt>
                <c:pt idx="19">
                  <c:v>10935</c:v>
                </c:pt>
                <c:pt idx="20">
                  <c:v>12105</c:v>
                </c:pt>
                <c:pt idx="21">
                  <c:v>11200</c:v>
                </c:pt>
                <c:pt idx="22">
                  <c:v>12830</c:v>
                </c:pt>
                <c:pt idx="23">
                  <c:v>12874</c:v>
                </c:pt>
                <c:pt idx="24">
                  <c:v>13141</c:v>
                </c:pt>
                <c:pt idx="25">
                  <c:v>16894</c:v>
                </c:pt>
                <c:pt idx="26">
                  <c:v>18529</c:v>
                </c:pt>
                <c:pt idx="27">
                  <c:v>24838</c:v>
                </c:pt>
                <c:pt idx="28">
                  <c:v>27381</c:v>
                </c:pt>
                <c:pt idx="29">
                  <c:v>25161</c:v>
                </c:pt>
                <c:pt idx="30">
                  <c:v>27174</c:v>
                </c:pt>
                <c:pt idx="31">
                  <c:v>25480</c:v>
                </c:pt>
                <c:pt idx="32">
                  <c:v>26420</c:v>
                </c:pt>
                <c:pt idx="33">
                  <c:v>23269</c:v>
                </c:pt>
                <c:pt idx="34">
                  <c:v>21970</c:v>
                </c:pt>
                <c:pt idx="35">
                  <c:v>21415</c:v>
                </c:pt>
                <c:pt idx="36">
                  <c:v>19211</c:v>
                </c:pt>
                <c:pt idx="37">
                  <c:v>13377</c:v>
                </c:pt>
                <c:pt idx="38">
                  <c:v>13343</c:v>
                </c:pt>
                <c:pt idx="39">
                  <c:v>11757</c:v>
                </c:pt>
                <c:pt idx="40">
                  <c:v>10027</c:v>
                </c:pt>
                <c:pt idx="41">
                  <c:v>8006</c:v>
                </c:pt>
                <c:pt idx="42">
                  <c:v>8579</c:v>
                </c:pt>
                <c:pt idx="43">
                  <c:v>8299</c:v>
                </c:pt>
                <c:pt idx="44">
                  <c:v>5549</c:v>
                </c:pt>
                <c:pt idx="45">
                  <c:v>3642</c:v>
                </c:pt>
                <c:pt idx="46">
                  <c:v>0</c:v>
                </c:pt>
                <c:pt idx="47">
                  <c:v>0</c:v>
                </c:pt>
                <c:pt idx="48">
                  <c:v>0</c:v>
                </c:pt>
                <c:pt idx="67">
                  <c:v>66472</c:v>
                </c:pt>
                <c:pt idx="68">
                  <c:v>39192.400000000001</c:v>
                </c:pt>
                <c:pt idx="69">
                  <c:v>8499.6</c:v>
                </c:pt>
                <c:pt idx="70">
                  <c:v>1702.8000000000002</c:v>
                </c:pt>
                <c:pt idx="71">
                  <c:v>774.40000000000009</c:v>
                </c:pt>
                <c:pt idx="72">
                  <c:v>723.6</c:v>
                </c:pt>
                <c:pt idx="73">
                  <c:v>856.80000000000007</c:v>
                </c:pt>
                <c:pt idx="74">
                  <c:v>289</c:v>
                </c:pt>
              </c:numCache>
            </c:numRef>
          </c:val>
          <c:extLst>
            <c:ext xmlns:c16="http://schemas.microsoft.com/office/drawing/2014/chart" uri="{C3380CC4-5D6E-409C-BE32-E72D297353CC}">
              <c16:uniqueId val="{00000000-4687-40F1-ADD6-3E54ACB2AE75}"/>
            </c:ext>
          </c:extLst>
        </c:ser>
        <c:ser>
          <c:idx val="1"/>
          <c:order val="1"/>
          <c:tx>
            <c:strRef>
              <c:f>london_22!$A$6</c:f>
              <c:strCache>
                <c:ptCount val="1"/>
                <c:pt idx="0">
                  <c:v>Private</c:v>
                </c:pt>
              </c:strCache>
            </c:strRef>
          </c:tx>
          <c:spPr>
            <a:solidFill>
              <a:srgbClr val="7030A0"/>
            </a:solidFill>
            <a:ln>
              <a:noFill/>
            </a:ln>
            <a:effectLst/>
          </c:spPr>
          <c:cat>
            <c:numRef>
              <c:f>london_22!$B$1:$ET$1</c:f>
              <c:numCache>
                <c:formatCode>General</c:formatCode>
                <c:ptCount val="149"/>
                <c:pt idx="0">
                  <c:v>1871</c:v>
                </c:pt>
                <c:pt idx="1">
                  <c:v>1872</c:v>
                </c:pt>
                <c:pt idx="2">
                  <c:v>1873</c:v>
                </c:pt>
                <c:pt idx="3">
                  <c:v>1874</c:v>
                </c:pt>
                <c:pt idx="4">
                  <c:v>1875</c:v>
                </c:pt>
                <c:pt idx="5">
                  <c:v>1876</c:v>
                </c:pt>
                <c:pt idx="6">
                  <c:v>1877</c:v>
                </c:pt>
                <c:pt idx="7">
                  <c:v>1878</c:v>
                </c:pt>
                <c:pt idx="8">
                  <c:v>1879</c:v>
                </c:pt>
                <c:pt idx="9">
                  <c:v>1880</c:v>
                </c:pt>
                <c:pt idx="10">
                  <c:v>1881</c:v>
                </c:pt>
                <c:pt idx="11">
                  <c:v>1882</c:v>
                </c:pt>
                <c:pt idx="12">
                  <c:v>1883</c:v>
                </c:pt>
                <c:pt idx="13">
                  <c:v>1884</c:v>
                </c:pt>
                <c:pt idx="14">
                  <c:v>1885</c:v>
                </c:pt>
                <c:pt idx="15">
                  <c:v>1886</c:v>
                </c:pt>
                <c:pt idx="16">
                  <c:v>1887</c:v>
                </c:pt>
                <c:pt idx="17">
                  <c:v>1888</c:v>
                </c:pt>
                <c:pt idx="18">
                  <c:v>1889</c:v>
                </c:pt>
                <c:pt idx="19">
                  <c:v>1890</c:v>
                </c:pt>
                <c:pt idx="20">
                  <c:v>1891</c:v>
                </c:pt>
                <c:pt idx="21">
                  <c:v>1892</c:v>
                </c:pt>
                <c:pt idx="22">
                  <c:v>1893</c:v>
                </c:pt>
                <c:pt idx="23">
                  <c:v>1894</c:v>
                </c:pt>
                <c:pt idx="24">
                  <c:v>1895</c:v>
                </c:pt>
                <c:pt idx="25">
                  <c:v>1896</c:v>
                </c:pt>
                <c:pt idx="26">
                  <c:v>1897</c:v>
                </c:pt>
                <c:pt idx="27">
                  <c:v>1898</c:v>
                </c:pt>
                <c:pt idx="28">
                  <c:v>1899</c:v>
                </c:pt>
                <c:pt idx="29">
                  <c:v>1900</c:v>
                </c:pt>
                <c:pt idx="30">
                  <c:v>1901</c:v>
                </c:pt>
                <c:pt idx="31">
                  <c:v>1902</c:v>
                </c:pt>
                <c:pt idx="32">
                  <c:v>1903</c:v>
                </c:pt>
                <c:pt idx="33">
                  <c:v>1904</c:v>
                </c:pt>
                <c:pt idx="34">
                  <c:v>1905</c:v>
                </c:pt>
                <c:pt idx="35">
                  <c:v>1906</c:v>
                </c:pt>
                <c:pt idx="36">
                  <c:v>1907</c:v>
                </c:pt>
                <c:pt idx="37">
                  <c:v>1908</c:v>
                </c:pt>
                <c:pt idx="38">
                  <c:v>1909</c:v>
                </c:pt>
                <c:pt idx="39">
                  <c:v>1910</c:v>
                </c:pt>
                <c:pt idx="40">
                  <c:v>1911</c:v>
                </c:pt>
                <c:pt idx="41">
                  <c:v>1912</c:v>
                </c:pt>
                <c:pt idx="42">
                  <c:v>1913</c:v>
                </c:pt>
                <c:pt idx="43">
                  <c:v>1914</c:v>
                </c:pt>
                <c:pt idx="44">
                  <c:v>1915</c:v>
                </c:pt>
                <c:pt idx="45">
                  <c:v>1916</c:v>
                </c:pt>
                <c:pt idx="46">
                  <c:v>1917</c:v>
                </c:pt>
                <c:pt idx="47">
                  <c:v>1918</c:v>
                </c:pt>
                <c:pt idx="48">
                  <c:v>1919</c:v>
                </c:pt>
                <c:pt idx="49">
                  <c:v>1920</c:v>
                </c:pt>
                <c:pt idx="50">
                  <c:v>1921</c:v>
                </c:pt>
                <c:pt idx="51">
                  <c:v>1922</c:v>
                </c:pt>
                <c:pt idx="52">
                  <c:v>1923</c:v>
                </c:pt>
                <c:pt idx="53">
                  <c:v>1924</c:v>
                </c:pt>
                <c:pt idx="54">
                  <c:v>1925</c:v>
                </c:pt>
                <c:pt idx="55">
                  <c:v>1926</c:v>
                </c:pt>
                <c:pt idx="56">
                  <c:v>1927</c:v>
                </c:pt>
                <c:pt idx="57">
                  <c:v>1928</c:v>
                </c:pt>
                <c:pt idx="58">
                  <c:v>1929</c:v>
                </c:pt>
                <c:pt idx="59">
                  <c:v>1930</c:v>
                </c:pt>
                <c:pt idx="60">
                  <c:v>1931</c:v>
                </c:pt>
                <c:pt idx="61">
                  <c:v>1932</c:v>
                </c:pt>
                <c:pt idx="62">
                  <c:v>1933</c:v>
                </c:pt>
                <c:pt idx="63">
                  <c:v>1934</c:v>
                </c:pt>
                <c:pt idx="64">
                  <c:v>1935</c:v>
                </c:pt>
                <c:pt idx="65">
                  <c:v>1936</c:v>
                </c:pt>
                <c:pt idx="66">
                  <c:v>1937</c:v>
                </c:pt>
                <c:pt idx="67">
                  <c:v>1938</c:v>
                </c:pt>
                <c:pt idx="68">
                  <c:v>1939</c:v>
                </c:pt>
                <c:pt idx="69">
                  <c:v>1940</c:v>
                </c:pt>
                <c:pt idx="70">
                  <c:v>1941</c:v>
                </c:pt>
                <c:pt idx="71">
                  <c:v>1942</c:v>
                </c:pt>
                <c:pt idx="72">
                  <c:v>1943</c:v>
                </c:pt>
                <c:pt idx="73">
                  <c:v>1944</c:v>
                </c:pt>
                <c:pt idx="74">
                  <c:v>1945</c:v>
                </c:pt>
                <c:pt idx="75">
                  <c:v>1946</c:v>
                </c:pt>
                <c:pt idx="76">
                  <c:v>1947</c:v>
                </c:pt>
                <c:pt idx="77">
                  <c:v>1948</c:v>
                </c:pt>
                <c:pt idx="78">
                  <c:v>1949</c:v>
                </c:pt>
                <c:pt idx="79">
                  <c:v>1950</c:v>
                </c:pt>
                <c:pt idx="80">
                  <c:v>1951</c:v>
                </c:pt>
                <c:pt idx="81">
                  <c:v>1952</c:v>
                </c:pt>
                <c:pt idx="82">
                  <c:v>1953</c:v>
                </c:pt>
                <c:pt idx="83">
                  <c:v>1954</c:v>
                </c:pt>
                <c:pt idx="84">
                  <c:v>1955</c:v>
                </c:pt>
                <c:pt idx="85">
                  <c:v>1956</c:v>
                </c:pt>
                <c:pt idx="86">
                  <c:v>1957</c:v>
                </c:pt>
                <c:pt idx="87">
                  <c:v>1958</c:v>
                </c:pt>
                <c:pt idx="88">
                  <c:v>1959</c:v>
                </c:pt>
                <c:pt idx="89">
                  <c:v>1960</c:v>
                </c:pt>
                <c:pt idx="90">
                  <c:v>1961</c:v>
                </c:pt>
                <c:pt idx="91">
                  <c:v>1962</c:v>
                </c:pt>
                <c:pt idx="92">
                  <c:v>1963</c:v>
                </c:pt>
                <c:pt idx="93">
                  <c:v>1964</c:v>
                </c:pt>
                <c:pt idx="94">
                  <c:v>1965</c:v>
                </c:pt>
                <c:pt idx="95">
                  <c:v>1966</c:v>
                </c:pt>
                <c:pt idx="96">
                  <c:v>1967</c:v>
                </c:pt>
                <c:pt idx="97">
                  <c:v>1968</c:v>
                </c:pt>
                <c:pt idx="98">
                  <c:v>1969</c:v>
                </c:pt>
                <c:pt idx="99">
                  <c:v>1970</c:v>
                </c:pt>
                <c:pt idx="100">
                  <c:v>1971</c:v>
                </c:pt>
                <c:pt idx="101">
                  <c:v>1972</c:v>
                </c:pt>
                <c:pt idx="102">
                  <c:v>1973</c:v>
                </c:pt>
                <c:pt idx="103">
                  <c:v>1974</c:v>
                </c:pt>
                <c:pt idx="104">
                  <c:v>1975</c:v>
                </c:pt>
                <c:pt idx="105">
                  <c:v>1976</c:v>
                </c:pt>
                <c:pt idx="106">
                  <c:v>1977</c:v>
                </c:pt>
                <c:pt idx="107">
                  <c:v>1978</c:v>
                </c:pt>
                <c:pt idx="108">
                  <c:v>1979</c:v>
                </c:pt>
                <c:pt idx="109">
                  <c:v>1980</c:v>
                </c:pt>
                <c:pt idx="110">
                  <c:v>1981</c:v>
                </c:pt>
                <c:pt idx="111">
                  <c:v>1982</c:v>
                </c:pt>
                <c:pt idx="112">
                  <c:v>1983</c:v>
                </c:pt>
                <c:pt idx="113">
                  <c:v>1984</c:v>
                </c:pt>
                <c:pt idx="114">
                  <c:v>1985</c:v>
                </c:pt>
                <c:pt idx="115">
                  <c:v>1986</c:v>
                </c:pt>
                <c:pt idx="116">
                  <c:v>1987</c:v>
                </c:pt>
                <c:pt idx="117">
                  <c:v>1988</c:v>
                </c:pt>
                <c:pt idx="118">
                  <c:v>1989</c:v>
                </c:pt>
                <c:pt idx="119">
                  <c:v>1990</c:v>
                </c:pt>
                <c:pt idx="120">
                  <c:v>1991</c:v>
                </c:pt>
                <c:pt idx="121">
                  <c:v>1992</c:v>
                </c:pt>
                <c:pt idx="122">
                  <c:v>1993</c:v>
                </c:pt>
                <c:pt idx="123">
                  <c:v>1994</c:v>
                </c:pt>
                <c:pt idx="124">
                  <c:v>1995</c:v>
                </c:pt>
                <c:pt idx="125">
                  <c:v>1996</c:v>
                </c:pt>
                <c:pt idx="126">
                  <c:v>1997</c:v>
                </c:pt>
                <c:pt idx="127">
                  <c:v>1998</c:v>
                </c:pt>
                <c:pt idx="128">
                  <c:v>1999</c:v>
                </c:pt>
                <c:pt idx="129">
                  <c:v>2000</c:v>
                </c:pt>
                <c:pt idx="130">
                  <c:v>2001</c:v>
                </c:pt>
                <c:pt idx="131">
                  <c:v>2002</c:v>
                </c:pt>
                <c:pt idx="132">
                  <c:v>2003</c:v>
                </c:pt>
                <c:pt idx="133">
                  <c:v>2004</c:v>
                </c:pt>
                <c:pt idx="134">
                  <c:v>2005</c:v>
                </c:pt>
                <c:pt idx="135">
                  <c:v>2006</c:v>
                </c:pt>
                <c:pt idx="136">
                  <c:v>2007</c:v>
                </c:pt>
                <c:pt idx="137">
                  <c:v>2008</c:v>
                </c:pt>
                <c:pt idx="138">
                  <c:v>2009</c:v>
                </c:pt>
                <c:pt idx="139">
                  <c:v>2010</c:v>
                </c:pt>
                <c:pt idx="140">
                  <c:v>2011</c:v>
                </c:pt>
                <c:pt idx="141">
                  <c:v>2012</c:v>
                </c:pt>
                <c:pt idx="142">
                  <c:v>2013</c:v>
                </c:pt>
                <c:pt idx="143">
                  <c:v>2014</c:v>
                </c:pt>
                <c:pt idx="144">
                  <c:v>2015</c:v>
                </c:pt>
                <c:pt idx="145">
                  <c:v>2016</c:v>
                </c:pt>
                <c:pt idx="146">
                  <c:v>2017</c:v>
                </c:pt>
                <c:pt idx="147">
                  <c:v>2018</c:v>
                </c:pt>
                <c:pt idx="148">
                  <c:v>2019</c:v>
                </c:pt>
              </c:numCache>
            </c:numRef>
          </c:cat>
          <c:val>
            <c:numRef>
              <c:f>london_22!$B$6:$ET$6</c:f>
              <c:numCache>
                <c:formatCode>#,##0</c:formatCode>
                <c:ptCount val="1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1495</c:v>
                </c:pt>
                <c:pt idx="50">
                  <c:v>3231</c:v>
                </c:pt>
                <c:pt idx="51">
                  <c:v>4860</c:v>
                </c:pt>
                <c:pt idx="52">
                  <c:v>7786</c:v>
                </c:pt>
                <c:pt idx="53">
                  <c:v>15194</c:v>
                </c:pt>
                <c:pt idx="54">
                  <c:v>19655</c:v>
                </c:pt>
                <c:pt idx="55">
                  <c:v>25176</c:v>
                </c:pt>
                <c:pt idx="56">
                  <c:v>25791</c:v>
                </c:pt>
                <c:pt idx="57">
                  <c:v>27362</c:v>
                </c:pt>
                <c:pt idx="58">
                  <c:v>34118</c:v>
                </c:pt>
                <c:pt idx="59">
                  <c:v>42652</c:v>
                </c:pt>
                <c:pt idx="60">
                  <c:v>44805</c:v>
                </c:pt>
                <c:pt idx="61">
                  <c:v>36288</c:v>
                </c:pt>
                <c:pt idx="62">
                  <c:v>47988</c:v>
                </c:pt>
                <c:pt idx="63">
                  <c:v>72756</c:v>
                </c:pt>
                <c:pt idx="64">
                  <c:v>68015</c:v>
                </c:pt>
                <c:pt idx="65">
                  <c:v>67704</c:v>
                </c:pt>
                <c:pt idx="66">
                  <c:v>57805</c:v>
                </c:pt>
                <c:pt idx="67">
                  <c:v>0</c:v>
                </c:pt>
                <c:pt idx="68">
                  <c:v>0</c:v>
                </c:pt>
                <c:pt idx="69">
                  <c:v>0</c:v>
                </c:pt>
                <c:pt idx="70">
                  <c:v>0</c:v>
                </c:pt>
                <c:pt idx="71">
                  <c:v>0</c:v>
                </c:pt>
                <c:pt idx="72">
                  <c:v>0</c:v>
                </c:pt>
                <c:pt idx="73">
                  <c:v>0</c:v>
                </c:pt>
                <c:pt idx="74">
                  <c:v>0</c:v>
                </c:pt>
                <c:pt idx="75" formatCode="General">
                  <c:v>3790.8375124648378</c:v>
                </c:pt>
                <c:pt idx="76" formatCode="General">
                  <c:v>7525.078081403999</c:v>
                </c:pt>
                <c:pt idx="77" formatCode="General">
                  <c:v>7912.5622244644801</c:v>
                </c:pt>
                <c:pt idx="78" formatCode="General">
                  <c:v>5607.7455783966361</c:v>
                </c:pt>
                <c:pt idx="79" formatCode="General">
                  <c:v>5977.0340986580213</c:v>
                </c:pt>
                <c:pt idx="80" formatCode="General">
                  <c:v>4082.6658250866894</c:v>
                </c:pt>
                <c:pt idx="81" formatCode="General">
                  <c:v>4461.8530235363814</c:v>
                </c:pt>
                <c:pt idx="82" formatCode="General">
                  <c:v>7542.2299203431185</c:v>
                </c:pt>
                <c:pt idx="83" formatCode="General">
                  <c:v>12451.852642605108</c:v>
                </c:pt>
                <c:pt idx="84" formatCode="General">
                  <c:v>12694.540922571116</c:v>
                </c:pt>
                <c:pt idx="85" formatCode="General">
                  <c:v>12176.443451567086</c:v>
                </c:pt>
                <c:pt idx="86" formatCode="General">
                  <c:v>11118.204987349553</c:v>
                </c:pt>
                <c:pt idx="87" formatCode="General">
                  <c:v>11463.79440001078</c:v>
                </c:pt>
                <c:pt idx="88" formatCode="General">
                  <c:v>11500.226419127792</c:v>
                </c:pt>
                <c:pt idx="89" formatCode="General">
                  <c:v>11266.570073006738</c:v>
                </c:pt>
                <c:pt idx="90">
                  <c:v>9557</c:v>
                </c:pt>
                <c:pt idx="91">
                  <c:v>9133</c:v>
                </c:pt>
                <c:pt idx="92">
                  <c:v>9564</c:v>
                </c:pt>
                <c:pt idx="93">
                  <c:v>11482</c:v>
                </c:pt>
                <c:pt idx="94">
                  <c:v>10802</c:v>
                </c:pt>
                <c:pt idx="95">
                  <c:v>10770</c:v>
                </c:pt>
                <c:pt idx="96">
                  <c:v>9943</c:v>
                </c:pt>
                <c:pt idx="97">
                  <c:v>10273</c:v>
                </c:pt>
                <c:pt idx="98">
                  <c:v>8198</c:v>
                </c:pt>
                <c:pt idx="99">
                  <c:v>8769</c:v>
                </c:pt>
                <c:pt idx="100">
                  <c:v>8342</c:v>
                </c:pt>
                <c:pt idx="101">
                  <c:v>7452</c:v>
                </c:pt>
                <c:pt idx="102">
                  <c:v>7718</c:v>
                </c:pt>
                <c:pt idx="103">
                  <c:v>6991</c:v>
                </c:pt>
                <c:pt idx="104">
                  <c:v>8513</c:v>
                </c:pt>
                <c:pt idx="105">
                  <c:v>6063</c:v>
                </c:pt>
                <c:pt idx="106">
                  <c:v>6590</c:v>
                </c:pt>
                <c:pt idx="107">
                  <c:v>5291</c:v>
                </c:pt>
                <c:pt idx="108">
                  <c:v>3773</c:v>
                </c:pt>
                <c:pt idx="109">
                  <c:v>4426</c:v>
                </c:pt>
                <c:pt idx="110">
                  <c:v>4021</c:v>
                </c:pt>
                <c:pt idx="111">
                  <c:v>5807</c:v>
                </c:pt>
                <c:pt idx="112">
                  <c:v>7289</c:v>
                </c:pt>
                <c:pt idx="113">
                  <c:v>7185</c:v>
                </c:pt>
                <c:pt idx="114">
                  <c:v>6457</c:v>
                </c:pt>
                <c:pt idx="115">
                  <c:v>8488</c:v>
                </c:pt>
                <c:pt idx="116">
                  <c:v>10787</c:v>
                </c:pt>
                <c:pt idx="117">
                  <c:v>12039</c:v>
                </c:pt>
                <c:pt idx="118">
                  <c:v>12469</c:v>
                </c:pt>
                <c:pt idx="119">
                  <c:v>13790</c:v>
                </c:pt>
                <c:pt idx="120">
                  <c:v>12840</c:v>
                </c:pt>
                <c:pt idx="121">
                  <c:v>11370</c:v>
                </c:pt>
                <c:pt idx="122">
                  <c:v>8870</c:v>
                </c:pt>
                <c:pt idx="123">
                  <c:v>9220</c:v>
                </c:pt>
                <c:pt idx="124">
                  <c:v>11110</c:v>
                </c:pt>
                <c:pt idx="125">
                  <c:v>8310</c:v>
                </c:pt>
                <c:pt idx="126">
                  <c:v>9050</c:v>
                </c:pt>
                <c:pt idx="127">
                  <c:v>10560</c:v>
                </c:pt>
                <c:pt idx="128">
                  <c:v>10720</c:v>
                </c:pt>
                <c:pt idx="129">
                  <c:v>9830</c:v>
                </c:pt>
                <c:pt idx="130">
                  <c:v>10970</c:v>
                </c:pt>
                <c:pt idx="131">
                  <c:v>11300</c:v>
                </c:pt>
                <c:pt idx="132">
                  <c:v>14960</c:v>
                </c:pt>
                <c:pt idx="133">
                  <c:v>17700</c:v>
                </c:pt>
                <c:pt idx="134">
                  <c:v>13050</c:v>
                </c:pt>
                <c:pt idx="135">
                  <c:v>13960</c:v>
                </c:pt>
                <c:pt idx="136">
                  <c:v>15230</c:v>
                </c:pt>
                <c:pt idx="137">
                  <c:v>13190</c:v>
                </c:pt>
                <c:pt idx="138">
                  <c:v>14340</c:v>
                </c:pt>
                <c:pt idx="139">
                  <c:v>8870</c:v>
                </c:pt>
                <c:pt idx="140">
                  <c:v>10580</c:v>
                </c:pt>
                <c:pt idx="141">
                  <c:v>12310</c:v>
                </c:pt>
                <c:pt idx="142">
                  <c:v>11460</c:v>
                </c:pt>
                <c:pt idx="143">
                  <c:v>12120</c:v>
                </c:pt>
                <c:pt idx="144">
                  <c:v>16490</c:v>
                </c:pt>
                <c:pt idx="145">
                  <c:v>16390</c:v>
                </c:pt>
                <c:pt idx="146">
                  <c:v>21500</c:v>
                </c:pt>
                <c:pt idx="147">
                  <c:v>14290</c:v>
                </c:pt>
                <c:pt idx="148">
                  <c:v>16900</c:v>
                </c:pt>
              </c:numCache>
            </c:numRef>
          </c:val>
          <c:extLst>
            <c:ext xmlns:c16="http://schemas.microsoft.com/office/drawing/2014/chart" uri="{C3380CC4-5D6E-409C-BE32-E72D297353CC}">
              <c16:uniqueId val="{00000001-4687-40F1-ADD6-3E54ACB2AE75}"/>
            </c:ext>
          </c:extLst>
        </c:ser>
        <c:ser>
          <c:idx val="2"/>
          <c:order val="2"/>
          <c:tx>
            <c:strRef>
              <c:f>london_22!$A$7</c:f>
              <c:strCache>
                <c:ptCount val="1"/>
                <c:pt idx="0">
                  <c:v>Public</c:v>
                </c:pt>
              </c:strCache>
            </c:strRef>
          </c:tx>
          <c:spPr>
            <a:solidFill>
              <a:srgbClr val="92D901"/>
            </a:solidFill>
            <a:ln>
              <a:noFill/>
            </a:ln>
            <a:effectLst/>
          </c:spPr>
          <c:cat>
            <c:numRef>
              <c:f>london_22!$B$1:$ET$1</c:f>
              <c:numCache>
                <c:formatCode>General</c:formatCode>
                <c:ptCount val="149"/>
                <c:pt idx="0">
                  <c:v>1871</c:v>
                </c:pt>
                <c:pt idx="1">
                  <c:v>1872</c:v>
                </c:pt>
                <c:pt idx="2">
                  <c:v>1873</c:v>
                </c:pt>
                <c:pt idx="3">
                  <c:v>1874</c:v>
                </c:pt>
                <c:pt idx="4">
                  <c:v>1875</c:v>
                </c:pt>
                <c:pt idx="5">
                  <c:v>1876</c:v>
                </c:pt>
                <c:pt idx="6">
                  <c:v>1877</c:v>
                </c:pt>
                <c:pt idx="7">
                  <c:v>1878</c:v>
                </c:pt>
                <c:pt idx="8">
                  <c:v>1879</c:v>
                </c:pt>
                <c:pt idx="9">
                  <c:v>1880</c:v>
                </c:pt>
                <c:pt idx="10">
                  <c:v>1881</c:v>
                </c:pt>
                <c:pt idx="11">
                  <c:v>1882</c:v>
                </c:pt>
                <c:pt idx="12">
                  <c:v>1883</c:v>
                </c:pt>
                <c:pt idx="13">
                  <c:v>1884</c:v>
                </c:pt>
                <c:pt idx="14">
                  <c:v>1885</c:v>
                </c:pt>
                <c:pt idx="15">
                  <c:v>1886</c:v>
                </c:pt>
                <c:pt idx="16">
                  <c:v>1887</c:v>
                </c:pt>
                <c:pt idx="17">
                  <c:v>1888</c:v>
                </c:pt>
                <c:pt idx="18">
                  <c:v>1889</c:v>
                </c:pt>
                <c:pt idx="19">
                  <c:v>1890</c:v>
                </c:pt>
                <c:pt idx="20">
                  <c:v>1891</c:v>
                </c:pt>
                <c:pt idx="21">
                  <c:v>1892</c:v>
                </c:pt>
                <c:pt idx="22">
                  <c:v>1893</c:v>
                </c:pt>
                <c:pt idx="23">
                  <c:v>1894</c:v>
                </c:pt>
                <c:pt idx="24">
                  <c:v>1895</c:v>
                </c:pt>
                <c:pt idx="25">
                  <c:v>1896</c:v>
                </c:pt>
                <c:pt idx="26">
                  <c:v>1897</c:v>
                </c:pt>
                <c:pt idx="27">
                  <c:v>1898</c:v>
                </c:pt>
                <c:pt idx="28">
                  <c:v>1899</c:v>
                </c:pt>
                <c:pt idx="29">
                  <c:v>1900</c:v>
                </c:pt>
                <c:pt idx="30">
                  <c:v>1901</c:v>
                </c:pt>
                <c:pt idx="31">
                  <c:v>1902</c:v>
                </c:pt>
                <c:pt idx="32">
                  <c:v>1903</c:v>
                </c:pt>
                <c:pt idx="33">
                  <c:v>1904</c:v>
                </c:pt>
                <c:pt idx="34">
                  <c:v>1905</c:v>
                </c:pt>
                <c:pt idx="35">
                  <c:v>1906</c:v>
                </c:pt>
                <c:pt idx="36">
                  <c:v>1907</c:v>
                </c:pt>
                <c:pt idx="37">
                  <c:v>1908</c:v>
                </c:pt>
                <c:pt idx="38">
                  <c:v>1909</c:v>
                </c:pt>
                <c:pt idx="39">
                  <c:v>1910</c:v>
                </c:pt>
                <c:pt idx="40">
                  <c:v>1911</c:v>
                </c:pt>
                <c:pt idx="41">
                  <c:v>1912</c:v>
                </c:pt>
                <c:pt idx="42">
                  <c:v>1913</c:v>
                </c:pt>
                <c:pt idx="43">
                  <c:v>1914</c:v>
                </c:pt>
                <c:pt idx="44">
                  <c:v>1915</c:v>
                </c:pt>
                <c:pt idx="45">
                  <c:v>1916</c:v>
                </c:pt>
                <c:pt idx="46">
                  <c:v>1917</c:v>
                </c:pt>
                <c:pt idx="47">
                  <c:v>1918</c:v>
                </c:pt>
                <c:pt idx="48">
                  <c:v>1919</c:v>
                </c:pt>
                <c:pt idx="49">
                  <c:v>1920</c:v>
                </c:pt>
                <c:pt idx="50">
                  <c:v>1921</c:v>
                </c:pt>
                <c:pt idx="51">
                  <c:v>1922</c:v>
                </c:pt>
                <c:pt idx="52">
                  <c:v>1923</c:v>
                </c:pt>
                <c:pt idx="53">
                  <c:v>1924</c:v>
                </c:pt>
                <c:pt idx="54">
                  <c:v>1925</c:v>
                </c:pt>
                <c:pt idx="55">
                  <c:v>1926</c:v>
                </c:pt>
                <c:pt idx="56">
                  <c:v>1927</c:v>
                </c:pt>
                <c:pt idx="57">
                  <c:v>1928</c:v>
                </c:pt>
                <c:pt idx="58">
                  <c:v>1929</c:v>
                </c:pt>
                <c:pt idx="59">
                  <c:v>1930</c:v>
                </c:pt>
                <c:pt idx="60">
                  <c:v>1931</c:v>
                </c:pt>
                <c:pt idx="61">
                  <c:v>1932</c:v>
                </c:pt>
                <c:pt idx="62">
                  <c:v>1933</c:v>
                </c:pt>
                <c:pt idx="63">
                  <c:v>1934</c:v>
                </c:pt>
                <c:pt idx="64">
                  <c:v>1935</c:v>
                </c:pt>
                <c:pt idx="65">
                  <c:v>1936</c:v>
                </c:pt>
                <c:pt idx="66">
                  <c:v>1937</c:v>
                </c:pt>
                <c:pt idx="67">
                  <c:v>1938</c:v>
                </c:pt>
                <c:pt idx="68">
                  <c:v>1939</c:v>
                </c:pt>
                <c:pt idx="69">
                  <c:v>1940</c:v>
                </c:pt>
                <c:pt idx="70">
                  <c:v>1941</c:v>
                </c:pt>
                <c:pt idx="71">
                  <c:v>1942</c:v>
                </c:pt>
                <c:pt idx="72">
                  <c:v>1943</c:v>
                </c:pt>
                <c:pt idx="73">
                  <c:v>1944</c:v>
                </c:pt>
                <c:pt idx="74">
                  <c:v>1945</c:v>
                </c:pt>
                <c:pt idx="75">
                  <c:v>1946</c:v>
                </c:pt>
                <c:pt idx="76">
                  <c:v>1947</c:v>
                </c:pt>
                <c:pt idx="77">
                  <c:v>1948</c:v>
                </c:pt>
                <c:pt idx="78">
                  <c:v>1949</c:v>
                </c:pt>
                <c:pt idx="79">
                  <c:v>1950</c:v>
                </c:pt>
                <c:pt idx="80">
                  <c:v>1951</c:v>
                </c:pt>
                <c:pt idx="81">
                  <c:v>1952</c:v>
                </c:pt>
                <c:pt idx="82">
                  <c:v>1953</c:v>
                </c:pt>
                <c:pt idx="83">
                  <c:v>1954</c:v>
                </c:pt>
                <c:pt idx="84">
                  <c:v>1955</c:v>
                </c:pt>
                <c:pt idx="85">
                  <c:v>1956</c:v>
                </c:pt>
                <c:pt idx="86">
                  <c:v>1957</c:v>
                </c:pt>
                <c:pt idx="87">
                  <c:v>1958</c:v>
                </c:pt>
                <c:pt idx="88">
                  <c:v>1959</c:v>
                </c:pt>
                <c:pt idx="89">
                  <c:v>1960</c:v>
                </c:pt>
                <c:pt idx="90">
                  <c:v>1961</c:v>
                </c:pt>
                <c:pt idx="91">
                  <c:v>1962</c:v>
                </c:pt>
                <c:pt idx="92">
                  <c:v>1963</c:v>
                </c:pt>
                <c:pt idx="93">
                  <c:v>1964</c:v>
                </c:pt>
                <c:pt idx="94">
                  <c:v>1965</c:v>
                </c:pt>
                <c:pt idx="95">
                  <c:v>1966</c:v>
                </c:pt>
                <c:pt idx="96">
                  <c:v>1967</c:v>
                </c:pt>
                <c:pt idx="97">
                  <c:v>1968</c:v>
                </c:pt>
                <c:pt idx="98">
                  <c:v>1969</c:v>
                </c:pt>
                <c:pt idx="99">
                  <c:v>1970</c:v>
                </c:pt>
                <c:pt idx="100">
                  <c:v>1971</c:v>
                </c:pt>
                <c:pt idx="101">
                  <c:v>1972</c:v>
                </c:pt>
                <c:pt idx="102">
                  <c:v>1973</c:v>
                </c:pt>
                <c:pt idx="103">
                  <c:v>1974</c:v>
                </c:pt>
                <c:pt idx="104">
                  <c:v>1975</c:v>
                </c:pt>
                <c:pt idx="105">
                  <c:v>1976</c:v>
                </c:pt>
                <c:pt idx="106">
                  <c:v>1977</c:v>
                </c:pt>
                <c:pt idx="107">
                  <c:v>1978</c:v>
                </c:pt>
                <c:pt idx="108">
                  <c:v>1979</c:v>
                </c:pt>
                <c:pt idx="109">
                  <c:v>1980</c:v>
                </c:pt>
                <c:pt idx="110">
                  <c:v>1981</c:v>
                </c:pt>
                <c:pt idx="111">
                  <c:v>1982</c:v>
                </c:pt>
                <c:pt idx="112">
                  <c:v>1983</c:v>
                </c:pt>
                <c:pt idx="113">
                  <c:v>1984</c:v>
                </c:pt>
                <c:pt idx="114">
                  <c:v>1985</c:v>
                </c:pt>
                <c:pt idx="115">
                  <c:v>1986</c:v>
                </c:pt>
                <c:pt idx="116">
                  <c:v>1987</c:v>
                </c:pt>
                <c:pt idx="117">
                  <c:v>1988</c:v>
                </c:pt>
                <c:pt idx="118">
                  <c:v>1989</c:v>
                </c:pt>
                <c:pt idx="119">
                  <c:v>1990</c:v>
                </c:pt>
                <c:pt idx="120">
                  <c:v>1991</c:v>
                </c:pt>
                <c:pt idx="121">
                  <c:v>1992</c:v>
                </c:pt>
                <c:pt idx="122">
                  <c:v>1993</c:v>
                </c:pt>
                <c:pt idx="123">
                  <c:v>1994</c:v>
                </c:pt>
                <c:pt idx="124">
                  <c:v>1995</c:v>
                </c:pt>
                <c:pt idx="125">
                  <c:v>1996</c:v>
                </c:pt>
                <c:pt idx="126">
                  <c:v>1997</c:v>
                </c:pt>
                <c:pt idx="127">
                  <c:v>1998</c:v>
                </c:pt>
                <c:pt idx="128">
                  <c:v>1999</c:v>
                </c:pt>
                <c:pt idx="129">
                  <c:v>2000</c:v>
                </c:pt>
                <c:pt idx="130">
                  <c:v>2001</c:v>
                </c:pt>
                <c:pt idx="131">
                  <c:v>2002</c:v>
                </c:pt>
                <c:pt idx="132">
                  <c:v>2003</c:v>
                </c:pt>
                <c:pt idx="133">
                  <c:v>2004</c:v>
                </c:pt>
                <c:pt idx="134">
                  <c:v>2005</c:v>
                </c:pt>
                <c:pt idx="135">
                  <c:v>2006</c:v>
                </c:pt>
                <c:pt idx="136">
                  <c:v>2007</c:v>
                </c:pt>
                <c:pt idx="137">
                  <c:v>2008</c:v>
                </c:pt>
                <c:pt idx="138">
                  <c:v>2009</c:v>
                </c:pt>
                <c:pt idx="139">
                  <c:v>2010</c:v>
                </c:pt>
                <c:pt idx="140">
                  <c:v>2011</c:v>
                </c:pt>
                <c:pt idx="141">
                  <c:v>2012</c:v>
                </c:pt>
                <c:pt idx="142">
                  <c:v>2013</c:v>
                </c:pt>
                <c:pt idx="143">
                  <c:v>2014</c:v>
                </c:pt>
                <c:pt idx="144">
                  <c:v>2015</c:v>
                </c:pt>
                <c:pt idx="145">
                  <c:v>2016</c:v>
                </c:pt>
                <c:pt idx="146">
                  <c:v>2017</c:v>
                </c:pt>
                <c:pt idx="147">
                  <c:v>2018</c:v>
                </c:pt>
                <c:pt idx="148">
                  <c:v>2019</c:v>
                </c:pt>
              </c:numCache>
            </c:numRef>
          </c:cat>
          <c:val>
            <c:numRef>
              <c:f>london_22!$B$7:$ET$7</c:f>
              <c:numCache>
                <c:formatCode>#,##0</c:formatCode>
                <c:ptCount val="14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1147</c:v>
                </c:pt>
                <c:pt idx="50">
                  <c:v>9696</c:v>
                </c:pt>
                <c:pt idx="51">
                  <c:v>12047</c:v>
                </c:pt>
                <c:pt idx="52">
                  <c:v>2482</c:v>
                </c:pt>
                <c:pt idx="53">
                  <c:v>2247</c:v>
                </c:pt>
                <c:pt idx="54">
                  <c:v>3826</c:v>
                </c:pt>
                <c:pt idx="55">
                  <c:v>8353</c:v>
                </c:pt>
                <c:pt idx="56">
                  <c:v>16017</c:v>
                </c:pt>
                <c:pt idx="57">
                  <c:v>15019</c:v>
                </c:pt>
                <c:pt idx="58">
                  <c:v>8570</c:v>
                </c:pt>
                <c:pt idx="59">
                  <c:v>7531</c:v>
                </c:pt>
                <c:pt idx="60">
                  <c:v>10707</c:v>
                </c:pt>
                <c:pt idx="61">
                  <c:v>8325</c:v>
                </c:pt>
                <c:pt idx="62">
                  <c:v>6421</c:v>
                </c:pt>
                <c:pt idx="63">
                  <c:v>7856</c:v>
                </c:pt>
                <c:pt idx="64">
                  <c:v>7662</c:v>
                </c:pt>
                <c:pt idx="65">
                  <c:v>11134</c:v>
                </c:pt>
                <c:pt idx="66">
                  <c:v>11290</c:v>
                </c:pt>
                <c:pt idx="67">
                  <c:v>0</c:v>
                </c:pt>
                <c:pt idx="68">
                  <c:v>0</c:v>
                </c:pt>
                <c:pt idx="69">
                  <c:v>0</c:v>
                </c:pt>
                <c:pt idx="70">
                  <c:v>0</c:v>
                </c:pt>
                <c:pt idx="71">
                  <c:v>0</c:v>
                </c:pt>
                <c:pt idx="72">
                  <c:v>0</c:v>
                </c:pt>
                <c:pt idx="73">
                  <c:v>0</c:v>
                </c:pt>
                <c:pt idx="74">
                  <c:v>0</c:v>
                </c:pt>
                <c:pt idx="75" formatCode="General">
                  <c:v>641.66248753516186</c:v>
                </c:pt>
                <c:pt idx="76" formatCode="General">
                  <c:v>9004.3826376372799</c:v>
                </c:pt>
                <c:pt idx="77" formatCode="General">
                  <c:v>23918.456417346417</c:v>
                </c:pt>
                <c:pt idx="78" formatCode="General">
                  <c:v>18289.13191827447</c:v>
                </c:pt>
                <c:pt idx="79" formatCode="General">
                  <c:v>18297.659643019739</c:v>
                </c:pt>
                <c:pt idx="80" formatCode="General">
                  <c:v>16508.319527776162</c:v>
                </c:pt>
                <c:pt idx="81" formatCode="General">
                  <c:v>18207.121676863084</c:v>
                </c:pt>
                <c:pt idx="82" formatCode="General">
                  <c:v>19471.631597632913</c:v>
                </c:pt>
                <c:pt idx="83" formatCode="General">
                  <c:v>17395.630712920858</c:v>
                </c:pt>
                <c:pt idx="84" formatCode="General">
                  <c:v>16302.855881689869</c:v>
                </c:pt>
                <c:pt idx="85" formatCode="General">
                  <c:v>14459.60182140229</c:v>
                </c:pt>
                <c:pt idx="86" formatCode="General">
                  <c:v>14101.029366844856</c:v>
                </c:pt>
                <c:pt idx="87" formatCode="General">
                  <c:v>13944.348076686956</c:v>
                </c:pt>
                <c:pt idx="88" formatCode="General">
                  <c:v>12868.921383801635</c:v>
                </c:pt>
                <c:pt idx="89" formatCode="General">
                  <c:v>13385.939913677681</c:v>
                </c:pt>
                <c:pt idx="90">
                  <c:v>13487</c:v>
                </c:pt>
                <c:pt idx="91">
                  <c:v>14392</c:v>
                </c:pt>
                <c:pt idx="92">
                  <c:v>14802</c:v>
                </c:pt>
                <c:pt idx="93">
                  <c:v>15034</c:v>
                </c:pt>
                <c:pt idx="94">
                  <c:v>18255</c:v>
                </c:pt>
                <c:pt idx="95">
                  <c:v>20871</c:v>
                </c:pt>
                <c:pt idx="96">
                  <c:v>22598</c:v>
                </c:pt>
                <c:pt idx="97">
                  <c:v>22714</c:v>
                </c:pt>
                <c:pt idx="98">
                  <c:v>24540</c:v>
                </c:pt>
                <c:pt idx="99">
                  <c:v>28667</c:v>
                </c:pt>
                <c:pt idx="100">
                  <c:v>25515</c:v>
                </c:pt>
                <c:pt idx="101">
                  <c:v>20972</c:v>
                </c:pt>
                <c:pt idx="102">
                  <c:v>17000</c:v>
                </c:pt>
                <c:pt idx="103">
                  <c:v>21650</c:v>
                </c:pt>
                <c:pt idx="104">
                  <c:v>21678</c:v>
                </c:pt>
                <c:pt idx="105">
                  <c:v>25515</c:v>
                </c:pt>
                <c:pt idx="106">
                  <c:v>25182</c:v>
                </c:pt>
                <c:pt idx="107">
                  <c:v>21147</c:v>
                </c:pt>
                <c:pt idx="108">
                  <c:v>17410</c:v>
                </c:pt>
                <c:pt idx="109">
                  <c:v>18651</c:v>
                </c:pt>
                <c:pt idx="110">
                  <c:v>15385</c:v>
                </c:pt>
                <c:pt idx="111">
                  <c:v>8866</c:v>
                </c:pt>
                <c:pt idx="112">
                  <c:v>6712</c:v>
                </c:pt>
                <c:pt idx="113">
                  <c:v>5054</c:v>
                </c:pt>
                <c:pt idx="114">
                  <c:v>3895</c:v>
                </c:pt>
                <c:pt idx="115">
                  <c:v>3037</c:v>
                </c:pt>
                <c:pt idx="116">
                  <c:v>2402</c:v>
                </c:pt>
                <c:pt idx="117">
                  <c:v>2605</c:v>
                </c:pt>
                <c:pt idx="118">
                  <c:v>2865</c:v>
                </c:pt>
                <c:pt idx="119">
                  <c:v>4110</c:v>
                </c:pt>
                <c:pt idx="120">
                  <c:v>3440</c:v>
                </c:pt>
                <c:pt idx="121">
                  <c:v>4190</c:v>
                </c:pt>
                <c:pt idx="122">
                  <c:v>5320</c:v>
                </c:pt>
                <c:pt idx="123">
                  <c:v>6040</c:v>
                </c:pt>
                <c:pt idx="124">
                  <c:v>5260</c:v>
                </c:pt>
                <c:pt idx="125">
                  <c:v>5470</c:v>
                </c:pt>
                <c:pt idx="126">
                  <c:v>4100</c:v>
                </c:pt>
                <c:pt idx="127">
                  <c:v>3610</c:v>
                </c:pt>
                <c:pt idx="128">
                  <c:v>3170</c:v>
                </c:pt>
                <c:pt idx="129">
                  <c:v>3700</c:v>
                </c:pt>
                <c:pt idx="130">
                  <c:v>3780</c:v>
                </c:pt>
                <c:pt idx="131">
                  <c:v>4350</c:v>
                </c:pt>
                <c:pt idx="132">
                  <c:v>3410</c:v>
                </c:pt>
                <c:pt idx="133">
                  <c:v>6490</c:v>
                </c:pt>
                <c:pt idx="134">
                  <c:v>5200</c:v>
                </c:pt>
                <c:pt idx="135">
                  <c:v>7110</c:v>
                </c:pt>
                <c:pt idx="136">
                  <c:v>7970</c:v>
                </c:pt>
                <c:pt idx="137">
                  <c:v>7900</c:v>
                </c:pt>
                <c:pt idx="138">
                  <c:v>7190</c:v>
                </c:pt>
                <c:pt idx="139">
                  <c:v>6330</c:v>
                </c:pt>
                <c:pt idx="140">
                  <c:v>6970</c:v>
                </c:pt>
                <c:pt idx="141">
                  <c:v>9070</c:v>
                </c:pt>
                <c:pt idx="142">
                  <c:v>5130</c:v>
                </c:pt>
                <c:pt idx="143">
                  <c:v>6220</c:v>
                </c:pt>
                <c:pt idx="144">
                  <c:v>7890</c:v>
                </c:pt>
                <c:pt idx="145">
                  <c:v>5100</c:v>
                </c:pt>
                <c:pt idx="146">
                  <c:v>5690</c:v>
                </c:pt>
                <c:pt idx="147">
                  <c:v>4140</c:v>
                </c:pt>
                <c:pt idx="148">
                  <c:v>5100</c:v>
                </c:pt>
              </c:numCache>
            </c:numRef>
          </c:val>
          <c:extLst>
            <c:ext xmlns:c16="http://schemas.microsoft.com/office/drawing/2014/chart" uri="{C3380CC4-5D6E-409C-BE32-E72D297353CC}">
              <c16:uniqueId val="{00000002-4687-40F1-ADD6-3E54ACB2AE75}"/>
            </c:ext>
          </c:extLst>
        </c:ser>
        <c:dLbls>
          <c:showLegendKey val="0"/>
          <c:showVal val="0"/>
          <c:showCatName val="0"/>
          <c:showSerName val="0"/>
          <c:showPercent val="0"/>
          <c:showBubbleSize val="0"/>
        </c:dLbls>
        <c:axId val="538479584"/>
        <c:axId val="551708704"/>
      </c:areaChart>
      <c:catAx>
        <c:axId val="53847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708704"/>
        <c:crosses val="autoZero"/>
        <c:auto val="1"/>
        <c:lblAlgn val="ctr"/>
        <c:lblOffset val="100"/>
        <c:noMultiLvlLbl val="0"/>
      </c:catAx>
      <c:valAx>
        <c:axId val="5517087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53847958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115</xdr:col>
      <xdr:colOff>471487</xdr:colOff>
      <xdr:row>33</xdr:row>
      <xdr:rowOff>80961</xdr:rowOff>
    </xdr:from>
    <xdr:to>
      <xdr:col>124</xdr:col>
      <xdr:colOff>762001</xdr:colOff>
      <xdr:row>61</xdr:row>
      <xdr:rowOff>38100</xdr:rowOff>
    </xdr:to>
    <xdr:graphicFrame macro="">
      <xdr:nvGraphicFramePr>
        <xdr:cNvPr id="2" name="Chart 1">
          <a:extLst>
            <a:ext uri="{FF2B5EF4-FFF2-40B4-BE49-F238E27FC236}">
              <a16:creationId xmlns:a16="http://schemas.microsoft.com/office/drawing/2014/main" id="{0FB49506-E3A1-4682-BA02-D1066A91B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entreforcities.sharepoint.com/sites/CentreForCities3/Shared%20Documents/Research/Housing/History%20of%20Planning%202/Data/Analysis/2024-11-26_Master_Sheet_Workbook.xlsx" TargetMode="External"/><Relationship Id="rId1" Type="http://schemas.openxmlformats.org/officeDocument/2006/relationships/externalLinkPath" Target="/sites/CentreForCities3/Shared%20Documents/Research/Housing/History%20of%20Planning%202/Data/Analysis/2024-11-26_Master_Sheet_Workboo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tional_1856"/>
      <sheetName val="LONDON &gt;&gt;"/>
      <sheetName val="london_22"/>
      <sheetName val="LA_71 &gt;&gt;"/>
      <sheetName val="chart_la_71_each"/>
      <sheetName val="analysis_la_ 71_group"/>
      <sheetName val="hb_rate_pub_la_71"/>
      <sheetName val="hb_rate_priv_la_71"/>
      <sheetName val="CTY_81 &gt;&gt;"/>
      <sheetName val="analysis_group_cty_81"/>
      <sheetName val="ratio_stock_per_head_cty_81"/>
      <sheetName val="stock_per_head_cty_81"/>
      <sheetName val="analysis_met_shi_gse_rgb_cty_81"/>
      <sheetName val="analysis_gse_rgb_cty_81"/>
      <sheetName val="analysis_urb_shi_cty_81"/>
      <sheetName val="analysis_met_shi_cty_81"/>
      <sheetName val="analysis_each_cty_81"/>
      <sheetName val="hb_rate_combo_cty_81"/>
      <sheetName val="hb_rate_pub_cty_81"/>
      <sheetName val="rvs_cty_81"/>
      <sheetName val="LA_23 &gt;&gt;"/>
      <sheetName val="analysis_la_23_group"/>
      <sheetName val="analysis_la_23_each"/>
      <sheetName val="hb_rate_pub_la_23"/>
      <sheetName val="hb_rate_priv_la_23"/>
      <sheetName val="PUA_23 &gt;&gt;"/>
      <sheetName val="analysis_pua_each"/>
      <sheetName val="hb_rate_pub_pua"/>
      <sheetName val="hb_rate_priv_pua"/>
      <sheetName val="URSA_23 &gt;&gt;"/>
      <sheetName val="analysis_ursa_23"/>
      <sheetName val="hb_rate_pub_ursa_23"/>
      <sheetName val="hb_rate_priv_ursa_23"/>
      <sheetName val="stock_ursa_23"/>
      <sheetName val="hb_gross_pub_ursa_23"/>
      <sheetName val="hb_gross_priv_ursa_23"/>
      <sheetName val="RAW DATA &gt;&gt;"/>
      <sheetName val="house_prices_cty_81"/>
      <sheetName val="LA_96_10_supply"/>
      <sheetName val="London_Raw"/>
      <sheetName val="stock_cty_81"/>
      <sheetName val="hb_rate_priv_cty_81"/>
      <sheetName val="privatebuilt_cty_81"/>
      <sheetName val="publicbuilt_cty_81"/>
      <sheetName val="pop_cty_81"/>
      <sheetName val="stocks_la_23"/>
      <sheetName val="gross_private_la_23"/>
      <sheetName val="gross_public_la_23"/>
      <sheetName val="stocks_la_71"/>
      <sheetName val="gross_private_la_71"/>
      <sheetName val="gross_public_la_71"/>
      <sheetName val="gross_combo_la_71"/>
      <sheetName val="pop_la_71"/>
      <sheetName val="stock_pua"/>
      <sheetName val="privatebuilt_pua"/>
      <sheetName val="publicbuilt_pua"/>
      <sheetName val="rv_56"/>
      <sheetName val="rv_63"/>
      <sheetName val="rv_73"/>
      <sheetName val="LOOKUP &gt;&gt;"/>
      <sheetName val="PUA_Lookup"/>
      <sheetName val="URSA_lookup"/>
      <sheetName val="pop_spikes"/>
    </sheetNames>
    <sheetDataSet>
      <sheetData sheetId="0"/>
      <sheetData sheetId="1"/>
      <sheetData sheetId="2">
        <row r="1">
          <cell r="B1">
            <v>1871</v>
          </cell>
          <cell r="C1">
            <v>1872</v>
          </cell>
          <cell r="D1">
            <v>1873</v>
          </cell>
          <cell r="E1">
            <v>1874</v>
          </cell>
          <cell r="F1">
            <v>1875</v>
          </cell>
          <cell r="G1">
            <v>1876</v>
          </cell>
          <cell r="H1">
            <v>1877</v>
          </cell>
          <cell r="I1">
            <v>1878</v>
          </cell>
          <cell r="J1">
            <v>1879</v>
          </cell>
          <cell r="K1">
            <v>1880</v>
          </cell>
          <cell r="L1">
            <v>1881</v>
          </cell>
          <cell r="M1">
            <v>1882</v>
          </cell>
          <cell r="N1">
            <v>1883</v>
          </cell>
          <cell r="O1">
            <v>1884</v>
          </cell>
          <cell r="P1">
            <v>1885</v>
          </cell>
          <cell r="Q1">
            <v>1886</v>
          </cell>
          <cell r="R1">
            <v>1887</v>
          </cell>
          <cell r="S1">
            <v>1888</v>
          </cell>
          <cell r="T1">
            <v>1889</v>
          </cell>
          <cell r="U1">
            <v>1890</v>
          </cell>
          <cell r="V1">
            <v>1891</v>
          </cell>
          <cell r="W1">
            <v>1892</v>
          </cell>
          <cell r="X1">
            <v>1893</v>
          </cell>
          <cell r="Y1">
            <v>1894</v>
          </cell>
          <cell r="Z1">
            <v>1895</v>
          </cell>
          <cell r="AA1">
            <v>1896</v>
          </cell>
          <cell r="AB1">
            <v>1897</v>
          </cell>
          <cell r="AC1">
            <v>1898</v>
          </cell>
          <cell r="AD1">
            <v>1899</v>
          </cell>
          <cell r="AE1">
            <v>1900</v>
          </cell>
          <cell r="AF1">
            <v>1901</v>
          </cell>
          <cell r="AG1">
            <v>1902</v>
          </cell>
          <cell r="AH1">
            <v>1903</v>
          </cell>
          <cell r="AI1">
            <v>1904</v>
          </cell>
          <cell r="AJ1">
            <v>1905</v>
          </cell>
          <cell r="AK1">
            <v>1906</v>
          </cell>
          <cell r="AL1">
            <v>1907</v>
          </cell>
          <cell r="AM1">
            <v>1908</v>
          </cell>
          <cell r="AN1">
            <v>1909</v>
          </cell>
          <cell r="AO1">
            <v>1910</v>
          </cell>
          <cell r="AP1">
            <v>1911</v>
          </cell>
          <cell r="AQ1">
            <v>1912</v>
          </cell>
          <cell r="AR1">
            <v>1913</v>
          </cell>
          <cell r="AS1">
            <v>1914</v>
          </cell>
          <cell r="AT1">
            <v>1915</v>
          </cell>
          <cell r="AU1">
            <v>1916</v>
          </cell>
          <cell r="AV1">
            <v>1917</v>
          </cell>
          <cell r="AW1">
            <v>1918</v>
          </cell>
          <cell r="AX1">
            <v>1919</v>
          </cell>
          <cell r="AY1">
            <v>1920</v>
          </cell>
          <cell r="AZ1">
            <v>1921</v>
          </cell>
          <cell r="BA1">
            <v>1922</v>
          </cell>
          <cell r="BB1">
            <v>1923</v>
          </cell>
          <cell r="BC1">
            <v>1924</v>
          </cell>
          <cell r="BD1">
            <v>1925</v>
          </cell>
          <cell r="BE1">
            <v>1926</v>
          </cell>
          <cell r="BF1">
            <v>1927</v>
          </cell>
          <cell r="BG1">
            <v>1928</v>
          </cell>
          <cell r="BH1">
            <v>1929</v>
          </cell>
          <cell r="BI1">
            <v>1930</v>
          </cell>
          <cell r="BJ1">
            <v>1931</v>
          </cell>
          <cell r="BK1">
            <v>1932</v>
          </cell>
          <cell r="BL1">
            <v>1933</v>
          </cell>
          <cell r="BM1">
            <v>1934</v>
          </cell>
          <cell r="BN1">
            <v>1935</v>
          </cell>
          <cell r="BO1">
            <v>1936</v>
          </cell>
          <cell r="BP1">
            <v>1937</v>
          </cell>
          <cell r="BQ1">
            <v>1938</v>
          </cell>
          <cell r="BR1">
            <v>1939</v>
          </cell>
          <cell r="BS1">
            <v>1940</v>
          </cell>
          <cell r="BT1">
            <v>1941</v>
          </cell>
          <cell r="BU1">
            <v>1942</v>
          </cell>
          <cell r="BV1">
            <v>1943</v>
          </cell>
          <cell r="BW1">
            <v>1944</v>
          </cell>
          <cell r="BX1">
            <v>1945</v>
          </cell>
          <cell r="BY1">
            <v>1946</v>
          </cell>
          <cell r="BZ1">
            <v>1947</v>
          </cell>
          <cell r="CA1">
            <v>1948</v>
          </cell>
          <cell r="CB1">
            <v>1949</v>
          </cell>
          <cell r="CC1">
            <v>1950</v>
          </cell>
          <cell r="CD1">
            <v>1951</v>
          </cell>
          <cell r="CE1">
            <v>1952</v>
          </cell>
          <cell r="CF1">
            <v>1953</v>
          </cell>
          <cell r="CG1">
            <v>1954</v>
          </cell>
          <cell r="CH1">
            <v>1955</v>
          </cell>
          <cell r="CI1">
            <v>1956</v>
          </cell>
          <cell r="CJ1">
            <v>1957</v>
          </cell>
          <cell r="CK1">
            <v>1958</v>
          </cell>
          <cell r="CL1">
            <v>1959</v>
          </cell>
          <cell r="CM1">
            <v>1960</v>
          </cell>
          <cell r="CN1">
            <v>1961</v>
          </cell>
          <cell r="CO1">
            <v>1962</v>
          </cell>
          <cell r="CP1">
            <v>1963</v>
          </cell>
          <cell r="CQ1">
            <v>1964</v>
          </cell>
          <cell r="CR1">
            <v>1965</v>
          </cell>
          <cell r="CS1">
            <v>1966</v>
          </cell>
          <cell r="CT1">
            <v>1967</v>
          </cell>
          <cell r="CU1">
            <v>1968</v>
          </cell>
          <cell r="CV1">
            <v>1969</v>
          </cell>
          <cell r="CW1">
            <v>1970</v>
          </cell>
          <cell r="CX1">
            <v>1971</v>
          </cell>
          <cell r="CY1">
            <v>1972</v>
          </cell>
          <cell r="CZ1">
            <v>1973</v>
          </cell>
          <cell r="DA1">
            <v>1974</v>
          </cell>
          <cell r="DB1">
            <v>1975</v>
          </cell>
          <cell r="DC1">
            <v>1976</v>
          </cell>
          <cell r="DD1">
            <v>1977</v>
          </cell>
          <cell r="DE1">
            <v>1978</v>
          </cell>
          <cell r="DF1">
            <v>1979</v>
          </cell>
          <cell r="DG1">
            <v>1980</v>
          </cell>
          <cell r="DH1">
            <v>1981</v>
          </cell>
          <cell r="DI1">
            <v>1982</v>
          </cell>
          <cell r="DJ1">
            <v>1983</v>
          </cell>
          <cell r="DK1">
            <v>1984</v>
          </cell>
          <cell r="DL1">
            <v>1985</v>
          </cell>
          <cell r="DM1">
            <v>1986</v>
          </cell>
          <cell r="DN1">
            <v>1987</v>
          </cell>
          <cell r="DO1">
            <v>1988</v>
          </cell>
          <cell r="DP1">
            <v>1989</v>
          </cell>
          <cell r="DQ1">
            <v>1990</v>
          </cell>
          <cell r="DR1">
            <v>1991</v>
          </cell>
          <cell r="DS1">
            <v>1992</v>
          </cell>
          <cell r="DT1">
            <v>1993</v>
          </cell>
          <cell r="DU1">
            <v>1994</v>
          </cell>
          <cell r="DV1">
            <v>1995</v>
          </cell>
          <cell r="DW1">
            <v>1996</v>
          </cell>
          <cell r="DX1">
            <v>1997</v>
          </cell>
          <cell r="DY1">
            <v>1998</v>
          </cell>
          <cell r="DZ1">
            <v>1999</v>
          </cell>
          <cell r="EA1">
            <v>2000</v>
          </cell>
          <cell r="EB1">
            <v>2001</v>
          </cell>
          <cell r="EC1">
            <v>2002</v>
          </cell>
          <cell r="ED1">
            <v>2003</v>
          </cell>
          <cell r="EE1">
            <v>2004</v>
          </cell>
          <cell r="EF1">
            <v>2005</v>
          </cell>
          <cell r="EG1">
            <v>2006</v>
          </cell>
          <cell r="EH1">
            <v>2007</v>
          </cell>
          <cell r="EI1">
            <v>2008</v>
          </cell>
          <cell r="EJ1">
            <v>2009</v>
          </cell>
          <cell r="EK1">
            <v>2010</v>
          </cell>
          <cell r="EL1">
            <v>2011</v>
          </cell>
          <cell r="EM1">
            <v>2012</v>
          </cell>
          <cell r="EN1">
            <v>2013</v>
          </cell>
          <cell r="EO1">
            <v>2014</v>
          </cell>
          <cell r="EP1">
            <v>2015</v>
          </cell>
          <cell r="EQ1">
            <v>2016</v>
          </cell>
          <cell r="ER1">
            <v>2017</v>
          </cell>
          <cell r="ES1">
            <v>2018</v>
          </cell>
          <cell r="ET1">
            <v>2019</v>
          </cell>
        </row>
        <row r="5">
          <cell r="A5" t="str">
            <v>Total (No Tenure Available)</v>
          </cell>
          <cell r="B5">
            <v>8693</v>
          </cell>
          <cell r="C5">
            <v>11179</v>
          </cell>
          <cell r="D5">
            <v>7687</v>
          </cell>
          <cell r="E5">
            <v>7764</v>
          </cell>
          <cell r="F5">
            <v>10023</v>
          </cell>
          <cell r="G5">
            <v>12938</v>
          </cell>
          <cell r="H5">
            <v>14410</v>
          </cell>
          <cell r="I5">
            <v>17127</v>
          </cell>
          <cell r="J5">
            <v>21589</v>
          </cell>
          <cell r="K5">
            <v>24945</v>
          </cell>
          <cell r="L5">
            <v>26170</v>
          </cell>
          <cell r="M5">
            <v>23301</v>
          </cell>
          <cell r="N5">
            <v>21110</v>
          </cell>
          <cell r="O5">
            <v>18428</v>
          </cell>
          <cell r="P5">
            <v>15754</v>
          </cell>
          <cell r="Q5">
            <v>12252</v>
          </cell>
          <cell r="R5">
            <v>12478</v>
          </cell>
          <cell r="S5">
            <v>12426</v>
          </cell>
          <cell r="T5">
            <v>11829</v>
          </cell>
          <cell r="U5">
            <v>10935</v>
          </cell>
          <cell r="V5">
            <v>12105</v>
          </cell>
          <cell r="W5">
            <v>11200</v>
          </cell>
          <cell r="X5">
            <v>12830</v>
          </cell>
          <cell r="Y5">
            <v>12874</v>
          </cell>
          <cell r="Z5">
            <v>13141</v>
          </cell>
          <cell r="AA5">
            <v>16894</v>
          </cell>
          <cell r="AB5">
            <v>18529</v>
          </cell>
          <cell r="AC5">
            <v>24838</v>
          </cell>
          <cell r="AD5">
            <v>27381</v>
          </cell>
          <cell r="AE5">
            <v>25161</v>
          </cell>
          <cell r="AF5">
            <v>27174</v>
          </cell>
          <cell r="AG5">
            <v>25480</v>
          </cell>
          <cell r="AH5">
            <v>26420</v>
          </cell>
          <cell r="AI5">
            <v>23269</v>
          </cell>
          <cell r="AJ5">
            <v>21970</v>
          </cell>
          <cell r="AK5">
            <v>21415</v>
          </cell>
          <cell r="AL5">
            <v>19211</v>
          </cell>
          <cell r="AM5">
            <v>13377</v>
          </cell>
          <cell r="AN5">
            <v>13343</v>
          </cell>
          <cell r="AO5">
            <v>11757</v>
          </cell>
          <cell r="AP5">
            <v>10027</v>
          </cell>
          <cell r="AQ5">
            <v>8006</v>
          </cell>
          <cell r="AR5">
            <v>8579</v>
          </cell>
          <cell r="AS5">
            <v>8299</v>
          </cell>
          <cell r="AT5">
            <v>5549</v>
          </cell>
          <cell r="AU5">
            <v>3642</v>
          </cell>
          <cell r="AV5">
            <v>0</v>
          </cell>
          <cell r="AW5">
            <v>0</v>
          </cell>
          <cell r="AX5">
            <v>0</v>
          </cell>
          <cell r="BQ5">
            <v>66472</v>
          </cell>
          <cell r="BR5">
            <v>39192.400000000001</v>
          </cell>
          <cell r="BS5">
            <v>8499.6</v>
          </cell>
          <cell r="BT5">
            <v>1702.8000000000002</v>
          </cell>
          <cell r="BU5">
            <v>774.40000000000009</v>
          </cell>
          <cell r="BV5">
            <v>723.6</v>
          </cell>
          <cell r="BW5">
            <v>856.80000000000007</v>
          </cell>
          <cell r="BX5">
            <v>289</v>
          </cell>
        </row>
        <row r="6">
          <cell r="A6" t="str">
            <v>Private</v>
          </cell>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1495</v>
          </cell>
          <cell r="AZ6">
            <v>3231</v>
          </cell>
          <cell r="BA6">
            <v>4860</v>
          </cell>
          <cell r="BB6">
            <v>7786</v>
          </cell>
          <cell r="BC6">
            <v>15194</v>
          </cell>
          <cell r="BD6">
            <v>19655</v>
          </cell>
          <cell r="BE6">
            <v>25176</v>
          </cell>
          <cell r="BF6">
            <v>25791</v>
          </cell>
          <cell r="BG6">
            <v>27362</v>
          </cell>
          <cell r="BH6">
            <v>34118</v>
          </cell>
          <cell r="BI6">
            <v>42652</v>
          </cell>
          <cell r="BJ6">
            <v>44805</v>
          </cell>
          <cell r="BK6">
            <v>36288</v>
          </cell>
          <cell r="BL6">
            <v>47988</v>
          </cell>
          <cell r="BM6">
            <v>72756</v>
          </cell>
          <cell r="BN6">
            <v>68015</v>
          </cell>
          <cell r="BO6">
            <v>67704</v>
          </cell>
          <cell r="BP6">
            <v>57805</v>
          </cell>
          <cell r="BQ6">
            <v>0</v>
          </cell>
          <cell r="BR6">
            <v>0</v>
          </cell>
          <cell r="BS6">
            <v>0</v>
          </cell>
          <cell r="BT6">
            <v>0</v>
          </cell>
          <cell r="BU6">
            <v>0</v>
          </cell>
          <cell r="BV6">
            <v>0</v>
          </cell>
          <cell r="BW6">
            <v>0</v>
          </cell>
          <cell r="BX6">
            <v>0</v>
          </cell>
          <cell r="BY6">
            <v>3790.8375124648378</v>
          </cell>
          <cell r="BZ6">
            <v>7525.078081403999</v>
          </cell>
          <cell r="CA6">
            <v>7912.5622244644801</v>
          </cell>
          <cell r="CB6">
            <v>5607.7455783966361</v>
          </cell>
          <cell r="CC6">
            <v>5977.0340986580213</v>
          </cell>
          <cell r="CD6">
            <v>4082.6658250866894</v>
          </cell>
          <cell r="CE6">
            <v>4461.8530235363814</v>
          </cell>
          <cell r="CF6">
            <v>7542.2299203431185</v>
          </cell>
          <cell r="CG6">
            <v>12451.852642605108</v>
          </cell>
          <cell r="CH6">
            <v>12694.540922571116</v>
          </cell>
          <cell r="CI6">
            <v>12176.443451567086</v>
          </cell>
          <cell r="CJ6">
            <v>11118.204987349553</v>
          </cell>
          <cell r="CK6">
            <v>11463.79440001078</v>
          </cell>
          <cell r="CL6">
            <v>11500.226419127792</v>
          </cell>
          <cell r="CM6">
            <v>11266.570073006738</v>
          </cell>
          <cell r="CN6">
            <v>9557</v>
          </cell>
          <cell r="CO6">
            <v>9133</v>
          </cell>
          <cell r="CP6">
            <v>9564</v>
          </cell>
          <cell r="CQ6">
            <v>11482</v>
          </cell>
          <cell r="CR6">
            <v>10802</v>
          </cell>
          <cell r="CS6">
            <v>10770</v>
          </cell>
          <cell r="CT6">
            <v>9943</v>
          </cell>
          <cell r="CU6">
            <v>10273</v>
          </cell>
          <cell r="CV6">
            <v>8198</v>
          </cell>
          <cell r="CW6">
            <v>8769</v>
          </cell>
          <cell r="CX6">
            <v>8342</v>
          </cell>
          <cell r="CY6">
            <v>7452</v>
          </cell>
          <cell r="CZ6">
            <v>7718</v>
          </cell>
          <cell r="DA6">
            <v>6991</v>
          </cell>
          <cell r="DB6">
            <v>8513</v>
          </cell>
          <cell r="DC6">
            <v>6063</v>
          </cell>
          <cell r="DD6">
            <v>6590</v>
          </cell>
          <cell r="DE6">
            <v>5291</v>
          </cell>
          <cell r="DF6">
            <v>3773</v>
          </cell>
          <cell r="DG6">
            <v>4426</v>
          </cell>
          <cell r="DH6">
            <v>4021</v>
          </cell>
          <cell r="DI6">
            <v>5807</v>
          </cell>
          <cell r="DJ6">
            <v>7289</v>
          </cell>
          <cell r="DK6">
            <v>7185</v>
          </cell>
          <cell r="DL6">
            <v>6457</v>
          </cell>
          <cell r="DM6">
            <v>8488</v>
          </cell>
          <cell r="DN6">
            <v>10787</v>
          </cell>
          <cell r="DO6">
            <v>12039</v>
          </cell>
          <cell r="DP6">
            <v>12469</v>
          </cell>
          <cell r="DQ6">
            <v>13790</v>
          </cell>
          <cell r="DR6">
            <v>12840</v>
          </cell>
          <cell r="DS6">
            <v>11370</v>
          </cell>
          <cell r="DT6">
            <v>8870</v>
          </cell>
          <cell r="DU6">
            <v>9220</v>
          </cell>
          <cell r="DV6">
            <v>11110</v>
          </cell>
          <cell r="DW6">
            <v>8310</v>
          </cell>
          <cell r="DX6">
            <v>9050</v>
          </cell>
          <cell r="DY6">
            <v>10560</v>
          </cell>
          <cell r="DZ6">
            <v>10720</v>
          </cell>
          <cell r="EA6">
            <v>9830</v>
          </cell>
          <cell r="EB6">
            <v>10970</v>
          </cell>
          <cell r="EC6">
            <v>11300</v>
          </cell>
          <cell r="ED6">
            <v>14960</v>
          </cell>
          <cell r="EE6">
            <v>17700</v>
          </cell>
          <cell r="EF6">
            <v>13050</v>
          </cell>
          <cell r="EG6">
            <v>13960</v>
          </cell>
          <cell r="EH6">
            <v>15230</v>
          </cell>
          <cell r="EI6">
            <v>13190</v>
          </cell>
          <cell r="EJ6">
            <v>14340</v>
          </cell>
          <cell r="EK6">
            <v>8870</v>
          </cell>
          <cell r="EL6">
            <v>10580</v>
          </cell>
          <cell r="EM6">
            <v>12310</v>
          </cell>
          <cell r="EN6">
            <v>11460</v>
          </cell>
          <cell r="EO6">
            <v>12120</v>
          </cell>
          <cell r="EP6">
            <v>16490</v>
          </cell>
          <cell r="EQ6">
            <v>16390</v>
          </cell>
          <cell r="ER6">
            <v>21500</v>
          </cell>
          <cell r="ES6">
            <v>14290</v>
          </cell>
          <cell r="ET6">
            <v>16900</v>
          </cell>
        </row>
        <row r="7">
          <cell r="A7" t="str">
            <v>Public</v>
          </cell>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1147</v>
          </cell>
          <cell r="AZ7">
            <v>9696</v>
          </cell>
          <cell r="BA7">
            <v>12047</v>
          </cell>
          <cell r="BB7">
            <v>2482</v>
          </cell>
          <cell r="BC7">
            <v>2247</v>
          </cell>
          <cell r="BD7">
            <v>3826</v>
          </cell>
          <cell r="BE7">
            <v>8353</v>
          </cell>
          <cell r="BF7">
            <v>16017</v>
          </cell>
          <cell r="BG7">
            <v>15019</v>
          </cell>
          <cell r="BH7">
            <v>8570</v>
          </cell>
          <cell r="BI7">
            <v>7531</v>
          </cell>
          <cell r="BJ7">
            <v>10707</v>
          </cell>
          <cell r="BK7">
            <v>8325</v>
          </cell>
          <cell r="BL7">
            <v>6421</v>
          </cell>
          <cell r="BM7">
            <v>7856</v>
          </cell>
          <cell r="BN7">
            <v>7662</v>
          </cell>
          <cell r="BO7">
            <v>11134</v>
          </cell>
          <cell r="BP7">
            <v>11290</v>
          </cell>
          <cell r="BQ7">
            <v>0</v>
          </cell>
          <cell r="BR7">
            <v>0</v>
          </cell>
          <cell r="BS7">
            <v>0</v>
          </cell>
          <cell r="BT7">
            <v>0</v>
          </cell>
          <cell r="BU7">
            <v>0</v>
          </cell>
          <cell r="BV7">
            <v>0</v>
          </cell>
          <cell r="BW7">
            <v>0</v>
          </cell>
          <cell r="BX7">
            <v>0</v>
          </cell>
          <cell r="BY7">
            <v>641.66248753516186</v>
          </cell>
          <cell r="BZ7">
            <v>9004.3826376372799</v>
          </cell>
          <cell r="CA7">
            <v>23918.456417346417</v>
          </cell>
          <cell r="CB7">
            <v>18289.13191827447</v>
          </cell>
          <cell r="CC7">
            <v>18297.659643019739</v>
          </cell>
          <cell r="CD7">
            <v>16508.319527776162</v>
          </cell>
          <cell r="CE7">
            <v>18207.121676863084</v>
          </cell>
          <cell r="CF7">
            <v>19471.631597632913</v>
          </cell>
          <cell r="CG7">
            <v>17395.630712920858</v>
          </cell>
          <cell r="CH7">
            <v>16302.855881689869</v>
          </cell>
          <cell r="CI7">
            <v>14459.60182140229</v>
          </cell>
          <cell r="CJ7">
            <v>14101.029366844856</v>
          </cell>
          <cell r="CK7">
            <v>13944.348076686956</v>
          </cell>
          <cell r="CL7">
            <v>12868.921383801635</v>
          </cell>
          <cell r="CM7">
            <v>13385.939913677681</v>
          </cell>
          <cell r="CN7">
            <v>13487</v>
          </cell>
          <cell r="CO7">
            <v>14392</v>
          </cell>
          <cell r="CP7">
            <v>14802</v>
          </cell>
          <cell r="CQ7">
            <v>15034</v>
          </cell>
          <cell r="CR7">
            <v>18255</v>
          </cell>
          <cell r="CS7">
            <v>20871</v>
          </cell>
          <cell r="CT7">
            <v>22598</v>
          </cell>
          <cell r="CU7">
            <v>22714</v>
          </cell>
          <cell r="CV7">
            <v>24540</v>
          </cell>
          <cell r="CW7">
            <v>28667</v>
          </cell>
          <cell r="CX7">
            <v>25515</v>
          </cell>
          <cell r="CY7">
            <v>20972</v>
          </cell>
          <cell r="CZ7">
            <v>17000</v>
          </cell>
          <cell r="DA7">
            <v>21650</v>
          </cell>
          <cell r="DB7">
            <v>21678</v>
          </cell>
          <cell r="DC7">
            <v>25515</v>
          </cell>
          <cell r="DD7">
            <v>25182</v>
          </cell>
          <cell r="DE7">
            <v>21147</v>
          </cell>
          <cell r="DF7">
            <v>17410</v>
          </cell>
          <cell r="DG7">
            <v>18651</v>
          </cell>
          <cell r="DH7">
            <v>15385</v>
          </cell>
          <cell r="DI7">
            <v>8866</v>
          </cell>
          <cell r="DJ7">
            <v>6712</v>
          </cell>
          <cell r="DK7">
            <v>5054</v>
          </cell>
          <cell r="DL7">
            <v>3895</v>
          </cell>
          <cell r="DM7">
            <v>3037</v>
          </cell>
          <cell r="DN7">
            <v>2402</v>
          </cell>
          <cell r="DO7">
            <v>2605</v>
          </cell>
          <cell r="DP7">
            <v>2865</v>
          </cell>
          <cell r="DQ7">
            <v>4110</v>
          </cell>
          <cell r="DR7">
            <v>3440</v>
          </cell>
          <cell r="DS7">
            <v>4190</v>
          </cell>
          <cell r="DT7">
            <v>5320</v>
          </cell>
          <cell r="DU7">
            <v>6040</v>
          </cell>
          <cell r="DV7">
            <v>5260</v>
          </cell>
          <cell r="DW7">
            <v>5470</v>
          </cell>
          <cell r="DX7">
            <v>4100</v>
          </cell>
          <cell r="DY7">
            <v>3610</v>
          </cell>
          <cell r="DZ7">
            <v>3170</v>
          </cell>
          <cell r="EA7">
            <v>3700</v>
          </cell>
          <cell r="EB7">
            <v>3780</v>
          </cell>
          <cell r="EC7">
            <v>4350</v>
          </cell>
          <cell r="ED7">
            <v>3410</v>
          </cell>
          <cell r="EE7">
            <v>6490</v>
          </cell>
          <cell r="EF7">
            <v>5200</v>
          </cell>
          <cell r="EG7">
            <v>7110</v>
          </cell>
          <cell r="EH7">
            <v>7970</v>
          </cell>
          <cell r="EI7">
            <v>7900</v>
          </cell>
          <cell r="EJ7">
            <v>7190</v>
          </cell>
          <cell r="EK7">
            <v>6330</v>
          </cell>
          <cell r="EL7">
            <v>6970</v>
          </cell>
          <cell r="EM7">
            <v>9070</v>
          </cell>
          <cell r="EN7">
            <v>5130</v>
          </cell>
          <cell r="EO7">
            <v>6220</v>
          </cell>
          <cell r="EP7">
            <v>7890</v>
          </cell>
          <cell r="EQ7">
            <v>5100</v>
          </cell>
          <cell r="ER7">
            <v>5690</v>
          </cell>
          <cell r="ES7">
            <v>4140</v>
          </cell>
          <cell r="ET7">
            <v>5100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ow r="51">
          <cell r="B51">
            <v>4891.6891999999998</v>
          </cell>
          <cell r="C51">
            <v>6394.5716999999995</v>
          </cell>
          <cell r="D51">
            <v>5023.9917000000005</v>
          </cell>
          <cell r="E51">
            <v>3946.4183000000003</v>
          </cell>
          <cell r="F51">
            <v>4194.8269</v>
          </cell>
          <cell r="G51">
            <v>2824.7701999999999</v>
          </cell>
          <cell r="H51">
            <v>3198.2285999999999</v>
          </cell>
          <cell r="I51">
            <v>6102.3991999999998</v>
          </cell>
          <cell r="J51">
            <v>9104.3042000000005</v>
          </cell>
          <cell r="K51">
            <v>14083.8</v>
          </cell>
          <cell r="L51">
            <v>10117</v>
          </cell>
          <cell r="M51">
            <v>9982</v>
          </cell>
          <cell r="N51">
            <v>8827</v>
          </cell>
          <cell r="O51">
            <v>9377</v>
          </cell>
          <cell r="P51">
            <v>9303</v>
          </cell>
        </row>
      </sheetData>
      <sheetData sheetId="43">
        <row r="51">
          <cell r="B51">
            <v>828</v>
          </cell>
          <cell r="C51">
            <v>7651.6376</v>
          </cell>
          <cell r="D51">
            <v>15186.752799999998</v>
          </cell>
          <cell r="E51">
            <v>12870.8701</v>
          </cell>
          <cell r="F51">
            <v>12841.7395</v>
          </cell>
          <cell r="G51">
            <v>11422</v>
          </cell>
          <cell r="H51">
            <v>13050.752</v>
          </cell>
          <cell r="I51">
            <v>15754.448</v>
          </cell>
          <cell r="J51">
            <v>12719</v>
          </cell>
          <cell r="K51">
            <v>18087</v>
          </cell>
          <cell r="L51">
            <v>12014</v>
          </cell>
          <cell r="M51">
            <v>12660</v>
          </cell>
          <cell r="N51">
            <v>10737</v>
          </cell>
          <cell r="O51">
            <v>10493</v>
          </cell>
          <cell r="P51">
            <v>11053</v>
          </cell>
        </row>
      </sheetData>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5E0BB-5C9E-44ED-85A1-894B785023B2}">
  <dimension ref="A1:EW35"/>
  <sheetViews>
    <sheetView tabSelected="1" zoomScale="70" zoomScaleNormal="70" workbookViewId="0">
      <pane xSplit="1" ySplit="1" topLeftCell="CO2" activePane="bottomRight" state="frozen"/>
      <selection pane="topRight" activeCell="B1" sqref="B1"/>
      <selection pane="bottomLeft" activeCell="A2" sqref="A2"/>
      <selection pane="bottomRight" activeCell="EA44" sqref="EA44"/>
    </sheetView>
  </sheetViews>
  <sheetFormatPr defaultRowHeight="15"/>
  <cols>
    <col min="1" max="1" width="25.28515625" customWidth="1"/>
    <col min="77" max="77" width="12.5703125" bestFit="1" customWidth="1"/>
    <col min="78" max="153" width="13.7109375" bestFit="1" customWidth="1"/>
  </cols>
  <sheetData>
    <row r="1" spans="1:150">
      <c r="A1" s="1" t="s">
        <v>0</v>
      </c>
      <c r="B1" s="2">
        <v>1871</v>
      </c>
      <c r="C1" s="2">
        <v>1872</v>
      </c>
      <c r="D1" s="2">
        <v>1873</v>
      </c>
      <c r="E1" s="2">
        <v>1874</v>
      </c>
      <c r="F1" s="2">
        <v>1875</v>
      </c>
      <c r="G1" s="2">
        <v>1876</v>
      </c>
      <c r="H1" s="2">
        <v>1877</v>
      </c>
      <c r="I1" s="2">
        <v>1878</v>
      </c>
      <c r="J1" s="2">
        <v>1879</v>
      </c>
      <c r="K1" s="2">
        <v>1880</v>
      </c>
      <c r="L1" s="2">
        <v>1881</v>
      </c>
      <c r="M1" s="2">
        <v>1882</v>
      </c>
      <c r="N1" s="2">
        <v>1883</v>
      </c>
      <c r="O1" s="2">
        <v>1884</v>
      </c>
      <c r="P1" s="2">
        <v>1885</v>
      </c>
      <c r="Q1" s="2">
        <v>1886</v>
      </c>
      <c r="R1" s="2">
        <v>1887</v>
      </c>
      <c r="S1" s="2">
        <v>1888</v>
      </c>
      <c r="T1" s="2">
        <v>1889</v>
      </c>
      <c r="U1" s="2">
        <v>1890</v>
      </c>
      <c r="V1" s="2">
        <v>1891</v>
      </c>
      <c r="W1" s="2">
        <v>1892</v>
      </c>
      <c r="X1" s="2">
        <v>1893</v>
      </c>
      <c r="Y1" s="2">
        <v>1894</v>
      </c>
      <c r="Z1" s="2">
        <v>1895</v>
      </c>
      <c r="AA1" s="2">
        <v>1896</v>
      </c>
      <c r="AB1" s="2">
        <v>1897</v>
      </c>
      <c r="AC1" s="2">
        <v>1898</v>
      </c>
      <c r="AD1" s="2">
        <v>1899</v>
      </c>
      <c r="AE1" s="2">
        <v>1900</v>
      </c>
      <c r="AF1" s="2">
        <v>1901</v>
      </c>
      <c r="AG1" s="2">
        <v>1902</v>
      </c>
      <c r="AH1" s="2">
        <v>1903</v>
      </c>
      <c r="AI1" s="2">
        <v>1904</v>
      </c>
      <c r="AJ1" s="2">
        <v>1905</v>
      </c>
      <c r="AK1" s="2">
        <v>1906</v>
      </c>
      <c r="AL1" s="2">
        <v>1907</v>
      </c>
      <c r="AM1" s="2">
        <v>1908</v>
      </c>
      <c r="AN1" s="2">
        <v>1909</v>
      </c>
      <c r="AO1" s="2">
        <v>1910</v>
      </c>
      <c r="AP1" s="2">
        <v>1911</v>
      </c>
      <c r="AQ1" s="2">
        <v>1912</v>
      </c>
      <c r="AR1" s="2">
        <v>1913</v>
      </c>
      <c r="AS1" s="2">
        <v>1914</v>
      </c>
      <c r="AT1" s="2">
        <v>1915</v>
      </c>
      <c r="AU1" s="2">
        <v>1916</v>
      </c>
      <c r="AV1" s="2">
        <v>1917</v>
      </c>
      <c r="AW1" s="2">
        <v>1918</v>
      </c>
      <c r="AX1" s="2">
        <v>1919</v>
      </c>
      <c r="AY1" s="2">
        <v>1920</v>
      </c>
      <c r="AZ1" s="2">
        <v>1921</v>
      </c>
      <c r="BA1" s="2">
        <v>1922</v>
      </c>
      <c r="BB1" s="2">
        <v>1923</v>
      </c>
      <c r="BC1" s="2">
        <v>1924</v>
      </c>
      <c r="BD1" s="2">
        <v>1925</v>
      </c>
      <c r="BE1" s="2">
        <v>1926</v>
      </c>
      <c r="BF1" s="2">
        <v>1927</v>
      </c>
      <c r="BG1" s="2">
        <v>1928</v>
      </c>
      <c r="BH1" s="2">
        <v>1929</v>
      </c>
      <c r="BI1" s="2">
        <v>1930</v>
      </c>
      <c r="BJ1" s="2">
        <v>1931</v>
      </c>
      <c r="BK1" s="2">
        <v>1932</v>
      </c>
      <c r="BL1" s="2">
        <v>1933</v>
      </c>
      <c r="BM1" s="2">
        <v>1934</v>
      </c>
      <c r="BN1" s="2">
        <v>1935</v>
      </c>
      <c r="BO1" s="2">
        <v>1936</v>
      </c>
      <c r="BP1" s="2">
        <v>1937</v>
      </c>
      <c r="BQ1" s="2">
        <v>1938</v>
      </c>
      <c r="BR1" s="2">
        <v>1939</v>
      </c>
      <c r="BS1" s="2">
        <v>1940</v>
      </c>
      <c r="BT1" s="2">
        <v>1941</v>
      </c>
      <c r="BU1" s="2">
        <v>1942</v>
      </c>
      <c r="BV1" s="2">
        <v>1943</v>
      </c>
      <c r="BW1" s="2">
        <v>1944</v>
      </c>
      <c r="BX1" s="2">
        <v>1945</v>
      </c>
      <c r="BY1" s="2">
        <v>1946</v>
      </c>
      <c r="BZ1" s="2">
        <v>1947</v>
      </c>
      <c r="CA1" s="2">
        <v>1948</v>
      </c>
      <c r="CB1" s="2">
        <v>1949</v>
      </c>
      <c r="CC1" s="2">
        <v>1950</v>
      </c>
      <c r="CD1" s="2">
        <v>1951</v>
      </c>
      <c r="CE1" s="2">
        <v>1952</v>
      </c>
      <c r="CF1" s="2">
        <v>1953</v>
      </c>
      <c r="CG1" s="2">
        <v>1954</v>
      </c>
      <c r="CH1" s="2">
        <v>1955</v>
      </c>
      <c r="CI1" s="2">
        <v>1956</v>
      </c>
      <c r="CJ1" s="2">
        <v>1957</v>
      </c>
      <c r="CK1" s="2">
        <v>1958</v>
      </c>
      <c r="CL1" s="2">
        <v>1959</v>
      </c>
      <c r="CM1" s="2">
        <v>1960</v>
      </c>
      <c r="CN1" s="2">
        <v>1961</v>
      </c>
      <c r="CO1" s="2">
        <v>1962</v>
      </c>
      <c r="CP1" s="2">
        <v>1963</v>
      </c>
      <c r="CQ1" s="2">
        <v>1964</v>
      </c>
      <c r="CR1" s="2">
        <v>1965</v>
      </c>
      <c r="CS1" s="2">
        <v>1966</v>
      </c>
      <c r="CT1" s="2">
        <v>1967</v>
      </c>
      <c r="CU1" s="2">
        <v>1968</v>
      </c>
      <c r="CV1" s="2">
        <v>1969</v>
      </c>
      <c r="CW1" s="2">
        <v>1970</v>
      </c>
      <c r="CX1" s="2">
        <v>1971</v>
      </c>
      <c r="CY1" s="2">
        <v>1972</v>
      </c>
      <c r="CZ1" s="2">
        <v>1973</v>
      </c>
      <c r="DA1" s="2">
        <v>1974</v>
      </c>
      <c r="DB1" s="2">
        <v>1975</v>
      </c>
      <c r="DC1" s="2">
        <v>1976</v>
      </c>
      <c r="DD1" s="2">
        <v>1977</v>
      </c>
      <c r="DE1" s="2">
        <v>1978</v>
      </c>
      <c r="DF1" s="2">
        <v>1979</v>
      </c>
      <c r="DG1" s="2">
        <v>1980</v>
      </c>
      <c r="DH1" s="2">
        <v>1981</v>
      </c>
      <c r="DI1" s="2">
        <v>1982</v>
      </c>
      <c r="DJ1" s="2">
        <v>1983</v>
      </c>
      <c r="DK1" s="2">
        <v>1984</v>
      </c>
      <c r="DL1" s="2">
        <v>1985</v>
      </c>
      <c r="DM1" s="2">
        <v>1986</v>
      </c>
      <c r="DN1" s="2">
        <v>1987</v>
      </c>
      <c r="DO1" s="2">
        <v>1988</v>
      </c>
      <c r="DP1" s="2">
        <v>1989</v>
      </c>
      <c r="DQ1" s="2">
        <v>1990</v>
      </c>
      <c r="DR1" s="2">
        <v>1991</v>
      </c>
      <c r="DS1" s="2">
        <v>1992</v>
      </c>
      <c r="DT1" s="2">
        <v>1993</v>
      </c>
      <c r="DU1" s="2">
        <v>1994</v>
      </c>
      <c r="DV1" s="2">
        <v>1995</v>
      </c>
      <c r="DW1" s="2">
        <v>1996</v>
      </c>
      <c r="DX1" s="2">
        <v>1997</v>
      </c>
      <c r="DY1" s="2">
        <v>1998</v>
      </c>
      <c r="DZ1" s="2">
        <v>1999</v>
      </c>
      <c r="EA1" s="2">
        <v>2000</v>
      </c>
      <c r="EB1" s="2">
        <v>2001</v>
      </c>
      <c r="EC1" s="2">
        <v>2002</v>
      </c>
      <c r="ED1" s="2">
        <v>2003</v>
      </c>
      <c r="EE1" s="2">
        <v>2004</v>
      </c>
      <c r="EF1" s="2">
        <v>2005</v>
      </c>
      <c r="EG1" s="2">
        <v>2006</v>
      </c>
      <c r="EH1" s="2">
        <v>2007</v>
      </c>
      <c r="EI1" s="2">
        <v>2008</v>
      </c>
      <c r="EJ1" s="2">
        <v>2009</v>
      </c>
      <c r="EK1" s="2">
        <v>2010</v>
      </c>
      <c r="EL1" s="2">
        <v>2011</v>
      </c>
      <c r="EM1" s="2">
        <v>2012</v>
      </c>
      <c r="EN1" s="2">
        <v>2013</v>
      </c>
      <c r="EO1" s="2">
        <v>2014</v>
      </c>
      <c r="EP1" s="2">
        <v>2015</v>
      </c>
      <c r="EQ1" s="2">
        <v>2016</v>
      </c>
      <c r="ER1" s="2">
        <v>2017</v>
      </c>
      <c r="ES1" s="2">
        <v>2018</v>
      </c>
      <c r="ET1" s="2">
        <v>2019</v>
      </c>
    </row>
    <row r="2" spans="1:150">
      <c r="A2" s="1" t="s">
        <v>1</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v>1147</v>
      </c>
      <c r="AZ2" s="3">
        <v>9696</v>
      </c>
      <c r="BA2" s="3">
        <v>12047</v>
      </c>
      <c r="BB2" s="3">
        <v>2482</v>
      </c>
      <c r="BC2" s="3">
        <v>2247</v>
      </c>
      <c r="BD2" s="3">
        <v>3826</v>
      </c>
      <c r="BE2" s="3">
        <v>8353</v>
      </c>
      <c r="BF2" s="3">
        <v>16017</v>
      </c>
      <c r="BG2" s="3">
        <v>15019</v>
      </c>
      <c r="BH2" s="3">
        <v>8570</v>
      </c>
      <c r="BI2" s="3">
        <v>7531</v>
      </c>
      <c r="BJ2" s="3">
        <v>10707</v>
      </c>
      <c r="BK2" s="3">
        <v>8325</v>
      </c>
      <c r="BL2" s="3">
        <v>6421</v>
      </c>
      <c r="BM2" s="3">
        <v>7856</v>
      </c>
      <c r="BN2" s="3">
        <v>7662</v>
      </c>
      <c r="BO2" s="3">
        <v>11134</v>
      </c>
      <c r="BP2" s="3">
        <v>11290</v>
      </c>
      <c r="BQ2" s="3"/>
      <c r="BR2" s="3"/>
      <c r="BS2" s="3"/>
      <c r="BT2" s="3"/>
      <c r="BU2" s="3"/>
      <c r="BV2" s="3"/>
      <c r="BW2" s="3"/>
      <c r="BX2" s="3"/>
      <c r="BY2" s="3"/>
      <c r="BZ2" s="3"/>
      <c r="CA2" s="3"/>
      <c r="CB2" s="3"/>
      <c r="CC2" s="3"/>
      <c r="CD2" s="3"/>
      <c r="CE2" s="3"/>
      <c r="CF2" s="3"/>
      <c r="CG2" s="3"/>
      <c r="CH2" s="3"/>
      <c r="CI2" s="3"/>
      <c r="CJ2" s="3"/>
      <c r="CK2" s="3"/>
      <c r="CL2" s="3"/>
      <c r="CM2" s="3"/>
      <c r="CN2" s="3">
        <v>13177</v>
      </c>
      <c r="CO2" s="3">
        <v>13895</v>
      </c>
      <c r="CP2" s="3">
        <v>14314</v>
      </c>
      <c r="CQ2" s="3">
        <v>14475</v>
      </c>
      <c r="CR2" s="3">
        <v>17782</v>
      </c>
      <c r="CS2" s="3">
        <v>19859</v>
      </c>
      <c r="CT2" s="3">
        <v>21847</v>
      </c>
      <c r="CU2" s="3">
        <v>21770</v>
      </c>
      <c r="CV2" s="3">
        <v>22448</v>
      </c>
      <c r="CW2" s="3">
        <v>27235</v>
      </c>
      <c r="CX2" s="3">
        <v>23142</v>
      </c>
      <c r="CY2" s="3">
        <v>19033</v>
      </c>
      <c r="CZ2" s="3">
        <v>15686</v>
      </c>
      <c r="DA2" s="3">
        <v>19728</v>
      </c>
      <c r="DB2" s="3">
        <v>18909</v>
      </c>
      <c r="DC2" s="3">
        <v>22675</v>
      </c>
      <c r="DD2" s="3">
        <v>22554</v>
      </c>
      <c r="DE2" s="3">
        <v>19613</v>
      </c>
      <c r="DF2" s="3">
        <v>15372</v>
      </c>
      <c r="DG2" s="3">
        <v>16249</v>
      </c>
      <c r="DH2" s="3">
        <v>13406</v>
      </c>
      <c r="DI2" s="3">
        <v>7254</v>
      </c>
      <c r="DJ2" s="3">
        <v>5149</v>
      </c>
      <c r="DK2" s="3">
        <v>3494</v>
      </c>
      <c r="DL2" s="3">
        <v>2773</v>
      </c>
      <c r="DM2" s="3">
        <v>2337</v>
      </c>
      <c r="DN2" s="3">
        <v>1260</v>
      </c>
      <c r="DO2" s="3">
        <v>1401</v>
      </c>
      <c r="DP2" s="3">
        <v>1344</v>
      </c>
      <c r="DQ2" s="3">
        <v>1970</v>
      </c>
      <c r="DR2" s="3">
        <v>720</v>
      </c>
      <c r="DS2" s="3">
        <v>250</v>
      </c>
      <c r="DT2" s="3">
        <v>100</v>
      </c>
      <c r="DU2" s="3">
        <v>280</v>
      </c>
      <c r="DV2" s="3">
        <v>80</v>
      </c>
      <c r="DW2" s="3">
        <v>20</v>
      </c>
      <c r="DX2" s="3">
        <v>50</v>
      </c>
      <c r="DY2" s="3">
        <v>40</v>
      </c>
      <c r="DZ2" s="3">
        <v>0</v>
      </c>
      <c r="EA2" s="3">
        <v>0</v>
      </c>
      <c r="EB2" s="3">
        <v>110</v>
      </c>
      <c r="EC2" s="3">
        <v>60</v>
      </c>
      <c r="ED2" s="3">
        <v>20</v>
      </c>
      <c r="EE2" s="3">
        <v>10</v>
      </c>
      <c r="EF2" s="3">
        <v>0</v>
      </c>
      <c r="EG2" s="3">
        <v>0</v>
      </c>
      <c r="EH2" s="3">
        <v>30</v>
      </c>
      <c r="EI2" s="3">
        <v>10</v>
      </c>
      <c r="EJ2" s="3">
        <v>10</v>
      </c>
      <c r="EK2" s="3">
        <v>210</v>
      </c>
      <c r="EL2" s="3">
        <v>350</v>
      </c>
      <c r="EM2" s="3">
        <v>570</v>
      </c>
      <c r="EN2" s="3">
        <v>30</v>
      </c>
      <c r="EO2" s="3">
        <v>280</v>
      </c>
      <c r="EP2" s="3">
        <v>130</v>
      </c>
      <c r="EQ2" s="3">
        <v>420</v>
      </c>
      <c r="ER2" s="3">
        <v>760</v>
      </c>
      <c r="ES2" s="3">
        <v>770</v>
      </c>
      <c r="ET2" s="3">
        <v>850</v>
      </c>
    </row>
    <row r="3" spans="1:150">
      <c r="A3" s="1" t="s">
        <v>2</v>
      </c>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v>310</v>
      </c>
      <c r="CO3" s="3">
        <v>497</v>
      </c>
      <c r="CP3" s="3">
        <v>488</v>
      </c>
      <c r="CQ3" s="3">
        <v>559</v>
      </c>
      <c r="CR3" s="3">
        <v>473</v>
      </c>
      <c r="CS3" s="3">
        <v>1012</v>
      </c>
      <c r="CT3" s="3">
        <v>751</v>
      </c>
      <c r="CU3" s="3">
        <v>944</v>
      </c>
      <c r="CV3" s="3">
        <v>2092</v>
      </c>
      <c r="CW3" s="3">
        <v>1432</v>
      </c>
      <c r="CX3" s="3">
        <v>2373</v>
      </c>
      <c r="CY3" s="3">
        <v>1939</v>
      </c>
      <c r="CZ3" s="3">
        <v>1314</v>
      </c>
      <c r="DA3" s="3">
        <v>1922</v>
      </c>
      <c r="DB3" s="3">
        <v>2769</v>
      </c>
      <c r="DC3" s="3">
        <v>2840</v>
      </c>
      <c r="DD3" s="3">
        <v>2628</v>
      </c>
      <c r="DE3" s="3">
        <v>1534</v>
      </c>
      <c r="DF3" s="3">
        <v>2038</v>
      </c>
      <c r="DG3" s="3">
        <v>2402</v>
      </c>
      <c r="DH3" s="3">
        <v>1979</v>
      </c>
      <c r="DI3" s="3">
        <v>1612</v>
      </c>
      <c r="DJ3" s="3">
        <v>1563</v>
      </c>
      <c r="DK3" s="3">
        <v>1560</v>
      </c>
      <c r="DL3" s="3">
        <v>1122</v>
      </c>
      <c r="DM3" s="3">
        <v>700</v>
      </c>
      <c r="DN3" s="3">
        <v>1142</v>
      </c>
      <c r="DO3" s="3">
        <v>1204</v>
      </c>
      <c r="DP3" s="3">
        <v>1521</v>
      </c>
      <c r="DQ3" s="3">
        <v>2140</v>
      </c>
      <c r="DR3" s="3">
        <v>2720</v>
      </c>
      <c r="DS3" s="3">
        <v>3940</v>
      </c>
      <c r="DT3" s="3">
        <v>5220</v>
      </c>
      <c r="DU3" s="3">
        <v>5760</v>
      </c>
      <c r="DV3" s="3">
        <v>5180</v>
      </c>
      <c r="DW3" s="3">
        <v>5450</v>
      </c>
      <c r="DX3" s="3">
        <v>4050</v>
      </c>
      <c r="DY3" s="3">
        <v>3570</v>
      </c>
      <c r="DZ3" s="3">
        <v>3170</v>
      </c>
      <c r="EA3" s="3">
        <v>3700</v>
      </c>
      <c r="EB3" s="3">
        <v>3670</v>
      </c>
      <c r="EC3" s="3">
        <v>4290</v>
      </c>
      <c r="ED3" s="3">
        <v>3390</v>
      </c>
      <c r="EE3" s="3">
        <v>6480</v>
      </c>
      <c r="EF3" s="3">
        <v>5200</v>
      </c>
      <c r="EG3" s="3">
        <v>7110</v>
      </c>
      <c r="EH3" s="3">
        <v>7940</v>
      </c>
      <c r="EI3" s="3">
        <v>7890</v>
      </c>
      <c r="EJ3" s="3">
        <v>7180</v>
      </c>
      <c r="EK3" s="3">
        <v>6120</v>
      </c>
      <c r="EL3" s="3">
        <v>6620</v>
      </c>
      <c r="EM3" s="3">
        <v>8500</v>
      </c>
      <c r="EN3" s="3">
        <v>5100</v>
      </c>
      <c r="EO3" s="3">
        <v>5940</v>
      </c>
      <c r="EP3" s="3">
        <v>7760</v>
      </c>
      <c r="EQ3" s="3">
        <v>4680</v>
      </c>
      <c r="ER3" s="3">
        <v>4930</v>
      </c>
      <c r="ES3" s="3">
        <v>3370</v>
      </c>
      <c r="ET3" s="3">
        <v>4250</v>
      </c>
    </row>
    <row r="4" spans="1:150">
      <c r="A4" s="1" t="s">
        <v>3</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v>1495</v>
      </c>
      <c r="AZ4" s="3">
        <v>3231</v>
      </c>
      <c r="BA4" s="3">
        <v>4860</v>
      </c>
      <c r="BB4" s="3">
        <v>7786</v>
      </c>
      <c r="BC4" s="3">
        <v>15194</v>
      </c>
      <c r="BD4" s="3">
        <v>19655</v>
      </c>
      <c r="BE4" s="3">
        <v>25176</v>
      </c>
      <c r="BF4" s="3">
        <v>25791</v>
      </c>
      <c r="BG4" s="3">
        <v>27362</v>
      </c>
      <c r="BH4" s="3">
        <v>34118</v>
      </c>
      <c r="BI4" s="3">
        <v>42652</v>
      </c>
      <c r="BJ4" s="3">
        <v>44805</v>
      </c>
      <c r="BK4" s="3">
        <v>36288</v>
      </c>
      <c r="BL4" s="3">
        <v>47988</v>
      </c>
      <c r="BM4" s="3">
        <v>72756</v>
      </c>
      <c r="BN4" s="3">
        <v>68015</v>
      </c>
      <c r="BO4" s="3">
        <v>67704</v>
      </c>
      <c r="BP4" s="3">
        <v>57805</v>
      </c>
      <c r="BQ4" s="3"/>
      <c r="BR4" s="3"/>
      <c r="BS4" s="3"/>
      <c r="BT4" s="3"/>
      <c r="BU4" s="3"/>
      <c r="BV4" s="3"/>
      <c r="BW4" s="3"/>
      <c r="BX4" s="3"/>
      <c r="BY4" s="3"/>
      <c r="BZ4" s="3"/>
      <c r="CA4" s="3"/>
      <c r="CB4" s="3"/>
      <c r="CC4" s="3"/>
      <c r="CD4" s="3"/>
      <c r="CE4" s="3"/>
      <c r="CF4" s="3"/>
      <c r="CG4" s="3"/>
      <c r="CH4" s="3"/>
      <c r="CI4" s="3"/>
      <c r="CJ4" s="3"/>
      <c r="CK4" s="3"/>
      <c r="CL4" s="3"/>
      <c r="CM4" s="3"/>
      <c r="CN4" s="3">
        <v>9557</v>
      </c>
      <c r="CO4" s="3">
        <v>9133</v>
      </c>
      <c r="CP4" s="3">
        <v>9564</v>
      </c>
      <c r="CQ4" s="3">
        <v>11482</v>
      </c>
      <c r="CR4" s="3">
        <v>10802</v>
      </c>
      <c r="CS4" s="3">
        <v>10770</v>
      </c>
      <c r="CT4" s="3">
        <v>9943</v>
      </c>
      <c r="CU4" s="3">
        <v>10273</v>
      </c>
      <c r="CV4" s="3">
        <v>8198</v>
      </c>
      <c r="CW4" s="3">
        <v>8769</v>
      </c>
      <c r="CX4" s="3">
        <v>8342</v>
      </c>
      <c r="CY4" s="3">
        <v>7452</v>
      </c>
      <c r="CZ4" s="3">
        <v>7718</v>
      </c>
      <c r="DA4" s="3">
        <v>6991</v>
      </c>
      <c r="DB4" s="3">
        <v>8513</v>
      </c>
      <c r="DC4" s="3">
        <v>6063</v>
      </c>
      <c r="DD4" s="3">
        <v>6590</v>
      </c>
      <c r="DE4" s="3">
        <v>5291</v>
      </c>
      <c r="DF4" s="3">
        <v>3773</v>
      </c>
      <c r="DG4" s="3">
        <v>4426</v>
      </c>
      <c r="DH4" s="3">
        <v>4021</v>
      </c>
      <c r="DI4" s="3">
        <v>5807</v>
      </c>
      <c r="DJ4" s="3">
        <v>7289</v>
      </c>
      <c r="DK4" s="3">
        <v>7185</v>
      </c>
      <c r="DL4" s="3">
        <v>6457</v>
      </c>
      <c r="DM4" s="3">
        <v>8488</v>
      </c>
      <c r="DN4" s="3">
        <v>10787</v>
      </c>
      <c r="DO4" s="3">
        <v>12039</v>
      </c>
      <c r="DP4" s="3">
        <v>12469</v>
      </c>
      <c r="DQ4" s="3">
        <v>13790</v>
      </c>
      <c r="DR4" s="3">
        <v>12840</v>
      </c>
      <c r="DS4" s="3">
        <v>11370</v>
      </c>
      <c r="DT4" s="3">
        <v>8870</v>
      </c>
      <c r="DU4" s="3">
        <v>9220</v>
      </c>
      <c r="DV4" s="3">
        <v>11110</v>
      </c>
      <c r="DW4" s="3">
        <v>8310</v>
      </c>
      <c r="DX4" s="3">
        <v>9050</v>
      </c>
      <c r="DY4" s="3">
        <v>10560</v>
      </c>
      <c r="DZ4" s="3">
        <v>10720</v>
      </c>
      <c r="EA4" s="3">
        <v>9830</v>
      </c>
      <c r="EB4" s="3">
        <v>10970</v>
      </c>
      <c r="EC4" s="3">
        <v>11300</v>
      </c>
      <c r="ED4" s="3">
        <v>14960</v>
      </c>
      <c r="EE4" s="3">
        <v>17700</v>
      </c>
      <c r="EF4" s="3">
        <v>13050</v>
      </c>
      <c r="EG4" s="3">
        <v>13960</v>
      </c>
      <c r="EH4" s="3">
        <v>15230</v>
      </c>
      <c r="EI4" s="3">
        <v>13190</v>
      </c>
      <c r="EJ4" s="3">
        <v>14340</v>
      </c>
      <c r="EK4" s="3">
        <v>8870</v>
      </c>
      <c r="EL4" s="3">
        <v>10580</v>
      </c>
      <c r="EM4" s="3">
        <v>12310</v>
      </c>
      <c r="EN4" s="3">
        <v>11460</v>
      </c>
      <c r="EO4" s="3">
        <v>12120</v>
      </c>
      <c r="EP4" s="3">
        <v>16490</v>
      </c>
      <c r="EQ4" s="3">
        <v>16390</v>
      </c>
      <c r="ER4" s="3">
        <v>21500</v>
      </c>
      <c r="ES4" s="3">
        <v>14290</v>
      </c>
      <c r="ET4" s="3">
        <v>16900</v>
      </c>
    </row>
    <row r="5" spans="1:150">
      <c r="A5" s="1" t="s">
        <v>4</v>
      </c>
      <c r="B5" s="3">
        <v>8693</v>
      </c>
      <c r="C5" s="3">
        <v>11179</v>
      </c>
      <c r="D5" s="3">
        <v>7687</v>
      </c>
      <c r="E5" s="3">
        <v>7764</v>
      </c>
      <c r="F5" s="3">
        <v>10023</v>
      </c>
      <c r="G5" s="3">
        <v>12938</v>
      </c>
      <c r="H5" s="3">
        <v>14410</v>
      </c>
      <c r="I5" s="3">
        <v>17127</v>
      </c>
      <c r="J5" s="3">
        <v>21589</v>
      </c>
      <c r="K5" s="3">
        <v>24945</v>
      </c>
      <c r="L5" s="3">
        <v>26170</v>
      </c>
      <c r="M5" s="3">
        <v>23301</v>
      </c>
      <c r="N5" s="3">
        <v>21110</v>
      </c>
      <c r="O5" s="3">
        <v>18428</v>
      </c>
      <c r="P5" s="3">
        <v>15754</v>
      </c>
      <c r="Q5" s="3">
        <v>12252</v>
      </c>
      <c r="R5" s="3">
        <v>12478</v>
      </c>
      <c r="S5" s="3">
        <v>12426</v>
      </c>
      <c r="T5" s="3">
        <v>11829</v>
      </c>
      <c r="U5" s="3">
        <v>10935</v>
      </c>
      <c r="V5" s="3">
        <v>12105</v>
      </c>
      <c r="W5" s="3">
        <v>11200</v>
      </c>
      <c r="X5" s="3">
        <v>12830</v>
      </c>
      <c r="Y5" s="3">
        <v>12874</v>
      </c>
      <c r="Z5" s="3">
        <v>13141</v>
      </c>
      <c r="AA5" s="3">
        <v>16894</v>
      </c>
      <c r="AB5" s="3">
        <v>18529</v>
      </c>
      <c r="AC5" s="3">
        <v>24838</v>
      </c>
      <c r="AD5" s="3">
        <v>27381</v>
      </c>
      <c r="AE5" s="3">
        <v>25161</v>
      </c>
      <c r="AF5" s="3">
        <v>27174</v>
      </c>
      <c r="AG5" s="3">
        <v>25480</v>
      </c>
      <c r="AH5" s="3">
        <v>26420</v>
      </c>
      <c r="AI5" s="3">
        <v>23269</v>
      </c>
      <c r="AJ5" s="3">
        <v>21970</v>
      </c>
      <c r="AK5" s="3">
        <v>21415</v>
      </c>
      <c r="AL5" s="3">
        <v>19211</v>
      </c>
      <c r="AM5" s="3">
        <v>13377</v>
      </c>
      <c r="AN5" s="3">
        <v>13343</v>
      </c>
      <c r="AO5" s="3">
        <v>11757</v>
      </c>
      <c r="AP5" s="3">
        <v>10027</v>
      </c>
      <c r="AQ5" s="3">
        <v>8006</v>
      </c>
      <c r="AR5" s="3">
        <v>8579</v>
      </c>
      <c r="AS5" s="3">
        <v>8299</v>
      </c>
      <c r="AT5" s="3">
        <v>5549</v>
      </c>
      <c r="AU5" s="3">
        <v>3642</v>
      </c>
      <c r="AV5" s="3">
        <v>0</v>
      </c>
      <c r="AW5" s="3">
        <v>0</v>
      </c>
      <c r="AX5" s="3">
        <v>0</v>
      </c>
      <c r="AY5" s="3"/>
      <c r="AZ5" s="3"/>
      <c r="BA5" s="3"/>
      <c r="BB5" s="3"/>
      <c r="BC5" s="3"/>
      <c r="BD5" s="3"/>
      <c r="BE5" s="3"/>
      <c r="BF5" s="3"/>
      <c r="BG5" s="3"/>
      <c r="BH5" s="3"/>
      <c r="BI5" s="3"/>
      <c r="BJ5" s="3"/>
      <c r="BK5" s="3"/>
      <c r="BL5" s="3"/>
      <c r="BM5" s="3"/>
      <c r="BN5" s="3"/>
      <c r="BO5" s="3"/>
      <c r="BP5" s="3"/>
      <c r="BQ5" s="3">
        <v>66472</v>
      </c>
      <c r="BR5" s="3">
        <v>39192.400000000001</v>
      </c>
      <c r="BS5" s="3">
        <v>8499.6</v>
      </c>
      <c r="BT5" s="3">
        <v>1702.8000000000002</v>
      </c>
      <c r="BU5" s="3">
        <v>774.40000000000009</v>
      </c>
      <c r="BV5" s="3">
        <v>723.6</v>
      </c>
      <c r="BW5" s="3">
        <v>856.80000000000007</v>
      </c>
      <c r="BX5" s="3">
        <v>289</v>
      </c>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row>
    <row r="6" spans="1:150">
      <c r="A6" s="1" t="s">
        <v>5</v>
      </c>
      <c r="B6" s="4">
        <f>B4</f>
        <v>0</v>
      </c>
      <c r="C6" s="4">
        <f t="shared" ref="C6:BN6" si="0">C4</f>
        <v>0</v>
      </c>
      <c r="D6" s="4">
        <f t="shared" si="0"/>
        <v>0</v>
      </c>
      <c r="E6" s="4">
        <f t="shared" si="0"/>
        <v>0</v>
      </c>
      <c r="F6" s="4">
        <f t="shared" si="0"/>
        <v>0</v>
      </c>
      <c r="G6" s="4">
        <f t="shared" si="0"/>
        <v>0</v>
      </c>
      <c r="H6" s="4">
        <f t="shared" si="0"/>
        <v>0</v>
      </c>
      <c r="I6" s="4">
        <f t="shared" si="0"/>
        <v>0</v>
      </c>
      <c r="J6" s="4">
        <f t="shared" si="0"/>
        <v>0</v>
      </c>
      <c r="K6" s="4">
        <f t="shared" si="0"/>
        <v>0</v>
      </c>
      <c r="L6" s="4">
        <f t="shared" si="0"/>
        <v>0</v>
      </c>
      <c r="M6" s="4">
        <f t="shared" si="0"/>
        <v>0</v>
      </c>
      <c r="N6" s="4">
        <f t="shared" si="0"/>
        <v>0</v>
      </c>
      <c r="O6" s="4">
        <f t="shared" si="0"/>
        <v>0</v>
      </c>
      <c r="P6" s="4">
        <f t="shared" si="0"/>
        <v>0</v>
      </c>
      <c r="Q6" s="4">
        <f t="shared" si="0"/>
        <v>0</v>
      </c>
      <c r="R6" s="4">
        <f t="shared" si="0"/>
        <v>0</v>
      </c>
      <c r="S6" s="4">
        <f t="shared" si="0"/>
        <v>0</v>
      </c>
      <c r="T6" s="4">
        <f t="shared" si="0"/>
        <v>0</v>
      </c>
      <c r="U6" s="4">
        <f t="shared" si="0"/>
        <v>0</v>
      </c>
      <c r="V6" s="4">
        <f t="shared" si="0"/>
        <v>0</v>
      </c>
      <c r="W6" s="4">
        <f t="shared" si="0"/>
        <v>0</v>
      </c>
      <c r="X6" s="4">
        <f t="shared" si="0"/>
        <v>0</v>
      </c>
      <c r="Y6" s="4">
        <f t="shared" si="0"/>
        <v>0</v>
      </c>
      <c r="Z6" s="4">
        <f t="shared" si="0"/>
        <v>0</v>
      </c>
      <c r="AA6" s="4">
        <f t="shared" si="0"/>
        <v>0</v>
      </c>
      <c r="AB6" s="4">
        <f t="shared" si="0"/>
        <v>0</v>
      </c>
      <c r="AC6" s="4">
        <f t="shared" si="0"/>
        <v>0</v>
      </c>
      <c r="AD6" s="4">
        <f t="shared" si="0"/>
        <v>0</v>
      </c>
      <c r="AE6" s="4">
        <f t="shared" si="0"/>
        <v>0</v>
      </c>
      <c r="AF6" s="4">
        <f t="shared" si="0"/>
        <v>0</v>
      </c>
      <c r="AG6" s="4">
        <f t="shared" si="0"/>
        <v>0</v>
      </c>
      <c r="AH6" s="4">
        <f t="shared" si="0"/>
        <v>0</v>
      </c>
      <c r="AI6" s="4">
        <f t="shared" si="0"/>
        <v>0</v>
      </c>
      <c r="AJ6" s="4">
        <f t="shared" si="0"/>
        <v>0</v>
      </c>
      <c r="AK6" s="4">
        <f t="shared" si="0"/>
        <v>0</v>
      </c>
      <c r="AL6" s="4">
        <f t="shared" si="0"/>
        <v>0</v>
      </c>
      <c r="AM6" s="4">
        <f t="shared" si="0"/>
        <v>0</v>
      </c>
      <c r="AN6" s="4">
        <f t="shared" si="0"/>
        <v>0</v>
      </c>
      <c r="AO6" s="4">
        <f t="shared" si="0"/>
        <v>0</v>
      </c>
      <c r="AP6" s="4">
        <f t="shared" si="0"/>
        <v>0</v>
      </c>
      <c r="AQ6" s="4">
        <f t="shared" si="0"/>
        <v>0</v>
      </c>
      <c r="AR6" s="4">
        <f t="shared" si="0"/>
        <v>0</v>
      </c>
      <c r="AS6" s="4">
        <f t="shared" si="0"/>
        <v>0</v>
      </c>
      <c r="AT6" s="4">
        <f t="shared" si="0"/>
        <v>0</v>
      </c>
      <c r="AU6" s="4">
        <f t="shared" si="0"/>
        <v>0</v>
      </c>
      <c r="AV6" s="4">
        <f t="shared" si="0"/>
        <v>0</v>
      </c>
      <c r="AW6" s="4">
        <f t="shared" si="0"/>
        <v>0</v>
      </c>
      <c r="AX6" s="4">
        <f t="shared" si="0"/>
        <v>0</v>
      </c>
      <c r="AY6" s="4">
        <f t="shared" si="0"/>
        <v>1495</v>
      </c>
      <c r="AZ6" s="4">
        <f t="shared" si="0"/>
        <v>3231</v>
      </c>
      <c r="BA6" s="4">
        <f t="shared" si="0"/>
        <v>4860</v>
      </c>
      <c r="BB6" s="4">
        <f t="shared" si="0"/>
        <v>7786</v>
      </c>
      <c r="BC6" s="4">
        <f t="shared" si="0"/>
        <v>15194</v>
      </c>
      <c r="BD6" s="4">
        <f t="shared" si="0"/>
        <v>19655</v>
      </c>
      <c r="BE6" s="4">
        <f t="shared" si="0"/>
        <v>25176</v>
      </c>
      <c r="BF6" s="4">
        <f t="shared" si="0"/>
        <v>25791</v>
      </c>
      <c r="BG6" s="4">
        <f t="shared" si="0"/>
        <v>27362</v>
      </c>
      <c r="BH6" s="4">
        <f t="shared" si="0"/>
        <v>34118</v>
      </c>
      <c r="BI6" s="4">
        <f t="shared" si="0"/>
        <v>42652</v>
      </c>
      <c r="BJ6" s="4">
        <f t="shared" si="0"/>
        <v>44805</v>
      </c>
      <c r="BK6" s="4">
        <f t="shared" si="0"/>
        <v>36288</v>
      </c>
      <c r="BL6" s="4">
        <f t="shared" si="0"/>
        <v>47988</v>
      </c>
      <c r="BM6" s="4">
        <f t="shared" si="0"/>
        <v>72756</v>
      </c>
      <c r="BN6" s="4">
        <f t="shared" si="0"/>
        <v>68015</v>
      </c>
      <c r="BO6" s="4">
        <f t="shared" ref="BO6:DZ6" si="1">BO4</f>
        <v>67704</v>
      </c>
      <c r="BP6" s="4">
        <f t="shared" si="1"/>
        <v>57805</v>
      </c>
      <c r="BQ6" s="4">
        <f t="shared" si="1"/>
        <v>0</v>
      </c>
      <c r="BR6" s="4">
        <f t="shared" si="1"/>
        <v>0</v>
      </c>
      <c r="BS6" s="4">
        <f t="shared" si="1"/>
        <v>0</v>
      </c>
      <c r="BT6" s="4">
        <f t="shared" si="1"/>
        <v>0</v>
      </c>
      <c r="BU6" s="4">
        <f t="shared" si="1"/>
        <v>0</v>
      </c>
      <c r="BV6" s="4">
        <f t="shared" si="1"/>
        <v>0</v>
      </c>
      <c r="BW6" s="4">
        <f t="shared" si="1"/>
        <v>0</v>
      </c>
      <c r="BX6" s="4">
        <f t="shared" si="1"/>
        <v>0</v>
      </c>
      <c r="BY6">
        <f>BY$15*BY12</f>
        <v>3790.8375124648378</v>
      </c>
      <c r="BZ6">
        <f t="shared" ref="BZ6:CM7" si="2">BZ$15*BZ12</f>
        <v>7525.078081403999</v>
      </c>
      <c r="CA6">
        <f t="shared" si="2"/>
        <v>7912.5622244644801</v>
      </c>
      <c r="CB6">
        <f t="shared" si="2"/>
        <v>5607.7455783966361</v>
      </c>
      <c r="CC6">
        <f t="shared" si="2"/>
        <v>5977.0340986580213</v>
      </c>
      <c r="CD6">
        <f t="shared" si="2"/>
        <v>4082.6658250866894</v>
      </c>
      <c r="CE6">
        <f t="shared" si="2"/>
        <v>4461.8530235363814</v>
      </c>
      <c r="CF6">
        <f t="shared" si="2"/>
        <v>7542.2299203431185</v>
      </c>
      <c r="CG6">
        <f t="shared" si="2"/>
        <v>12451.852642605108</v>
      </c>
      <c r="CH6">
        <f t="shared" si="2"/>
        <v>12694.540922571116</v>
      </c>
      <c r="CI6">
        <f t="shared" si="2"/>
        <v>12176.443451567086</v>
      </c>
      <c r="CJ6">
        <f t="shared" si="2"/>
        <v>11118.204987349553</v>
      </c>
      <c r="CK6">
        <f t="shared" si="2"/>
        <v>11463.79440001078</v>
      </c>
      <c r="CL6">
        <f t="shared" si="2"/>
        <v>11500.226419127792</v>
      </c>
      <c r="CM6">
        <f t="shared" si="2"/>
        <v>11266.570073006738</v>
      </c>
      <c r="CN6" s="4">
        <f t="shared" si="1"/>
        <v>9557</v>
      </c>
      <c r="CO6" s="4">
        <f t="shared" si="1"/>
        <v>9133</v>
      </c>
      <c r="CP6" s="4">
        <f t="shared" si="1"/>
        <v>9564</v>
      </c>
      <c r="CQ6" s="4">
        <f t="shared" si="1"/>
        <v>11482</v>
      </c>
      <c r="CR6" s="4">
        <f t="shared" si="1"/>
        <v>10802</v>
      </c>
      <c r="CS6" s="4">
        <f t="shared" si="1"/>
        <v>10770</v>
      </c>
      <c r="CT6" s="4">
        <f t="shared" si="1"/>
        <v>9943</v>
      </c>
      <c r="CU6" s="4">
        <f t="shared" si="1"/>
        <v>10273</v>
      </c>
      <c r="CV6" s="4">
        <f t="shared" si="1"/>
        <v>8198</v>
      </c>
      <c r="CW6" s="4">
        <f t="shared" si="1"/>
        <v>8769</v>
      </c>
      <c r="CX6" s="4">
        <f t="shared" si="1"/>
        <v>8342</v>
      </c>
      <c r="CY6" s="4">
        <f t="shared" si="1"/>
        <v>7452</v>
      </c>
      <c r="CZ6" s="4">
        <f t="shared" si="1"/>
        <v>7718</v>
      </c>
      <c r="DA6" s="4">
        <f t="shared" si="1"/>
        <v>6991</v>
      </c>
      <c r="DB6" s="4">
        <f t="shared" si="1"/>
        <v>8513</v>
      </c>
      <c r="DC6" s="4">
        <f t="shared" si="1"/>
        <v>6063</v>
      </c>
      <c r="DD6" s="4">
        <f t="shared" si="1"/>
        <v>6590</v>
      </c>
      <c r="DE6" s="4">
        <f t="shared" si="1"/>
        <v>5291</v>
      </c>
      <c r="DF6" s="4">
        <f t="shared" si="1"/>
        <v>3773</v>
      </c>
      <c r="DG6" s="4">
        <f t="shared" si="1"/>
        <v>4426</v>
      </c>
      <c r="DH6" s="4">
        <f t="shared" si="1"/>
        <v>4021</v>
      </c>
      <c r="DI6" s="4">
        <f t="shared" si="1"/>
        <v>5807</v>
      </c>
      <c r="DJ6" s="4">
        <f t="shared" si="1"/>
        <v>7289</v>
      </c>
      <c r="DK6" s="4">
        <f t="shared" si="1"/>
        <v>7185</v>
      </c>
      <c r="DL6" s="4">
        <f t="shared" si="1"/>
        <v>6457</v>
      </c>
      <c r="DM6" s="4">
        <f t="shared" si="1"/>
        <v>8488</v>
      </c>
      <c r="DN6" s="4">
        <f t="shared" si="1"/>
        <v>10787</v>
      </c>
      <c r="DO6" s="4">
        <f t="shared" si="1"/>
        <v>12039</v>
      </c>
      <c r="DP6" s="4">
        <f t="shared" si="1"/>
        <v>12469</v>
      </c>
      <c r="DQ6" s="4">
        <f t="shared" si="1"/>
        <v>13790</v>
      </c>
      <c r="DR6" s="4">
        <f t="shared" si="1"/>
        <v>12840</v>
      </c>
      <c r="DS6" s="4">
        <f t="shared" si="1"/>
        <v>11370</v>
      </c>
      <c r="DT6" s="4">
        <f t="shared" si="1"/>
        <v>8870</v>
      </c>
      <c r="DU6" s="4">
        <f t="shared" si="1"/>
        <v>9220</v>
      </c>
      <c r="DV6" s="4">
        <f t="shared" si="1"/>
        <v>11110</v>
      </c>
      <c r="DW6" s="4">
        <f t="shared" si="1"/>
        <v>8310</v>
      </c>
      <c r="DX6" s="4">
        <f t="shared" si="1"/>
        <v>9050</v>
      </c>
      <c r="DY6" s="4">
        <f t="shared" si="1"/>
        <v>10560</v>
      </c>
      <c r="DZ6" s="4">
        <f t="shared" si="1"/>
        <v>10720</v>
      </c>
      <c r="EA6" s="4">
        <f t="shared" ref="EA6:ET6" si="3">EA4</f>
        <v>9830</v>
      </c>
      <c r="EB6" s="4">
        <f t="shared" si="3"/>
        <v>10970</v>
      </c>
      <c r="EC6" s="4">
        <f t="shared" si="3"/>
        <v>11300</v>
      </c>
      <c r="ED6" s="4">
        <f t="shared" si="3"/>
        <v>14960</v>
      </c>
      <c r="EE6" s="4">
        <f t="shared" si="3"/>
        <v>17700</v>
      </c>
      <c r="EF6" s="4">
        <f t="shared" si="3"/>
        <v>13050</v>
      </c>
      <c r="EG6" s="4">
        <f t="shared" si="3"/>
        <v>13960</v>
      </c>
      <c r="EH6" s="4">
        <f t="shared" si="3"/>
        <v>15230</v>
      </c>
      <c r="EI6" s="4">
        <f t="shared" si="3"/>
        <v>13190</v>
      </c>
      <c r="EJ6" s="4">
        <f t="shared" si="3"/>
        <v>14340</v>
      </c>
      <c r="EK6" s="4">
        <f t="shared" si="3"/>
        <v>8870</v>
      </c>
      <c r="EL6" s="4">
        <f t="shared" si="3"/>
        <v>10580</v>
      </c>
      <c r="EM6" s="4">
        <f t="shared" si="3"/>
        <v>12310</v>
      </c>
      <c r="EN6" s="4">
        <f t="shared" si="3"/>
        <v>11460</v>
      </c>
      <c r="EO6" s="4">
        <f t="shared" si="3"/>
        <v>12120</v>
      </c>
      <c r="EP6" s="4">
        <f t="shared" si="3"/>
        <v>16490</v>
      </c>
      <c r="EQ6" s="4">
        <f t="shared" si="3"/>
        <v>16390</v>
      </c>
      <c r="ER6" s="4">
        <f t="shared" si="3"/>
        <v>21500</v>
      </c>
      <c r="ES6" s="4">
        <f t="shared" si="3"/>
        <v>14290</v>
      </c>
      <c r="ET6" s="4">
        <f t="shared" si="3"/>
        <v>16900</v>
      </c>
    </row>
    <row r="7" spans="1:150">
      <c r="A7" s="1" t="s">
        <v>6</v>
      </c>
      <c r="B7" s="4">
        <f>B2+B3</f>
        <v>0</v>
      </c>
      <c r="C7" s="4">
        <f t="shared" ref="C7:BN7" si="4">C2+C3</f>
        <v>0</v>
      </c>
      <c r="D7" s="4">
        <f t="shared" si="4"/>
        <v>0</v>
      </c>
      <c r="E7" s="4">
        <f t="shared" si="4"/>
        <v>0</v>
      </c>
      <c r="F7" s="4">
        <f t="shared" si="4"/>
        <v>0</v>
      </c>
      <c r="G7" s="4">
        <f t="shared" si="4"/>
        <v>0</v>
      </c>
      <c r="H7" s="4">
        <f t="shared" si="4"/>
        <v>0</v>
      </c>
      <c r="I7" s="4">
        <f t="shared" si="4"/>
        <v>0</v>
      </c>
      <c r="J7" s="4">
        <f t="shared" si="4"/>
        <v>0</v>
      </c>
      <c r="K7" s="4">
        <f t="shared" si="4"/>
        <v>0</v>
      </c>
      <c r="L7" s="4">
        <f t="shared" si="4"/>
        <v>0</v>
      </c>
      <c r="M7" s="4">
        <f t="shared" si="4"/>
        <v>0</v>
      </c>
      <c r="N7" s="4">
        <f t="shared" si="4"/>
        <v>0</v>
      </c>
      <c r="O7" s="4">
        <f t="shared" si="4"/>
        <v>0</v>
      </c>
      <c r="P7" s="4">
        <f t="shared" si="4"/>
        <v>0</v>
      </c>
      <c r="Q7" s="4">
        <f t="shared" si="4"/>
        <v>0</v>
      </c>
      <c r="R7" s="4">
        <f t="shared" si="4"/>
        <v>0</v>
      </c>
      <c r="S7" s="4">
        <f t="shared" si="4"/>
        <v>0</v>
      </c>
      <c r="T7" s="4">
        <f t="shared" si="4"/>
        <v>0</v>
      </c>
      <c r="U7" s="4">
        <f t="shared" si="4"/>
        <v>0</v>
      </c>
      <c r="V7" s="4">
        <f t="shared" si="4"/>
        <v>0</v>
      </c>
      <c r="W7" s="4">
        <f t="shared" si="4"/>
        <v>0</v>
      </c>
      <c r="X7" s="4">
        <f t="shared" si="4"/>
        <v>0</v>
      </c>
      <c r="Y7" s="4">
        <f t="shared" si="4"/>
        <v>0</v>
      </c>
      <c r="Z7" s="4">
        <f t="shared" si="4"/>
        <v>0</v>
      </c>
      <c r="AA7" s="4">
        <f t="shared" si="4"/>
        <v>0</v>
      </c>
      <c r="AB7" s="4">
        <f t="shared" si="4"/>
        <v>0</v>
      </c>
      <c r="AC7" s="4">
        <f t="shared" si="4"/>
        <v>0</v>
      </c>
      <c r="AD7" s="4">
        <f t="shared" si="4"/>
        <v>0</v>
      </c>
      <c r="AE7" s="4">
        <f t="shared" si="4"/>
        <v>0</v>
      </c>
      <c r="AF7" s="4">
        <f t="shared" si="4"/>
        <v>0</v>
      </c>
      <c r="AG7" s="4">
        <f t="shared" si="4"/>
        <v>0</v>
      </c>
      <c r="AH7" s="4">
        <f t="shared" si="4"/>
        <v>0</v>
      </c>
      <c r="AI7" s="4">
        <f t="shared" si="4"/>
        <v>0</v>
      </c>
      <c r="AJ7" s="4">
        <f t="shared" si="4"/>
        <v>0</v>
      </c>
      <c r="AK7" s="4">
        <f t="shared" si="4"/>
        <v>0</v>
      </c>
      <c r="AL7" s="4">
        <f t="shared" si="4"/>
        <v>0</v>
      </c>
      <c r="AM7" s="4">
        <f t="shared" si="4"/>
        <v>0</v>
      </c>
      <c r="AN7" s="4">
        <f t="shared" si="4"/>
        <v>0</v>
      </c>
      <c r="AO7" s="4">
        <f t="shared" si="4"/>
        <v>0</v>
      </c>
      <c r="AP7" s="4">
        <f t="shared" si="4"/>
        <v>0</v>
      </c>
      <c r="AQ7" s="4">
        <f t="shared" si="4"/>
        <v>0</v>
      </c>
      <c r="AR7" s="4">
        <f t="shared" si="4"/>
        <v>0</v>
      </c>
      <c r="AS7" s="4">
        <f t="shared" si="4"/>
        <v>0</v>
      </c>
      <c r="AT7" s="4">
        <f t="shared" si="4"/>
        <v>0</v>
      </c>
      <c r="AU7" s="4">
        <f t="shared" si="4"/>
        <v>0</v>
      </c>
      <c r="AV7" s="4">
        <f t="shared" si="4"/>
        <v>0</v>
      </c>
      <c r="AW7" s="4">
        <f t="shared" si="4"/>
        <v>0</v>
      </c>
      <c r="AX7" s="4">
        <f t="shared" si="4"/>
        <v>0</v>
      </c>
      <c r="AY7" s="4">
        <f t="shared" si="4"/>
        <v>1147</v>
      </c>
      <c r="AZ7" s="4">
        <f t="shared" si="4"/>
        <v>9696</v>
      </c>
      <c r="BA7" s="4">
        <f t="shared" si="4"/>
        <v>12047</v>
      </c>
      <c r="BB7" s="4">
        <f t="shared" si="4"/>
        <v>2482</v>
      </c>
      <c r="BC7" s="4">
        <f t="shared" si="4"/>
        <v>2247</v>
      </c>
      <c r="BD7" s="4">
        <f t="shared" si="4"/>
        <v>3826</v>
      </c>
      <c r="BE7" s="4">
        <f t="shared" si="4"/>
        <v>8353</v>
      </c>
      <c r="BF7" s="4">
        <f t="shared" si="4"/>
        <v>16017</v>
      </c>
      <c r="BG7" s="4">
        <f t="shared" si="4"/>
        <v>15019</v>
      </c>
      <c r="BH7" s="4">
        <f t="shared" si="4"/>
        <v>8570</v>
      </c>
      <c r="BI7" s="4">
        <f t="shared" si="4"/>
        <v>7531</v>
      </c>
      <c r="BJ7" s="4">
        <f t="shared" si="4"/>
        <v>10707</v>
      </c>
      <c r="BK7" s="4">
        <f t="shared" si="4"/>
        <v>8325</v>
      </c>
      <c r="BL7" s="4">
        <f t="shared" si="4"/>
        <v>6421</v>
      </c>
      <c r="BM7" s="4">
        <f t="shared" si="4"/>
        <v>7856</v>
      </c>
      <c r="BN7" s="4">
        <f t="shared" si="4"/>
        <v>7662</v>
      </c>
      <c r="BO7" s="4">
        <f t="shared" ref="BO7:DZ7" si="5">BO2+BO3</f>
        <v>11134</v>
      </c>
      <c r="BP7" s="4">
        <f t="shared" si="5"/>
        <v>11290</v>
      </c>
      <c r="BQ7" s="4">
        <f t="shared" si="5"/>
        <v>0</v>
      </c>
      <c r="BR7" s="4">
        <f t="shared" si="5"/>
        <v>0</v>
      </c>
      <c r="BS7" s="4">
        <f t="shared" si="5"/>
        <v>0</v>
      </c>
      <c r="BT7" s="4">
        <f t="shared" si="5"/>
        <v>0</v>
      </c>
      <c r="BU7" s="4">
        <f t="shared" si="5"/>
        <v>0</v>
      </c>
      <c r="BV7" s="4">
        <f t="shared" si="5"/>
        <v>0</v>
      </c>
      <c r="BW7" s="4">
        <f t="shared" si="5"/>
        <v>0</v>
      </c>
      <c r="BX7" s="4">
        <f t="shared" si="5"/>
        <v>0</v>
      </c>
      <c r="BY7">
        <f>BY$15*BY13</f>
        <v>641.66248753516186</v>
      </c>
      <c r="BZ7">
        <f t="shared" si="2"/>
        <v>9004.3826376372799</v>
      </c>
      <c r="CA7">
        <f t="shared" si="2"/>
        <v>23918.456417346417</v>
      </c>
      <c r="CB7">
        <f t="shared" si="2"/>
        <v>18289.13191827447</v>
      </c>
      <c r="CC7">
        <f t="shared" si="2"/>
        <v>18297.659643019739</v>
      </c>
      <c r="CD7">
        <f t="shared" si="2"/>
        <v>16508.319527776162</v>
      </c>
      <c r="CE7">
        <f t="shared" si="2"/>
        <v>18207.121676863084</v>
      </c>
      <c r="CF7">
        <f t="shared" si="2"/>
        <v>19471.631597632913</v>
      </c>
      <c r="CG7">
        <f t="shared" si="2"/>
        <v>17395.630712920858</v>
      </c>
      <c r="CH7">
        <f t="shared" si="2"/>
        <v>16302.855881689869</v>
      </c>
      <c r="CI7">
        <f t="shared" si="2"/>
        <v>14459.60182140229</v>
      </c>
      <c r="CJ7">
        <f t="shared" si="2"/>
        <v>14101.029366844856</v>
      </c>
      <c r="CK7">
        <f t="shared" si="2"/>
        <v>13944.348076686956</v>
      </c>
      <c r="CL7">
        <f t="shared" si="2"/>
        <v>12868.921383801635</v>
      </c>
      <c r="CM7">
        <f t="shared" si="2"/>
        <v>13385.939913677681</v>
      </c>
      <c r="CN7" s="4">
        <f t="shared" si="5"/>
        <v>13487</v>
      </c>
      <c r="CO7" s="4">
        <f t="shared" si="5"/>
        <v>14392</v>
      </c>
      <c r="CP7" s="4">
        <f t="shared" si="5"/>
        <v>14802</v>
      </c>
      <c r="CQ7" s="4">
        <f t="shared" si="5"/>
        <v>15034</v>
      </c>
      <c r="CR7" s="4">
        <f t="shared" si="5"/>
        <v>18255</v>
      </c>
      <c r="CS7" s="4">
        <f t="shared" si="5"/>
        <v>20871</v>
      </c>
      <c r="CT7" s="4">
        <f t="shared" si="5"/>
        <v>22598</v>
      </c>
      <c r="CU7" s="4">
        <f t="shared" si="5"/>
        <v>22714</v>
      </c>
      <c r="CV7" s="4">
        <f t="shared" si="5"/>
        <v>24540</v>
      </c>
      <c r="CW7" s="4">
        <f t="shared" si="5"/>
        <v>28667</v>
      </c>
      <c r="CX7" s="4">
        <f t="shared" si="5"/>
        <v>25515</v>
      </c>
      <c r="CY7" s="4">
        <f t="shared" si="5"/>
        <v>20972</v>
      </c>
      <c r="CZ7" s="4">
        <f t="shared" si="5"/>
        <v>17000</v>
      </c>
      <c r="DA7" s="4">
        <f t="shared" si="5"/>
        <v>21650</v>
      </c>
      <c r="DB7" s="4">
        <f t="shared" si="5"/>
        <v>21678</v>
      </c>
      <c r="DC7" s="4">
        <f t="shared" si="5"/>
        <v>25515</v>
      </c>
      <c r="DD7" s="4">
        <f t="shared" si="5"/>
        <v>25182</v>
      </c>
      <c r="DE7" s="4">
        <f t="shared" si="5"/>
        <v>21147</v>
      </c>
      <c r="DF7" s="4">
        <f t="shared" si="5"/>
        <v>17410</v>
      </c>
      <c r="DG7" s="4">
        <f t="shared" si="5"/>
        <v>18651</v>
      </c>
      <c r="DH7" s="4">
        <f t="shared" si="5"/>
        <v>15385</v>
      </c>
      <c r="DI7" s="4">
        <f t="shared" si="5"/>
        <v>8866</v>
      </c>
      <c r="DJ7" s="4">
        <f t="shared" si="5"/>
        <v>6712</v>
      </c>
      <c r="DK7" s="4">
        <f t="shared" si="5"/>
        <v>5054</v>
      </c>
      <c r="DL7" s="4">
        <f t="shared" si="5"/>
        <v>3895</v>
      </c>
      <c r="DM7" s="4">
        <f t="shared" si="5"/>
        <v>3037</v>
      </c>
      <c r="DN7" s="4">
        <f t="shared" si="5"/>
        <v>2402</v>
      </c>
      <c r="DO7" s="4">
        <f t="shared" si="5"/>
        <v>2605</v>
      </c>
      <c r="DP7" s="4">
        <f t="shared" si="5"/>
        <v>2865</v>
      </c>
      <c r="DQ7" s="4">
        <f t="shared" si="5"/>
        <v>4110</v>
      </c>
      <c r="DR7" s="4">
        <f t="shared" si="5"/>
        <v>3440</v>
      </c>
      <c r="DS7" s="4">
        <f t="shared" si="5"/>
        <v>4190</v>
      </c>
      <c r="DT7" s="4">
        <f t="shared" si="5"/>
        <v>5320</v>
      </c>
      <c r="DU7" s="4">
        <f t="shared" si="5"/>
        <v>6040</v>
      </c>
      <c r="DV7" s="4">
        <f t="shared" si="5"/>
        <v>5260</v>
      </c>
      <c r="DW7" s="4">
        <f t="shared" si="5"/>
        <v>5470</v>
      </c>
      <c r="DX7" s="4">
        <f t="shared" si="5"/>
        <v>4100</v>
      </c>
      <c r="DY7" s="4">
        <f t="shared" si="5"/>
        <v>3610</v>
      </c>
      <c r="DZ7" s="4">
        <f t="shared" si="5"/>
        <v>3170</v>
      </c>
      <c r="EA7" s="4">
        <f t="shared" ref="EA7:ET7" si="6">EA2+EA3</f>
        <v>3700</v>
      </c>
      <c r="EB7" s="4">
        <f t="shared" si="6"/>
        <v>3780</v>
      </c>
      <c r="EC7" s="4">
        <f t="shared" si="6"/>
        <v>4350</v>
      </c>
      <c r="ED7" s="4">
        <f t="shared" si="6"/>
        <v>3410</v>
      </c>
      <c r="EE7" s="4">
        <f t="shared" si="6"/>
        <v>6490</v>
      </c>
      <c r="EF7" s="4">
        <f t="shared" si="6"/>
        <v>5200</v>
      </c>
      <c r="EG7" s="4">
        <f t="shared" si="6"/>
        <v>7110</v>
      </c>
      <c r="EH7" s="4">
        <f t="shared" si="6"/>
        <v>7970</v>
      </c>
      <c r="EI7" s="4">
        <f t="shared" si="6"/>
        <v>7900</v>
      </c>
      <c r="EJ7" s="4">
        <f t="shared" si="6"/>
        <v>7190</v>
      </c>
      <c r="EK7" s="4">
        <f t="shared" si="6"/>
        <v>6330</v>
      </c>
      <c r="EL7" s="4">
        <f t="shared" si="6"/>
        <v>6970</v>
      </c>
      <c r="EM7" s="4">
        <f t="shared" si="6"/>
        <v>9070</v>
      </c>
      <c r="EN7" s="4">
        <f t="shared" si="6"/>
        <v>5130</v>
      </c>
      <c r="EO7" s="4">
        <f t="shared" si="6"/>
        <v>6220</v>
      </c>
      <c r="EP7" s="4">
        <f t="shared" si="6"/>
        <v>7890</v>
      </c>
      <c r="EQ7" s="4">
        <f t="shared" si="6"/>
        <v>5100</v>
      </c>
      <c r="ER7" s="4">
        <f t="shared" si="6"/>
        <v>5690</v>
      </c>
      <c r="ES7" s="4">
        <f t="shared" si="6"/>
        <v>4140</v>
      </c>
      <c r="ET7" s="4">
        <f t="shared" si="6"/>
        <v>5100</v>
      </c>
    </row>
    <row r="9" spans="1:150">
      <c r="BY9">
        <f>[1]privatebuilt_cty_81!B51</f>
        <v>4891.6891999999998</v>
      </c>
      <c r="BZ9">
        <f>[1]privatebuilt_cty_81!C51</f>
        <v>6394.5716999999995</v>
      </c>
      <c r="CA9">
        <f>[1]privatebuilt_cty_81!D51</f>
        <v>5023.9917000000005</v>
      </c>
      <c r="CB9">
        <f>[1]privatebuilt_cty_81!E51</f>
        <v>3946.4183000000003</v>
      </c>
      <c r="CC9">
        <f>[1]privatebuilt_cty_81!F51</f>
        <v>4194.8269</v>
      </c>
      <c r="CD9">
        <f>[1]privatebuilt_cty_81!G51</f>
        <v>2824.7701999999999</v>
      </c>
      <c r="CE9">
        <f>[1]privatebuilt_cty_81!H51</f>
        <v>3198.2285999999999</v>
      </c>
      <c r="CF9">
        <f>[1]privatebuilt_cty_81!I51</f>
        <v>6102.3991999999998</v>
      </c>
      <c r="CG9">
        <f>[1]privatebuilt_cty_81!J51</f>
        <v>9104.3042000000005</v>
      </c>
      <c r="CH9">
        <f>[1]privatebuilt_cty_81!K51</f>
        <v>14083.8</v>
      </c>
      <c r="CI9">
        <f>[1]privatebuilt_cty_81!L51</f>
        <v>10117</v>
      </c>
      <c r="CJ9">
        <f>[1]privatebuilt_cty_81!M51</f>
        <v>9982</v>
      </c>
      <c r="CK9">
        <f>[1]privatebuilt_cty_81!N51</f>
        <v>8827</v>
      </c>
      <c r="CL9">
        <f>[1]privatebuilt_cty_81!O51</f>
        <v>9377</v>
      </c>
      <c r="CM9">
        <f>[1]privatebuilt_cty_81!P51</f>
        <v>9303</v>
      </c>
    </row>
    <row r="10" spans="1:150">
      <c r="BY10">
        <f>[1]publicbuilt_cty_81!B51</f>
        <v>828</v>
      </c>
      <c r="BZ10">
        <f>[1]publicbuilt_cty_81!C51</f>
        <v>7651.6376</v>
      </c>
      <c r="CA10">
        <f>[1]publicbuilt_cty_81!D51</f>
        <v>15186.752799999998</v>
      </c>
      <c r="CB10">
        <f>[1]publicbuilt_cty_81!E51</f>
        <v>12870.8701</v>
      </c>
      <c r="CC10">
        <f>[1]publicbuilt_cty_81!F51</f>
        <v>12841.7395</v>
      </c>
      <c r="CD10">
        <f>[1]publicbuilt_cty_81!G51</f>
        <v>11422</v>
      </c>
      <c r="CE10">
        <f>[1]publicbuilt_cty_81!H51</f>
        <v>13050.752</v>
      </c>
      <c r="CF10">
        <f>[1]publicbuilt_cty_81!I51</f>
        <v>15754.448</v>
      </c>
      <c r="CG10">
        <f>[1]publicbuilt_cty_81!J51</f>
        <v>12719</v>
      </c>
      <c r="CH10">
        <f>[1]publicbuilt_cty_81!K51</f>
        <v>18087</v>
      </c>
      <c r="CI10">
        <f>[1]publicbuilt_cty_81!L51</f>
        <v>12014</v>
      </c>
      <c r="CJ10">
        <f>[1]publicbuilt_cty_81!M51</f>
        <v>12660</v>
      </c>
      <c r="CK10">
        <f>[1]publicbuilt_cty_81!N51</f>
        <v>10737</v>
      </c>
      <c r="CL10">
        <f>[1]publicbuilt_cty_81!O51</f>
        <v>10493</v>
      </c>
      <c r="CM10">
        <f>[1]publicbuilt_cty_81!P51</f>
        <v>11053</v>
      </c>
    </row>
    <row r="12" spans="1:150">
      <c r="BY12">
        <f>BY9/SUM(BY9:BY10)</f>
        <v>0.85523688944497189</v>
      </c>
      <c r="BZ12">
        <f t="shared" ref="BZ12:CM12" si="7">BZ9/SUM(BZ9:BZ10)</f>
        <v>0.45525248580768335</v>
      </c>
      <c r="CA12">
        <f t="shared" si="7"/>
        <v>0.24858023909015328</v>
      </c>
      <c r="CB12">
        <f t="shared" si="7"/>
        <v>0.23466436479735936</v>
      </c>
      <c r="CC12">
        <f t="shared" si="7"/>
        <v>0.24622490245452278</v>
      </c>
      <c r="CD12">
        <f t="shared" si="7"/>
        <v>0.19827442713998433</v>
      </c>
      <c r="CE12">
        <f t="shared" si="7"/>
        <v>0.19682641506753967</v>
      </c>
      <c r="CF12">
        <f t="shared" si="7"/>
        <v>0.27919851130221562</v>
      </c>
      <c r="CG12">
        <f t="shared" si="7"/>
        <v>0.4171826647588957</v>
      </c>
      <c r="CH12">
        <f t="shared" si="7"/>
        <v>0.43778208810474095</v>
      </c>
      <c r="CI12">
        <f t="shared" si="7"/>
        <v>0.4571415661289594</v>
      </c>
      <c r="CJ12">
        <f t="shared" si="7"/>
        <v>0.44086211465418251</v>
      </c>
      <c r="CK12">
        <f t="shared" si="7"/>
        <v>0.4511858515640973</v>
      </c>
      <c r="CL12">
        <f t="shared" si="7"/>
        <v>0.47191746351283342</v>
      </c>
      <c r="CM12">
        <f t="shared" si="7"/>
        <v>0.45701513067400273</v>
      </c>
    </row>
    <row r="13" spans="1:150">
      <c r="BY13">
        <f>BY10/SUM(BY9:BY10)</f>
        <v>0.14476311055502805</v>
      </c>
      <c r="BZ13">
        <f t="shared" ref="BZ13:CM13" si="8">BZ10/SUM(BZ9:BZ10)</f>
        <v>0.54474751419231671</v>
      </c>
      <c r="CA13">
        <f t="shared" si="8"/>
        <v>0.75141976090984663</v>
      </c>
      <c r="CB13">
        <f t="shared" si="8"/>
        <v>0.76533563520264059</v>
      </c>
      <c r="CC13">
        <f t="shared" si="8"/>
        <v>0.75377509754547722</v>
      </c>
      <c r="CD13">
        <f t="shared" si="8"/>
        <v>0.80172557286001578</v>
      </c>
      <c r="CE13">
        <f t="shared" si="8"/>
        <v>0.80317358493246027</v>
      </c>
      <c r="CF13">
        <f t="shared" si="8"/>
        <v>0.72080148869778438</v>
      </c>
      <c r="CG13">
        <f t="shared" si="8"/>
        <v>0.58281733524110435</v>
      </c>
      <c r="CH13">
        <f t="shared" si="8"/>
        <v>0.56221791189525905</v>
      </c>
      <c r="CI13">
        <f t="shared" si="8"/>
        <v>0.5428584338710406</v>
      </c>
      <c r="CJ13">
        <f t="shared" si="8"/>
        <v>0.55913788534581754</v>
      </c>
      <c r="CK13">
        <f t="shared" si="8"/>
        <v>0.5488141484359027</v>
      </c>
      <c r="CL13">
        <f t="shared" si="8"/>
        <v>0.52808253648716663</v>
      </c>
      <c r="CM13">
        <f t="shared" si="8"/>
        <v>0.54298486932599721</v>
      </c>
    </row>
    <row r="15" spans="1:150">
      <c r="A15" t="s">
        <v>7</v>
      </c>
      <c r="BY15" s="3">
        <v>4432.5</v>
      </c>
      <c r="BZ15" s="3">
        <v>16529.460719041279</v>
      </c>
      <c r="CA15" s="3">
        <v>31831.018641810901</v>
      </c>
      <c r="CB15" s="3">
        <v>23896.877496671106</v>
      </c>
      <c r="CC15" s="3">
        <v>24274.693741677762</v>
      </c>
      <c r="CD15" s="3">
        <v>20590.985352862848</v>
      </c>
      <c r="CE15" s="3">
        <v>22668.974700399467</v>
      </c>
      <c r="CF15" s="3">
        <v>27013.861517976031</v>
      </c>
      <c r="CG15" s="3">
        <v>29847.483355525965</v>
      </c>
      <c r="CH15" s="3">
        <v>28997.396804260985</v>
      </c>
      <c r="CI15" s="3">
        <v>26636.045272969375</v>
      </c>
      <c r="CJ15" s="3">
        <v>25219.234354194406</v>
      </c>
      <c r="CK15" s="3">
        <v>25408.142476697736</v>
      </c>
      <c r="CL15" s="3">
        <v>24369.147802929427</v>
      </c>
      <c r="CM15" s="3">
        <v>24652.509986684421</v>
      </c>
    </row>
    <row r="19" spans="1:153">
      <c r="A19" t="s">
        <v>8</v>
      </c>
      <c r="BY19" s="5">
        <v>14071.199999999997</v>
      </c>
      <c r="BZ19" s="5">
        <v>75482.961279999974</v>
      </c>
      <c r="CA19" s="5">
        <v>149816.43583999999</v>
      </c>
      <c r="CB19" s="5">
        <v>126970.38728</v>
      </c>
      <c r="CC19" s="5">
        <v>126683.0156</v>
      </c>
      <c r="CD19" s="5">
        <v>125291</v>
      </c>
      <c r="CE19" s="5">
        <v>154100.46080000003</v>
      </c>
      <c r="CF19" s="5">
        <v>186025.11920000004</v>
      </c>
      <c r="CG19" s="5">
        <v>191096</v>
      </c>
      <c r="CH19" s="5">
        <v>158474</v>
      </c>
      <c r="CI19" s="5">
        <v>129180</v>
      </c>
      <c r="CJ19" s="5">
        <v>125901</v>
      </c>
      <c r="CK19" s="5">
        <v>101761</v>
      </c>
      <c r="CL19" s="5">
        <v>90665</v>
      </c>
      <c r="CM19" s="5">
        <v>95170</v>
      </c>
      <c r="CN19" s="5">
        <v>85016</v>
      </c>
      <c r="CO19" s="5">
        <v>95274</v>
      </c>
      <c r="CP19" s="5">
        <v>88177</v>
      </c>
      <c r="CQ19" s="5">
        <v>108506</v>
      </c>
      <c r="CR19" s="5">
        <v>121735</v>
      </c>
      <c r="CS19" s="5">
        <v>137154</v>
      </c>
      <c r="CT19" s="5">
        <v>153550</v>
      </c>
      <c r="CU19" s="5">
        <v>142935</v>
      </c>
      <c r="CV19" s="5">
        <v>131756</v>
      </c>
      <c r="CW19" s="5">
        <v>133138</v>
      </c>
      <c r="CX19" s="5">
        <v>118387</v>
      </c>
      <c r="CY19" s="5">
        <v>94365</v>
      </c>
      <c r="CZ19" s="5">
        <v>81396</v>
      </c>
      <c r="DA19" s="5">
        <v>102280</v>
      </c>
      <c r="DB19" s="5">
        <v>124108</v>
      </c>
      <c r="DC19" s="5">
        <v>124752</v>
      </c>
      <c r="DD19" s="5">
        <v>132046</v>
      </c>
      <c r="DE19" s="5">
        <v>105946</v>
      </c>
      <c r="DF19" s="5">
        <v>82374</v>
      </c>
      <c r="DG19" s="5">
        <v>88682</v>
      </c>
      <c r="DH19" s="5">
        <v>67092.5</v>
      </c>
      <c r="DI19" s="5">
        <v>41246.5</v>
      </c>
      <c r="DJ19" s="5">
        <v>42444</v>
      </c>
      <c r="DK19" s="5">
        <v>41653</v>
      </c>
      <c r="DL19" s="5">
        <v>34994.5</v>
      </c>
      <c r="DM19" s="5">
        <v>30051</v>
      </c>
      <c r="DN19" s="5">
        <v>27188</v>
      </c>
      <c r="DO19" s="5">
        <v>27074.5</v>
      </c>
      <c r="DP19" s="5">
        <v>25024.5</v>
      </c>
      <c r="DQ19" s="5">
        <v>27850.5</v>
      </c>
      <c r="DR19" s="5">
        <v>22961</v>
      </c>
      <c r="DS19" s="5">
        <v>36491.75</v>
      </c>
      <c r="DT19" s="5">
        <v>42031.75</v>
      </c>
      <c r="DU19" s="5">
        <v>43458.75</v>
      </c>
      <c r="DV19" s="5">
        <v>48431.75</v>
      </c>
      <c r="DW19" s="5">
        <v>37697.5</v>
      </c>
      <c r="DX19" s="5">
        <v>29559.25</v>
      </c>
      <c r="DY19" s="5">
        <v>26960.5</v>
      </c>
      <c r="DZ19" s="5">
        <v>23398.5</v>
      </c>
      <c r="EA19" s="5">
        <v>21276.75</v>
      </c>
      <c r="EB19" s="5">
        <v>21534</v>
      </c>
      <c r="EC19" s="5">
        <v>21256.75</v>
      </c>
      <c r="ED19" s="5">
        <v>23190</v>
      </c>
      <c r="EE19" s="5">
        <v>26168.75</v>
      </c>
      <c r="EF19" s="5">
        <v>31683.25</v>
      </c>
      <c r="EG19" s="5">
        <v>35344.75</v>
      </c>
      <c r="EH19" s="5">
        <v>42139</v>
      </c>
      <c r="EI19" s="5">
        <v>44259.25</v>
      </c>
      <c r="EJ19" s="5">
        <v>47122.25</v>
      </c>
      <c r="EK19" s="5">
        <v>51898</v>
      </c>
      <c r="EL19" s="5">
        <v>53064.75</v>
      </c>
      <c r="EM19" s="5">
        <v>42886.5</v>
      </c>
      <c r="EN19" s="5">
        <v>37454</v>
      </c>
      <c r="EO19" s="5">
        <v>52675.25</v>
      </c>
      <c r="EP19" s="5">
        <v>36326.75</v>
      </c>
      <c r="EQ19" s="5">
        <v>36035.5</v>
      </c>
      <c r="ER19" s="5">
        <v>41753.5</v>
      </c>
      <c r="ES19" s="5">
        <v>50235.5</v>
      </c>
      <c r="ET19" s="5">
        <v>53252.5</v>
      </c>
      <c r="EU19" s="5">
        <v>47400</v>
      </c>
      <c r="EV19" s="5">
        <v>51653</v>
      </c>
      <c r="EW19" s="5">
        <v>57195</v>
      </c>
    </row>
    <row r="20" spans="1:153">
      <c r="A20" t="s">
        <v>9</v>
      </c>
      <c r="BY20" s="5">
        <v>27050.579600000001</v>
      </c>
      <c r="BZ20" s="5">
        <v>38196.619639999997</v>
      </c>
      <c r="CA20" s="5">
        <v>30018.161639999998</v>
      </c>
      <c r="CB20" s="5">
        <v>23544.514000000003</v>
      </c>
      <c r="CC20" s="5">
        <v>25035.526520000003</v>
      </c>
      <c r="CD20" s="5">
        <v>19785.882600000001</v>
      </c>
      <c r="CE20" s="5">
        <v>30351.0514</v>
      </c>
      <c r="CF20" s="5">
        <v>57966.540000000008</v>
      </c>
      <c r="CG20" s="5">
        <v>85257.724600000001</v>
      </c>
      <c r="CH20" s="5">
        <v>111392.39999999998</v>
      </c>
      <c r="CI20" s="5">
        <v>115349</v>
      </c>
      <c r="CJ20" s="5">
        <v>119713</v>
      </c>
      <c r="CK20" s="5">
        <v>119913</v>
      </c>
      <c r="CL20" s="5">
        <v>141508</v>
      </c>
      <c r="CM20" s="5">
        <v>156112</v>
      </c>
      <c r="CN20" s="5">
        <v>163274</v>
      </c>
      <c r="CO20" s="5">
        <v>159196</v>
      </c>
      <c r="CP20" s="5">
        <v>160838</v>
      </c>
      <c r="CQ20" s="5">
        <v>200743</v>
      </c>
      <c r="CR20" s="5">
        <v>196590</v>
      </c>
      <c r="CS20" s="5">
        <v>187885</v>
      </c>
      <c r="CT20" s="5">
        <v>183691</v>
      </c>
      <c r="CU20" s="5">
        <v>203324</v>
      </c>
      <c r="CV20" s="5">
        <v>164073.33333333328</v>
      </c>
      <c r="CW20" s="5">
        <v>153321</v>
      </c>
      <c r="CX20" s="5">
        <v>170225</v>
      </c>
      <c r="CY20" s="5">
        <v>173636</v>
      </c>
      <c r="CZ20" s="5">
        <v>162770</v>
      </c>
      <c r="DA20" s="5">
        <v>120262</v>
      </c>
      <c r="DB20" s="5">
        <v>130788</v>
      </c>
      <c r="DC20" s="5">
        <v>130891</v>
      </c>
      <c r="DD20" s="5">
        <v>121002</v>
      </c>
      <c r="DE20" s="5">
        <v>127051</v>
      </c>
      <c r="DF20" s="5">
        <v>112599</v>
      </c>
      <c r="DG20" s="5">
        <v>109275</v>
      </c>
      <c r="DH20" s="5">
        <v>97844</v>
      </c>
      <c r="DI20" s="5">
        <v>106633</v>
      </c>
      <c r="DJ20" s="5">
        <v>124994.5</v>
      </c>
      <c r="DK20" s="5">
        <v>132801.5</v>
      </c>
      <c r="DL20" s="5">
        <v>134719</v>
      </c>
      <c r="DM20" s="5">
        <v>147837.5</v>
      </c>
      <c r="DN20" s="5">
        <v>160985.5</v>
      </c>
      <c r="DO20" s="5">
        <v>176274</v>
      </c>
      <c r="DP20" s="5">
        <v>154118</v>
      </c>
      <c r="DQ20" s="5">
        <v>130609.5</v>
      </c>
      <c r="DR20" s="5">
        <v>124583.5</v>
      </c>
      <c r="DS20" s="5">
        <v>118629</v>
      </c>
      <c r="DT20" s="5">
        <v>115442.5</v>
      </c>
      <c r="DU20" s="5">
        <v>122046.5</v>
      </c>
      <c r="DV20" s="5">
        <v>123958</v>
      </c>
      <c r="DW20" s="5">
        <v>121177.375</v>
      </c>
      <c r="DX20" s="5">
        <v>124847.625</v>
      </c>
      <c r="DY20" s="5">
        <v>120542</v>
      </c>
      <c r="DZ20" s="5">
        <v>116930.25</v>
      </c>
      <c r="EA20" s="5">
        <v>114344.375</v>
      </c>
      <c r="EB20" s="5">
        <v>116132.44486531985</v>
      </c>
      <c r="EC20" s="5">
        <v>123102.16211720376</v>
      </c>
      <c r="ED20" s="5">
        <v>129507.49017957355</v>
      </c>
      <c r="EE20" s="5">
        <v>136927.69555675809</v>
      </c>
      <c r="EF20" s="5">
        <v>143202.31776595319</v>
      </c>
      <c r="EG20" s="5">
        <v>142753.10052409011</v>
      </c>
      <c r="EH20" s="5">
        <v>143392.90279280904</v>
      </c>
      <c r="EI20" s="5">
        <v>120472.52020703064</v>
      </c>
      <c r="EJ20" s="5">
        <v>97117.902888007069</v>
      </c>
      <c r="EK20" s="5">
        <v>86068.176791058751</v>
      </c>
      <c r="EL20" s="5">
        <v>86818.840885708967</v>
      </c>
      <c r="EM20" s="5">
        <v>84832.5</v>
      </c>
      <c r="EN20" s="5">
        <v>88062.5</v>
      </c>
      <c r="EO20" s="5">
        <v>94567.5</v>
      </c>
      <c r="EP20" s="5">
        <v>107677.5</v>
      </c>
      <c r="EQ20" s="5">
        <v>117517.5</v>
      </c>
      <c r="ER20" s="5">
        <v>128237.5</v>
      </c>
      <c r="ES20" s="5">
        <v>135077.5</v>
      </c>
      <c r="ET20" s="5">
        <v>138842.5</v>
      </c>
      <c r="EU20" s="5">
        <v>128732.5</v>
      </c>
      <c r="EV20" s="5">
        <v>134142.5</v>
      </c>
      <c r="EW20" s="5">
        <v>138060</v>
      </c>
    </row>
    <row r="21" spans="1:153">
      <c r="A21" t="s">
        <v>10</v>
      </c>
      <c r="B21">
        <v>96000</v>
      </c>
      <c r="C21">
        <v>103000</v>
      </c>
      <c r="D21">
        <v>94000</v>
      </c>
      <c r="E21">
        <v>108000</v>
      </c>
      <c r="F21">
        <v>135000</v>
      </c>
      <c r="G21">
        <v>154000</v>
      </c>
      <c r="H21">
        <v>145000</v>
      </c>
      <c r="I21">
        <v>124000</v>
      </c>
      <c r="J21">
        <v>100000</v>
      </c>
      <c r="K21">
        <v>95000</v>
      </c>
      <c r="L21">
        <v>96000</v>
      </c>
      <c r="M21">
        <v>91000</v>
      </c>
      <c r="N21">
        <v>93000</v>
      </c>
      <c r="O21">
        <v>93000</v>
      </c>
      <c r="P21">
        <v>85000</v>
      </c>
      <c r="Q21">
        <v>82000</v>
      </c>
      <c r="R21">
        <v>86000</v>
      </c>
      <c r="S21">
        <v>84000</v>
      </c>
      <c r="T21">
        <v>84000</v>
      </c>
      <c r="U21">
        <v>79000</v>
      </c>
      <c r="V21">
        <v>80000</v>
      </c>
      <c r="W21">
        <v>85000</v>
      </c>
      <c r="X21">
        <v>96000</v>
      </c>
      <c r="Y21">
        <v>97000</v>
      </c>
      <c r="Z21">
        <v>100000</v>
      </c>
      <c r="AA21">
        <v>118000</v>
      </c>
      <c r="AB21">
        <v>135000</v>
      </c>
      <c r="AC21">
        <v>162000</v>
      </c>
      <c r="AD21">
        <v>162000</v>
      </c>
      <c r="AE21">
        <v>148000</v>
      </c>
      <c r="AF21">
        <v>145000</v>
      </c>
      <c r="AG21">
        <v>152000</v>
      </c>
      <c r="AH21">
        <v>155000</v>
      </c>
      <c r="AI21">
        <v>140000</v>
      </c>
      <c r="AJ21">
        <v>141000</v>
      </c>
      <c r="AK21">
        <v>124000</v>
      </c>
      <c r="AL21">
        <v>115000</v>
      </c>
      <c r="AM21">
        <v>101000</v>
      </c>
      <c r="AN21">
        <v>100000</v>
      </c>
      <c r="AO21">
        <v>89000</v>
      </c>
      <c r="AP21">
        <v>75000</v>
      </c>
      <c r="AQ21">
        <v>61000</v>
      </c>
      <c r="AR21">
        <v>54000</v>
      </c>
      <c r="AS21">
        <v>48000</v>
      </c>
      <c r="AT21">
        <v>31000</v>
      </c>
      <c r="AU21">
        <v>17000</v>
      </c>
      <c r="AX21">
        <v>600</v>
      </c>
      <c r="AY21">
        <v>58500</v>
      </c>
      <c r="AZ21">
        <v>128000</v>
      </c>
      <c r="BA21">
        <v>91600</v>
      </c>
      <c r="BB21">
        <v>86200</v>
      </c>
      <c r="BC21">
        <v>136900</v>
      </c>
      <c r="BD21">
        <v>173400</v>
      </c>
      <c r="BE21">
        <v>217600</v>
      </c>
      <c r="BF21">
        <v>238900</v>
      </c>
      <c r="BG21">
        <v>169500</v>
      </c>
      <c r="BH21">
        <v>202100</v>
      </c>
      <c r="BI21">
        <v>183900</v>
      </c>
      <c r="BJ21">
        <v>200800</v>
      </c>
      <c r="BK21">
        <v>200500</v>
      </c>
      <c r="BL21">
        <v>266600</v>
      </c>
      <c r="BM21">
        <v>329100</v>
      </c>
      <c r="BN21">
        <v>324900</v>
      </c>
      <c r="BO21">
        <v>346100</v>
      </c>
      <c r="BP21">
        <v>337600</v>
      </c>
      <c r="BQ21">
        <v>332400</v>
      </c>
      <c r="BR21">
        <v>196000</v>
      </c>
      <c r="BS21">
        <v>42500</v>
      </c>
      <c r="BT21">
        <v>9800</v>
      </c>
      <c r="BU21">
        <v>9600</v>
      </c>
      <c r="BV21">
        <v>5800</v>
      </c>
      <c r="BW21">
        <v>5500</v>
      </c>
      <c r="BX21">
        <v>10400</v>
      </c>
      <c r="BY21" s="5">
        <f>SUM(BY19:BY20)</f>
        <v>41121.779599999994</v>
      </c>
      <c r="BZ21" s="5">
        <f t="shared" ref="BZ21:EI21" si="9">SUM(BZ19:BZ20)</f>
        <v>113679.58091999998</v>
      </c>
      <c r="CA21" s="5">
        <f t="shared" si="9"/>
        <v>179834.59748</v>
      </c>
      <c r="CB21" s="5">
        <f t="shared" si="9"/>
        <v>150514.90127999999</v>
      </c>
      <c r="CC21" s="5">
        <f t="shared" si="9"/>
        <v>151718.54212</v>
      </c>
      <c r="CD21" s="5">
        <f t="shared" si="9"/>
        <v>145076.88260000001</v>
      </c>
      <c r="CE21" s="5">
        <f t="shared" si="9"/>
        <v>184451.51220000003</v>
      </c>
      <c r="CF21" s="5">
        <f t="shared" si="9"/>
        <v>243991.65920000005</v>
      </c>
      <c r="CG21" s="5">
        <f t="shared" si="9"/>
        <v>276353.72460000002</v>
      </c>
      <c r="CH21" s="5">
        <f t="shared" si="9"/>
        <v>269866.39999999997</v>
      </c>
      <c r="CI21" s="5">
        <f t="shared" si="9"/>
        <v>244529</v>
      </c>
      <c r="CJ21" s="5">
        <f t="shared" si="9"/>
        <v>245614</v>
      </c>
      <c r="CK21" s="5">
        <f t="shared" si="9"/>
        <v>221674</v>
      </c>
      <c r="CL21" s="5">
        <f t="shared" si="9"/>
        <v>232173</v>
      </c>
      <c r="CM21" s="5">
        <f t="shared" si="9"/>
        <v>251282</v>
      </c>
      <c r="CN21" s="5">
        <f t="shared" si="9"/>
        <v>248290</v>
      </c>
      <c r="CO21" s="5">
        <f t="shared" si="9"/>
        <v>254470</v>
      </c>
      <c r="CP21" s="5">
        <f t="shared" si="9"/>
        <v>249015</v>
      </c>
      <c r="CQ21" s="5">
        <f t="shared" si="9"/>
        <v>309249</v>
      </c>
      <c r="CR21" s="5">
        <f t="shared" si="9"/>
        <v>318325</v>
      </c>
      <c r="CS21" s="5">
        <f t="shared" si="9"/>
        <v>325039</v>
      </c>
      <c r="CT21" s="5">
        <f t="shared" si="9"/>
        <v>337241</v>
      </c>
      <c r="CU21" s="5">
        <f t="shared" si="9"/>
        <v>346259</v>
      </c>
      <c r="CV21" s="5">
        <f t="shared" si="9"/>
        <v>295829.33333333326</v>
      </c>
      <c r="CW21" s="5">
        <f t="shared" si="9"/>
        <v>286459</v>
      </c>
      <c r="CX21" s="5">
        <f t="shared" si="9"/>
        <v>288612</v>
      </c>
      <c r="CY21" s="5">
        <f t="shared" si="9"/>
        <v>268001</v>
      </c>
      <c r="CZ21" s="5">
        <f t="shared" si="9"/>
        <v>244166</v>
      </c>
      <c r="DA21" s="5">
        <f t="shared" si="9"/>
        <v>222542</v>
      </c>
      <c r="DB21" s="5">
        <f t="shared" si="9"/>
        <v>254896</v>
      </c>
      <c r="DC21" s="5">
        <f t="shared" si="9"/>
        <v>255643</v>
      </c>
      <c r="DD21" s="5">
        <f t="shared" si="9"/>
        <v>253048</v>
      </c>
      <c r="DE21" s="5">
        <f t="shared" si="9"/>
        <v>232997</v>
      </c>
      <c r="DF21" s="5">
        <f t="shared" si="9"/>
        <v>194973</v>
      </c>
      <c r="DG21" s="5">
        <f t="shared" si="9"/>
        <v>197957</v>
      </c>
      <c r="DH21" s="5">
        <f t="shared" si="9"/>
        <v>164936.5</v>
      </c>
      <c r="DI21" s="5">
        <f t="shared" si="9"/>
        <v>147879.5</v>
      </c>
      <c r="DJ21" s="5">
        <f t="shared" si="9"/>
        <v>167438.5</v>
      </c>
      <c r="DK21" s="5">
        <f t="shared" si="9"/>
        <v>174454.5</v>
      </c>
      <c r="DL21" s="5">
        <f t="shared" si="9"/>
        <v>169713.5</v>
      </c>
      <c r="DM21" s="5">
        <f t="shared" si="9"/>
        <v>177888.5</v>
      </c>
      <c r="DN21" s="5">
        <f t="shared" si="9"/>
        <v>188173.5</v>
      </c>
      <c r="DO21" s="5">
        <f t="shared" si="9"/>
        <v>203348.5</v>
      </c>
      <c r="DP21" s="5">
        <f t="shared" si="9"/>
        <v>179142.5</v>
      </c>
      <c r="DQ21" s="5">
        <f t="shared" si="9"/>
        <v>158460</v>
      </c>
      <c r="DR21" s="5">
        <f t="shared" si="9"/>
        <v>147544.5</v>
      </c>
      <c r="DS21" s="5">
        <f t="shared" si="9"/>
        <v>155120.75</v>
      </c>
      <c r="DT21" s="5">
        <f t="shared" si="9"/>
        <v>157474.25</v>
      </c>
      <c r="DU21" s="5">
        <f t="shared" si="9"/>
        <v>165505.25</v>
      </c>
      <c r="DV21" s="5">
        <f t="shared" si="9"/>
        <v>172389.75</v>
      </c>
      <c r="DW21" s="5">
        <f t="shared" si="9"/>
        <v>158874.875</v>
      </c>
      <c r="DX21" s="5">
        <f t="shared" si="9"/>
        <v>154406.875</v>
      </c>
      <c r="DY21" s="5">
        <f t="shared" si="9"/>
        <v>147502.5</v>
      </c>
      <c r="DZ21" s="5">
        <f t="shared" si="9"/>
        <v>140328.75</v>
      </c>
      <c r="EA21" s="5">
        <f t="shared" si="9"/>
        <v>135621.125</v>
      </c>
      <c r="EB21" s="5">
        <f t="shared" si="9"/>
        <v>137666.44486531985</v>
      </c>
      <c r="EC21" s="5">
        <f t="shared" si="9"/>
        <v>144358.91211720376</v>
      </c>
      <c r="ED21" s="5">
        <f t="shared" si="9"/>
        <v>152697.49017957353</v>
      </c>
      <c r="EE21" s="5">
        <f t="shared" si="9"/>
        <v>163096.44555675809</v>
      </c>
      <c r="EF21" s="5">
        <f t="shared" si="9"/>
        <v>174885.56776595319</v>
      </c>
      <c r="EG21" s="5">
        <f t="shared" si="9"/>
        <v>178097.85052409011</v>
      </c>
      <c r="EH21" s="5">
        <f t="shared" si="9"/>
        <v>185531.90279280904</v>
      </c>
      <c r="EI21" s="5">
        <f t="shared" si="9"/>
        <v>164731.77020703064</v>
      </c>
      <c r="EJ21" s="5">
        <f>SUM(EJ19:EJ20)</f>
        <v>144240.15288800705</v>
      </c>
      <c r="EK21" s="5">
        <f>SUM(EK30+EK31)</f>
        <v>143576.176791059</v>
      </c>
      <c r="EL21" s="5">
        <f t="shared" ref="EL21:EW21" si="10">SUM(EL30+EL31)</f>
        <v>145543.59088570898</v>
      </c>
      <c r="EM21" s="5">
        <f t="shared" si="10"/>
        <v>133149</v>
      </c>
      <c r="EN21" s="5">
        <f t="shared" si="10"/>
        <v>131126.5</v>
      </c>
      <c r="EO21" s="5">
        <f t="shared" si="10"/>
        <v>153422.75</v>
      </c>
      <c r="EP21" s="5">
        <f t="shared" si="10"/>
        <v>150884.25</v>
      </c>
      <c r="EQ21" s="5">
        <f t="shared" si="10"/>
        <v>160173</v>
      </c>
      <c r="ER21" s="5">
        <f t="shared" si="10"/>
        <v>176881</v>
      </c>
      <c r="ES21" s="5">
        <f t="shared" si="10"/>
        <v>191133</v>
      </c>
      <c r="ET21" s="5">
        <f t="shared" si="10"/>
        <v>198165</v>
      </c>
      <c r="EU21" s="5">
        <f t="shared" si="10"/>
        <v>0</v>
      </c>
      <c r="EV21" s="5">
        <f t="shared" si="10"/>
        <v>0</v>
      </c>
      <c r="EW21" s="5">
        <f t="shared" si="10"/>
        <v>0</v>
      </c>
    </row>
    <row r="23" spans="1:153">
      <c r="A23" t="s">
        <v>11</v>
      </c>
      <c r="BY23" s="6">
        <f>BY7/BY19</f>
        <v>4.5601120553695633E-2</v>
      </c>
      <c r="BZ23" s="6">
        <f t="shared" ref="BZ23:EK23" si="11">BZ7/BZ19</f>
        <v>0.11929026743182489</v>
      </c>
      <c r="CA23" s="6">
        <f t="shared" si="11"/>
        <v>0.15965175171361504</v>
      </c>
      <c r="CB23" s="6">
        <f t="shared" si="11"/>
        <v>0.1440424992793207</v>
      </c>
      <c r="CC23" s="6">
        <f t="shared" si="11"/>
        <v>0.14443656520456039</v>
      </c>
      <c r="CD23" s="6">
        <f t="shared" si="11"/>
        <v>0.13175981936273284</v>
      </c>
      <c r="CE23" s="6">
        <f t="shared" si="11"/>
        <v>0.11815098788376291</v>
      </c>
      <c r="CF23" s="6">
        <f t="shared" si="11"/>
        <v>0.10467205548030585</v>
      </c>
      <c r="CG23" s="6">
        <f t="shared" si="11"/>
        <v>9.1030846867128867E-2</v>
      </c>
      <c r="CH23" s="6">
        <f t="shared" si="11"/>
        <v>0.10287401013219752</v>
      </c>
      <c r="CI23" s="6">
        <f t="shared" si="11"/>
        <v>0.11193374997214964</v>
      </c>
      <c r="CJ23" s="6">
        <f t="shared" si="11"/>
        <v>0.1120009322153506</v>
      </c>
      <c r="CK23" s="6">
        <f t="shared" si="11"/>
        <v>0.13703037584818306</v>
      </c>
      <c r="CL23" s="6">
        <f t="shared" si="11"/>
        <v>0.1419392420868211</v>
      </c>
      <c r="CM23" s="6">
        <f t="shared" si="11"/>
        <v>0.14065293594281475</v>
      </c>
      <c r="CN23" s="6">
        <f t="shared" si="11"/>
        <v>0.15864072645149149</v>
      </c>
      <c r="CO23" s="6">
        <f t="shared" si="11"/>
        <v>0.15105905073787182</v>
      </c>
      <c r="CP23" s="6">
        <f t="shared" si="11"/>
        <v>0.16786690406795424</v>
      </c>
      <c r="CQ23" s="6">
        <f t="shared" si="11"/>
        <v>0.13855454997880301</v>
      </c>
      <c r="CR23" s="6">
        <f t="shared" si="11"/>
        <v>0.14995687353678072</v>
      </c>
      <c r="CS23" s="6">
        <f t="shared" si="11"/>
        <v>0.1521720110241043</v>
      </c>
      <c r="CT23" s="6">
        <f t="shared" si="11"/>
        <v>0.14717030283295343</v>
      </c>
      <c r="CU23" s="6">
        <f t="shared" si="11"/>
        <v>0.15891139329065659</v>
      </c>
      <c r="CV23" s="6">
        <f t="shared" si="11"/>
        <v>0.18625337745529616</v>
      </c>
      <c r="CW23" s="6">
        <f t="shared" si="11"/>
        <v>0.21531794078324745</v>
      </c>
      <c r="CX23" s="6">
        <f t="shared" si="11"/>
        <v>0.2155219745411236</v>
      </c>
      <c r="CY23" s="6">
        <f t="shared" si="11"/>
        <v>0.22224341652095586</v>
      </c>
      <c r="CZ23" s="6">
        <f t="shared" si="11"/>
        <v>0.20885547201336674</v>
      </c>
      <c r="DA23" s="6">
        <f t="shared" si="11"/>
        <v>0.21167383652718028</v>
      </c>
      <c r="DB23" s="6">
        <f t="shared" si="11"/>
        <v>0.17467044831920586</v>
      </c>
      <c r="DC23" s="6">
        <f t="shared" si="11"/>
        <v>0.20452577914582531</v>
      </c>
      <c r="DD23" s="6">
        <f t="shared" si="11"/>
        <v>0.19070626902746013</v>
      </c>
      <c r="DE23" s="6">
        <f t="shared" si="11"/>
        <v>0.19960168387669189</v>
      </c>
      <c r="DF23" s="6">
        <f t="shared" si="11"/>
        <v>0.21135309685094811</v>
      </c>
      <c r="DG23" s="6">
        <f t="shared" si="11"/>
        <v>0.21031325409891521</v>
      </c>
      <c r="DH23" s="6">
        <f t="shared" si="11"/>
        <v>0.2293102805827775</v>
      </c>
      <c r="DI23" s="6">
        <f t="shared" si="11"/>
        <v>0.21495157164850351</v>
      </c>
      <c r="DJ23" s="6">
        <f t="shared" si="11"/>
        <v>0.15813778154745076</v>
      </c>
      <c r="DK23" s="6">
        <f t="shared" si="11"/>
        <v>0.1213357981417905</v>
      </c>
      <c r="DL23" s="6">
        <f t="shared" si="11"/>
        <v>0.11130320478932404</v>
      </c>
      <c r="DM23" s="6">
        <f t="shared" si="11"/>
        <v>0.10106152873448471</v>
      </c>
      <c r="DN23" s="6">
        <f t="shared" si="11"/>
        <v>8.8347800500220688E-2</v>
      </c>
      <c r="DO23" s="6">
        <f t="shared" si="11"/>
        <v>9.621599660196864E-2</v>
      </c>
      <c r="DP23" s="6">
        <f t="shared" si="11"/>
        <v>0.11448780195408499</v>
      </c>
      <c r="DQ23" s="6">
        <f t="shared" si="11"/>
        <v>0.14757365217859644</v>
      </c>
      <c r="DR23" s="6">
        <f t="shared" si="11"/>
        <v>0.1498192587430861</v>
      </c>
      <c r="DS23" s="6">
        <f t="shared" si="11"/>
        <v>0.11482047312063685</v>
      </c>
      <c r="DT23" s="6">
        <f t="shared" si="11"/>
        <v>0.12657098502917438</v>
      </c>
      <c r="DU23" s="6">
        <f t="shared" si="11"/>
        <v>0.1389823683377916</v>
      </c>
      <c r="DV23" s="6">
        <f t="shared" si="11"/>
        <v>0.10860644102267623</v>
      </c>
      <c r="DW23" s="6">
        <f t="shared" si="11"/>
        <v>0.14510246037535646</v>
      </c>
      <c r="DX23" s="6">
        <f t="shared" si="11"/>
        <v>0.13870446645297158</v>
      </c>
      <c r="DY23" s="6">
        <f t="shared" si="11"/>
        <v>0.13389959385026243</v>
      </c>
      <c r="DZ23" s="6">
        <f t="shared" si="11"/>
        <v>0.13547877000662437</v>
      </c>
      <c r="EA23" s="6">
        <f t="shared" si="11"/>
        <v>0.17389873923414056</v>
      </c>
      <c r="EB23" s="6">
        <f t="shared" si="11"/>
        <v>0.17553636110337142</v>
      </c>
      <c r="EC23" s="6">
        <f t="shared" si="11"/>
        <v>0.20464087877968176</v>
      </c>
      <c r="ED23" s="6">
        <f t="shared" si="11"/>
        <v>0.14704614057783527</v>
      </c>
      <c r="EE23" s="6">
        <f t="shared" si="11"/>
        <v>0.24800573202770479</v>
      </c>
      <c r="EF23" s="6">
        <f t="shared" si="11"/>
        <v>0.16412457686632526</v>
      </c>
      <c r="EG23" s="6">
        <f t="shared" si="11"/>
        <v>0.2011614171835987</v>
      </c>
      <c r="EH23" s="6">
        <f t="shared" si="11"/>
        <v>0.18913595481620352</v>
      </c>
      <c r="EI23" s="6">
        <f t="shared" si="11"/>
        <v>0.17849376119116342</v>
      </c>
      <c r="EJ23" s="6">
        <f t="shared" si="11"/>
        <v>0.15258184827761831</v>
      </c>
      <c r="EK23" s="6">
        <f t="shared" si="11"/>
        <v>0.12197001811245135</v>
      </c>
      <c r="EL23" s="6">
        <f t="shared" ref="EL23:EW23" si="12">EL7/EL19</f>
        <v>0.13134896517933278</v>
      </c>
      <c r="EM23" s="6">
        <f t="shared" si="12"/>
        <v>0.2114884637356744</v>
      </c>
      <c r="EN23" s="6">
        <f t="shared" si="12"/>
        <v>0.13696801409729267</v>
      </c>
      <c r="EO23" s="6">
        <f t="shared" si="12"/>
        <v>0.11808202144270791</v>
      </c>
      <c r="EP23" s="6">
        <f t="shared" si="12"/>
        <v>0.21719531750018925</v>
      </c>
      <c r="EQ23" s="6">
        <f t="shared" si="12"/>
        <v>0.14152710521569009</v>
      </c>
      <c r="ER23" s="6">
        <f t="shared" si="12"/>
        <v>0.13627600081430299</v>
      </c>
      <c r="ES23" s="6">
        <f t="shared" si="12"/>
        <v>8.2411840232504904E-2</v>
      </c>
      <c r="ET23" s="6">
        <f t="shared" si="12"/>
        <v>9.5770151636073428E-2</v>
      </c>
      <c r="EU23" s="6">
        <f t="shared" si="12"/>
        <v>0</v>
      </c>
      <c r="EV23" s="6">
        <f t="shared" si="12"/>
        <v>0</v>
      </c>
      <c r="EW23" s="6">
        <f t="shared" si="12"/>
        <v>0</v>
      </c>
    </row>
    <row r="24" spans="1:153">
      <c r="A24" t="s">
        <v>12</v>
      </c>
      <c r="BY24" s="6">
        <f>BY6/BY20</f>
        <v>0.14013886462029218</v>
      </c>
      <c r="BZ24" s="6">
        <f t="shared" ref="BZ24:EK24" si="13">BZ6/BZ20</f>
        <v>0.19700900635520216</v>
      </c>
      <c r="CA24" s="6">
        <f t="shared" si="13"/>
        <v>0.26359249841338656</v>
      </c>
      <c r="CB24" s="6">
        <f t="shared" si="13"/>
        <v>0.23817631480508095</v>
      </c>
      <c r="CC24" s="6">
        <f t="shared" si="13"/>
        <v>0.23874209691109066</v>
      </c>
      <c r="CD24" s="6">
        <f t="shared" si="13"/>
        <v>0.20634236579806095</v>
      </c>
      <c r="CE24" s="6">
        <f t="shared" si="13"/>
        <v>0.14700818646224498</v>
      </c>
      <c r="CF24" s="6">
        <f t="shared" si="13"/>
        <v>0.13011350893710608</v>
      </c>
      <c r="CG24" s="6">
        <f t="shared" si="13"/>
        <v>0.1460495538794277</v>
      </c>
      <c r="CH24" s="6">
        <f t="shared" si="13"/>
        <v>0.11396236118955259</v>
      </c>
      <c r="CI24" s="6">
        <f t="shared" si="13"/>
        <v>0.10556175997682758</v>
      </c>
      <c r="CJ24" s="6">
        <f t="shared" si="13"/>
        <v>9.2873831474856977E-2</v>
      </c>
      <c r="CK24" s="6">
        <f t="shared" si="13"/>
        <v>9.5600930674829082E-2</v>
      </c>
      <c r="CL24" s="6">
        <f t="shared" si="13"/>
        <v>8.1269090221950641E-2</v>
      </c>
      <c r="CM24" s="6">
        <f t="shared" si="13"/>
        <v>7.2169788824733128E-2</v>
      </c>
      <c r="CN24" s="6">
        <f t="shared" si="13"/>
        <v>5.8533508090694172E-2</v>
      </c>
      <c r="CO24" s="6">
        <f t="shared" si="13"/>
        <v>5.7369531897786374E-2</v>
      </c>
      <c r="CP24" s="6">
        <f t="shared" si="13"/>
        <v>5.9463559606560641E-2</v>
      </c>
      <c r="CQ24" s="6">
        <f t="shared" si="13"/>
        <v>5.7197511245722144E-2</v>
      </c>
      <c r="CR24" s="6">
        <f t="shared" si="13"/>
        <v>5.4946843684826288E-2</v>
      </c>
      <c r="CS24" s="6">
        <f t="shared" si="13"/>
        <v>5.7322298214333232E-2</v>
      </c>
      <c r="CT24" s="6">
        <f t="shared" si="13"/>
        <v>5.4128944804045925E-2</v>
      </c>
      <c r="CU24" s="6">
        <f t="shared" si="13"/>
        <v>5.0525270012394013E-2</v>
      </c>
      <c r="CV24" s="6">
        <f t="shared" si="13"/>
        <v>4.9965462598025291E-2</v>
      </c>
      <c r="CW24" s="6">
        <f t="shared" si="13"/>
        <v>5.7193730800086093E-2</v>
      </c>
      <c r="CX24" s="6">
        <f t="shared" si="13"/>
        <v>4.9005727713320603E-2</v>
      </c>
      <c r="CY24" s="6">
        <f t="shared" si="13"/>
        <v>4.2917367366214376E-2</v>
      </c>
      <c r="CZ24" s="6">
        <f t="shared" si="13"/>
        <v>4.7416600110585488E-2</v>
      </c>
      <c r="DA24" s="6">
        <f t="shared" si="13"/>
        <v>5.8131413081438855E-2</v>
      </c>
      <c r="DB24" s="6">
        <f t="shared" si="13"/>
        <v>6.5090069425329536E-2</v>
      </c>
      <c r="DC24" s="6">
        <f t="shared" si="13"/>
        <v>4.6320984636071233E-2</v>
      </c>
      <c r="DD24" s="6">
        <f t="shared" si="13"/>
        <v>5.4461909720500488E-2</v>
      </c>
      <c r="DE24" s="6">
        <f t="shared" si="13"/>
        <v>4.1644693863094349E-2</v>
      </c>
      <c r="DF24" s="6">
        <f t="shared" si="13"/>
        <v>3.350829048215348E-2</v>
      </c>
      <c r="DG24" s="6">
        <f t="shared" si="13"/>
        <v>4.0503317318691376E-2</v>
      </c>
      <c r="DH24" s="6">
        <f t="shared" si="13"/>
        <v>4.1096030415763866E-2</v>
      </c>
      <c r="DI24" s="6">
        <f t="shared" si="13"/>
        <v>5.4457813247306183E-2</v>
      </c>
      <c r="DJ24" s="6">
        <f t="shared" si="13"/>
        <v>5.8314565840896997E-2</v>
      </c>
      <c r="DK24" s="6">
        <f t="shared" si="13"/>
        <v>5.4103304556047935E-2</v>
      </c>
      <c r="DL24" s="6">
        <f t="shared" si="13"/>
        <v>4.7929393775191322E-2</v>
      </c>
      <c r="DM24" s="6">
        <f t="shared" si="13"/>
        <v>5.7414390800710237E-2</v>
      </c>
      <c r="DN24" s="6">
        <f t="shared" si="13"/>
        <v>6.7006034704988962E-2</v>
      </c>
      <c r="DO24" s="6">
        <f t="shared" si="13"/>
        <v>6.8297082950406748E-2</v>
      </c>
      <c r="DP24" s="6">
        <f t="shared" si="13"/>
        <v>8.0905539910977306E-2</v>
      </c>
      <c r="DQ24" s="6">
        <f t="shared" si="13"/>
        <v>0.10558190636975105</v>
      </c>
      <c r="DR24" s="6">
        <f t="shared" si="13"/>
        <v>0.10306340727303374</v>
      </c>
      <c r="DS24" s="6">
        <f t="shared" si="13"/>
        <v>9.5845029461598771E-2</v>
      </c>
      <c r="DT24" s="6">
        <f t="shared" si="13"/>
        <v>7.6834787881412819E-2</v>
      </c>
      <c r="DU24" s="6">
        <f t="shared" si="13"/>
        <v>7.5544976709696718E-2</v>
      </c>
      <c r="DV24" s="6">
        <f t="shared" si="13"/>
        <v>8.9627131770438379E-2</v>
      </c>
      <c r="DW24" s="6">
        <f t="shared" si="13"/>
        <v>6.8577158070968286E-2</v>
      </c>
      <c r="DX24" s="6">
        <f t="shared" si="13"/>
        <v>7.2488363314880844E-2</v>
      </c>
      <c r="DY24" s="6">
        <f t="shared" si="13"/>
        <v>8.7604320485805784E-2</v>
      </c>
      <c r="DZ24" s="6">
        <f t="shared" si="13"/>
        <v>9.1678586165684237E-2</v>
      </c>
      <c r="EA24" s="6">
        <f t="shared" si="13"/>
        <v>8.5968374045509457E-2</v>
      </c>
      <c r="EB24" s="6">
        <f t="shared" si="13"/>
        <v>9.4461113022480808E-2</v>
      </c>
      <c r="EC24" s="6">
        <f t="shared" si="13"/>
        <v>9.1793676127649465E-2</v>
      </c>
      <c r="ED24" s="6">
        <f t="shared" si="13"/>
        <v>0.11551455424899858</v>
      </c>
      <c r="EE24" s="6">
        <f t="shared" si="13"/>
        <v>0.12926530259660399</v>
      </c>
      <c r="EF24" s="6">
        <f t="shared" si="13"/>
        <v>9.1129809933164913E-2</v>
      </c>
      <c r="EG24" s="6">
        <f t="shared" si="13"/>
        <v>9.77912209874853E-2</v>
      </c>
      <c r="EH24" s="6">
        <f t="shared" si="13"/>
        <v>0.10621167228901209</v>
      </c>
      <c r="EI24" s="6">
        <f t="shared" si="13"/>
        <v>0.10948554888146389</v>
      </c>
      <c r="EJ24" s="6">
        <f t="shared" si="13"/>
        <v>0.14765557712398691</v>
      </c>
      <c r="EK24" s="6">
        <f t="shared" si="13"/>
        <v>0.10305783543588977</v>
      </c>
      <c r="EL24" s="6">
        <f t="shared" ref="EL24:ET24" si="14">EL6/EL20</f>
        <v>0.1218629492407972</v>
      </c>
      <c r="EM24" s="6">
        <f t="shared" si="14"/>
        <v>0.14510948044676275</v>
      </c>
      <c r="EN24" s="6">
        <f t="shared" si="14"/>
        <v>0.13013484740951028</v>
      </c>
      <c r="EO24" s="6">
        <f t="shared" si="14"/>
        <v>0.12816242366563566</v>
      </c>
      <c r="EP24" s="6">
        <f t="shared" si="14"/>
        <v>0.15314248566320726</v>
      </c>
      <c r="EQ24" s="6">
        <f t="shared" si="14"/>
        <v>0.13946858978450019</v>
      </c>
      <c r="ER24" s="6">
        <f t="shared" si="14"/>
        <v>0.16765766643922408</v>
      </c>
      <c r="ES24" s="6">
        <f t="shared" si="14"/>
        <v>0.10579111991264274</v>
      </c>
      <c r="ET24" s="6">
        <f t="shared" si="14"/>
        <v>0.12172065469866936</v>
      </c>
      <c r="EU24" s="6">
        <f t="shared" ref="EU24:EW24" si="15">EU6/EU19</f>
        <v>0</v>
      </c>
      <c r="EV24" s="6">
        <f t="shared" si="15"/>
        <v>0</v>
      </c>
      <c r="EW24" s="6">
        <f t="shared" si="15"/>
        <v>0</v>
      </c>
    </row>
    <row r="25" spans="1:153">
      <c r="A25" t="s">
        <v>13</v>
      </c>
      <c r="AX25" s="6">
        <f t="shared" ref="AX25:BP25" si="16">SUM(AX6:AX7)/AX21</f>
        <v>0</v>
      </c>
      <c r="AY25" s="6">
        <f t="shared" si="16"/>
        <v>4.5162393162393163E-2</v>
      </c>
      <c r="AZ25" s="6">
        <f t="shared" si="16"/>
        <v>0.1009921875</v>
      </c>
      <c r="BA25" s="6">
        <f t="shared" si="16"/>
        <v>0.18457423580786025</v>
      </c>
      <c r="BB25" s="6">
        <f t="shared" si="16"/>
        <v>0.11911832946635731</v>
      </c>
      <c r="BC25" s="6">
        <f t="shared" si="16"/>
        <v>0.12739956172388606</v>
      </c>
      <c r="BD25" s="6">
        <f t="shared" si="16"/>
        <v>0.13541522491349481</v>
      </c>
      <c r="BE25" s="6">
        <f t="shared" si="16"/>
        <v>0.15408547794117647</v>
      </c>
      <c r="BF25" s="6">
        <f t="shared" si="16"/>
        <v>0.17500209292591043</v>
      </c>
      <c r="BG25" s="6">
        <f t="shared" si="16"/>
        <v>0.25003539823008847</v>
      </c>
      <c r="BH25" s="6">
        <f t="shared" si="16"/>
        <v>0.21122216724393864</v>
      </c>
      <c r="BI25" s="6">
        <f t="shared" si="16"/>
        <v>0.27288200108754757</v>
      </c>
      <c r="BJ25" s="6">
        <f t="shared" si="16"/>
        <v>0.27645418326693227</v>
      </c>
      <c r="BK25" s="6">
        <f t="shared" si="16"/>
        <v>0.22250872817955111</v>
      </c>
      <c r="BL25" s="6">
        <f t="shared" si="16"/>
        <v>0.20408477119279819</v>
      </c>
      <c r="BM25" s="6">
        <f t="shared" si="16"/>
        <v>0.24494682467335158</v>
      </c>
      <c r="BN25" s="6">
        <f t="shared" si="16"/>
        <v>0.23292397660818714</v>
      </c>
      <c r="BO25" s="6">
        <f t="shared" si="16"/>
        <v>0.22778965616873736</v>
      </c>
      <c r="BP25" s="6">
        <f t="shared" si="16"/>
        <v>0.20466528436018958</v>
      </c>
      <c r="BQ25" s="6">
        <f t="shared" ref="BQ25:BW25" si="17">SUM(BQ5)/BQ21</f>
        <v>0.19997593261131166</v>
      </c>
      <c r="BR25" s="6">
        <f t="shared" si="17"/>
        <v>0.19996122448979592</v>
      </c>
      <c r="BS25" s="6">
        <f t="shared" si="17"/>
        <v>0.19999058823529411</v>
      </c>
      <c r="BT25" s="6">
        <f t="shared" si="17"/>
        <v>0.17375510204081634</v>
      </c>
      <c r="BU25" s="6">
        <f t="shared" si="17"/>
        <v>8.0666666666666678E-2</v>
      </c>
      <c r="BV25" s="6">
        <f t="shared" si="17"/>
        <v>0.12475862068965518</v>
      </c>
      <c r="BW25" s="6">
        <f t="shared" si="17"/>
        <v>0.15578181818181819</v>
      </c>
      <c r="BX25" s="6">
        <f>SUM(BX5)/BX21</f>
        <v>2.778846153846154E-2</v>
      </c>
      <c r="BY25" s="6">
        <f>SUM(BY6:BY7)/BY21</f>
        <v>0.10778959575961544</v>
      </c>
      <c r="BZ25" s="6">
        <f t="shared" ref="BZ25:EJ25" si="18">SUM(BZ6:BZ7)/BZ21</f>
        <v>0.14540395544450149</v>
      </c>
      <c r="CA25" s="6">
        <f t="shared" si="18"/>
        <v>0.17700163977263011</v>
      </c>
      <c r="CB25" s="6">
        <f t="shared" si="18"/>
        <v>0.15876751931834446</v>
      </c>
      <c r="CC25" s="6">
        <f t="shared" si="18"/>
        <v>0.15999820063178549</v>
      </c>
      <c r="CD25" s="6">
        <f t="shared" si="18"/>
        <v>0.14193153991070698</v>
      </c>
      <c r="CE25" s="6">
        <f>SUM(CE6:CE7)/CE21</f>
        <v>0.12289937030074108</v>
      </c>
      <c r="CF25" s="6">
        <f t="shared" si="18"/>
        <v>0.11071633188834852</v>
      </c>
      <c r="CG25" s="6">
        <f t="shared" si="18"/>
        <v>0.10800463572086036</v>
      </c>
      <c r="CH25" s="6">
        <f t="shared" si="18"/>
        <v>0.10745093425584284</v>
      </c>
      <c r="CI25" s="6">
        <f t="shared" si="18"/>
        <v>0.1089279605812373</v>
      </c>
      <c r="CJ25" s="6">
        <f t="shared" si="18"/>
        <v>0.10267832596755236</v>
      </c>
      <c r="CK25" s="6">
        <f t="shared" si="18"/>
        <v>0.11461940722275836</v>
      </c>
      <c r="CL25" s="6">
        <f t="shared" si="18"/>
        <v>0.1049611617325418</v>
      </c>
      <c r="CM25" s="6">
        <f t="shared" si="18"/>
        <v>9.8106947519855853E-2</v>
      </c>
      <c r="CN25" s="6">
        <f t="shared" si="18"/>
        <v>9.2810826050183259E-2</v>
      </c>
      <c r="CO25" s="6">
        <f t="shared" si="18"/>
        <v>9.2447046803159502E-2</v>
      </c>
      <c r="CP25" s="6">
        <f t="shared" si="18"/>
        <v>9.7849527136919467E-2</v>
      </c>
      <c r="CQ25" s="6">
        <f t="shared" si="18"/>
        <v>8.5743203696697481E-2</v>
      </c>
      <c r="CR25" s="6">
        <f t="shared" si="18"/>
        <v>9.1280923584387025E-2</v>
      </c>
      <c r="CS25" s="6">
        <f t="shared" si="18"/>
        <v>9.7345241647925324E-2</v>
      </c>
      <c r="CT25" s="6">
        <f t="shared" si="18"/>
        <v>9.6491826320050059E-2</v>
      </c>
      <c r="CU25" s="6">
        <f t="shared" si="18"/>
        <v>9.5266837829486015E-2</v>
      </c>
      <c r="CV25" s="6">
        <f t="shared" si="18"/>
        <v>0.11066515828946423</v>
      </c>
      <c r="CW25" s="6">
        <f t="shared" si="18"/>
        <v>0.13068536858677857</v>
      </c>
      <c r="CX25" s="6">
        <f t="shared" si="18"/>
        <v>0.11730974457056532</v>
      </c>
      <c r="CY25" s="6">
        <f t="shared" si="18"/>
        <v>0.10605930574885915</v>
      </c>
      <c r="CZ25" s="6">
        <f t="shared" si="18"/>
        <v>0.1012344061007675</v>
      </c>
      <c r="DA25" s="6">
        <f t="shared" si="18"/>
        <v>0.12869930170484672</v>
      </c>
      <c r="DB25" s="6">
        <f t="shared" si="18"/>
        <v>0.11844438516100685</v>
      </c>
      <c r="DC25" s="6">
        <f t="shared" si="18"/>
        <v>0.12352382032756618</v>
      </c>
      <c r="DD25" s="6">
        <f t="shared" si="18"/>
        <v>0.12555720653789004</v>
      </c>
      <c r="DE25" s="6">
        <f t="shared" si="18"/>
        <v>0.11346927213655111</v>
      </c>
      <c r="DF25" s="6">
        <f t="shared" si="18"/>
        <v>0.10864581249711498</v>
      </c>
      <c r="DG25" s="6">
        <f t="shared" si="18"/>
        <v>0.11657582202195427</v>
      </c>
      <c r="DH25" s="6">
        <f t="shared" si="18"/>
        <v>0.11765740148481385</v>
      </c>
      <c r="DI25" s="6">
        <f t="shared" si="18"/>
        <v>9.9222677923579666E-2</v>
      </c>
      <c r="DJ25" s="6">
        <f t="shared" si="18"/>
        <v>8.361876151542208E-2</v>
      </c>
      <c r="DK25" s="6">
        <f t="shared" si="18"/>
        <v>7.0155828597141381E-2</v>
      </c>
      <c r="DL25" s="6">
        <f t="shared" si="18"/>
        <v>6.09969153897598E-2</v>
      </c>
      <c r="DM25" s="6">
        <f t="shared" si="18"/>
        <v>6.4787774364278752E-2</v>
      </c>
      <c r="DN25" s="6">
        <f t="shared" si="18"/>
        <v>7.0089571592174243E-2</v>
      </c>
      <c r="DO25" s="6">
        <f t="shared" si="18"/>
        <v>7.2014300572662199E-2</v>
      </c>
      <c r="DP25" s="6">
        <f t="shared" si="18"/>
        <v>8.5596661875322722E-2</v>
      </c>
      <c r="DQ25" s="6">
        <f t="shared" si="18"/>
        <v>0.11296226176953174</v>
      </c>
      <c r="DR25" s="6">
        <f t="shared" si="18"/>
        <v>0.11033959246193521</v>
      </c>
      <c r="DS25" s="6">
        <f t="shared" si="18"/>
        <v>0.10030895286413971</v>
      </c>
      <c r="DT25" s="6">
        <f t="shared" si="18"/>
        <v>9.0109970360233493E-2</v>
      </c>
      <c r="DU25" s="6">
        <f t="shared" si="18"/>
        <v>9.2202513213327064E-2</v>
      </c>
      <c r="DV25" s="6">
        <f t="shared" si="18"/>
        <v>9.495924206630614E-2</v>
      </c>
      <c r="DW25" s="6">
        <f t="shared" si="18"/>
        <v>8.6734922686799915E-2</v>
      </c>
      <c r="DX25" s="6">
        <f t="shared" si="18"/>
        <v>8.5164601640956725E-2</v>
      </c>
      <c r="DY25" s="6">
        <f t="shared" si="18"/>
        <v>9.6066168370027627E-2</v>
      </c>
      <c r="DZ25" s="6">
        <f t="shared" si="18"/>
        <v>9.8981855108094388E-2</v>
      </c>
      <c r="EA25" s="6">
        <f t="shared" si="18"/>
        <v>9.9763219041281367E-2</v>
      </c>
      <c r="EB25" s="6">
        <f t="shared" si="18"/>
        <v>0.10714302976611359</v>
      </c>
      <c r="EC25" s="6">
        <f t="shared" si="18"/>
        <v>0.10841034869599114</v>
      </c>
      <c r="ED25" s="6">
        <f t="shared" si="18"/>
        <v>0.12030322160761599</v>
      </c>
      <c r="EE25" s="6">
        <f t="shared" si="18"/>
        <v>0.14831715012196145</v>
      </c>
      <c r="EF25" s="6">
        <f t="shared" si="18"/>
        <v>0.10435395117579804</v>
      </c>
      <c r="EG25" s="6">
        <f t="shared" si="18"/>
        <v>0.11830575123729525</v>
      </c>
      <c r="EH25" s="6">
        <f t="shared" si="18"/>
        <v>0.12504587971540601</v>
      </c>
      <c r="EI25" s="6">
        <f t="shared" si="18"/>
        <v>0.12802630587587707</v>
      </c>
      <c r="EJ25" s="6">
        <f t="shared" si="18"/>
        <v>0.14926495548515276</v>
      </c>
      <c r="EK25" s="6">
        <f>SUM(EK6:EK7)/EK21</f>
        <v>0.10586714550924411</v>
      </c>
      <c r="EL25" s="6">
        <f>SUM(EL6:EL7)/EL21</f>
        <v>0.1205824309624289</v>
      </c>
      <c r="EM25" s="6">
        <f>SUM(EM6:EM7)/EM21</f>
        <v>0.16057199077724954</v>
      </c>
      <c r="EN25" s="6">
        <f t="shared" ref="EN25:EW25" si="19">SUM(EN6:EN7)/EN21</f>
        <v>0.12651904839982764</v>
      </c>
      <c r="EO25" s="6">
        <f t="shared" si="19"/>
        <v>0.11953898623248507</v>
      </c>
      <c r="EP25" s="6">
        <f t="shared" si="19"/>
        <v>0.16158081443225519</v>
      </c>
      <c r="EQ25" s="6">
        <f t="shared" si="19"/>
        <v>0.13416743146472876</v>
      </c>
      <c r="ER25" s="6">
        <f t="shared" si="19"/>
        <v>0.15371916712365941</v>
      </c>
      <c r="ES25" s="6">
        <f t="shared" si="19"/>
        <v>9.6425002485180475E-2</v>
      </c>
      <c r="ET25" s="6">
        <f t="shared" si="19"/>
        <v>0.11101859561476547</v>
      </c>
      <c r="EU25" s="6" t="e">
        <f t="shared" si="19"/>
        <v>#DIV/0!</v>
      </c>
      <c r="EV25" s="6" t="e">
        <f t="shared" si="19"/>
        <v>#DIV/0!</v>
      </c>
      <c r="EW25" s="6" t="e">
        <f t="shared" si="19"/>
        <v>#DIV/0!</v>
      </c>
    </row>
    <row r="30" spans="1:153">
      <c r="A30" t="s">
        <v>14</v>
      </c>
      <c r="EK30">
        <v>137966.176791059</v>
      </c>
      <c r="EL30">
        <v>139883.59088570898</v>
      </c>
      <c r="EM30">
        <v>127719</v>
      </c>
      <c r="EN30">
        <v>125516.5</v>
      </c>
      <c r="EO30">
        <v>147242.75</v>
      </c>
      <c r="EP30">
        <v>144004.25</v>
      </c>
      <c r="EQ30">
        <v>153553</v>
      </c>
      <c r="ER30">
        <v>169991</v>
      </c>
      <c r="ES30">
        <v>185313</v>
      </c>
      <c r="ET30">
        <v>192095</v>
      </c>
    </row>
    <row r="31" spans="1:153" ht="15.75">
      <c r="A31" t="s">
        <v>15</v>
      </c>
      <c r="EK31" s="7">
        <v>5610</v>
      </c>
      <c r="EL31" s="7">
        <v>5660</v>
      </c>
      <c r="EM31" s="7">
        <v>5430</v>
      </c>
      <c r="EN31" s="7">
        <v>5610</v>
      </c>
      <c r="EO31" s="7">
        <v>6180</v>
      </c>
      <c r="EP31" s="7">
        <v>6880</v>
      </c>
      <c r="EQ31" s="7">
        <v>6620</v>
      </c>
      <c r="ER31" s="7">
        <v>6890</v>
      </c>
      <c r="ES31" s="7">
        <v>5820</v>
      </c>
      <c r="ET31" s="7">
        <v>6070</v>
      </c>
    </row>
    <row r="33" spans="1:1">
      <c r="A33" s="8" t="s">
        <v>16</v>
      </c>
    </row>
    <row r="34" spans="1:1">
      <c r="A34" s="8" t="s">
        <v>17</v>
      </c>
    </row>
    <row r="35" spans="1:1">
      <c r="A35" t="s">
        <v>18</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F8246D3F7C2B47A494A339FDF5CC4A" ma:contentTypeVersion="18" ma:contentTypeDescription="Create a new document." ma:contentTypeScope="" ma:versionID="0ce096518759c6da43d5eeaaf714cf61">
  <xsd:schema xmlns:xsd="http://www.w3.org/2001/XMLSchema" xmlns:xs="http://www.w3.org/2001/XMLSchema" xmlns:p="http://schemas.microsoft.com/office/2006/metadata/properties" xmlns:ns2="7a436561-34c6-48a8-833e-99c650fd3fe3" xmlns:ns3="25475540-9773-43a3-8df6-094be5ca1716" targetNamespace="http://schemas.microsoft.com/office/2006/metadata/properties" ma:root="true" ma:fieldsID="836b862547399ebb80cc78f9563635b2" ns2:_="" ns3:_="">
    <xsd:import namespace="7a436561-34c6-48a8-833e-99c650fd3fe3"/>
    <xsd:import namespace="25475540-9773-43a3-8df6-094be5ca171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436561-34c6-48a8-833e-99c650fd3f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e321298-61a5-4500-88b3-c95152561dc3"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5475540-9773-43a3-8df6-094be5ca171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c7a071af-2787-4fad-b13c-c768b2278048}" ma:internalName="TaxCatchAll" ma:showField="CatchAllData" ma:web="25475540-9773-43a3-8df6-094be5ca17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a436561-34c6-48a8-833e-99c650fd3fe3">
      <Terms xmlns="http://schemas.microsoft.com/office/infopath/2007/PartnerControls"/>
    </lcf76f155ced4ddcb4097134ff3c332f>
    <TaxCatchAll xmlns="25475540-9773-43a3-8df6-094be5ca1716" xsi:nil="true"/>
  </documentManagement>
</p:properties>
</file>

<file path=customXml/itemProps1.xml><?xml version="1.0" encoding="utf-8"?>
<ds:datastoreItem xmlns:ds="http://schemas.openxmlformats.org/officeDocument/2006/customXml" ds:itemID="{859BFC0A-451C-41B9-A61F-A4F0BADC0836}"/>
</file>

<file path=customXml/itemProps2.xml><?xml version="1.0" encoding="utf-8"?>
<ds:datastoreItem xmlns:ds="http://schemas.openxmlformats.org/officeDocument/2006/customXml" ds:itemID="{A6A97B1B-79A5-48B0-8B23-0B21BAB7E2D0}"/>
</file>

<file path=customXml/itemProps3.xml><?xml version="1.0" encoding="utf-8"?>
<ds:datastoreItem xmlns:ds="http://schemas.openxmlformats.org/officeDocument/2006/customXml" ds:itemID="{5F6AA8BC-6FE8-40F1-818B-166919585DBA}"/>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london_22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Anthony Breach</dc:creator>
  <cp:lastModifiedBy>Anthony Breach</cp:lastModifiedBy>
  <dcterms:created xsi:type="dcterms:W3CDTF">2025-06-25T08:52:29Z</dcterms:created>
  <dcterms:modified xsi:type="dcterms:W3CDTF">2025-06-25T08:56:13Z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0x01010005F8246D3F7C2B47A494A339FDF5CC4A</vt:lpwstr>
  </property>
</Properties>
</file>