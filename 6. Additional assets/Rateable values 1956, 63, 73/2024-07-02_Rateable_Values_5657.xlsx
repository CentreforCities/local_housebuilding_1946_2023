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eforcities.sharepoint.com/sites/CentreForCities3/Shared Documents/Research/Housing/History of Planning 2/Data/Input/Rateable values/Rateable Values 1933-1973, selected years/Data entered RVs 1933 1973/"/>
    </mc:Choice>
  </mc:AlternateContent>
  <xr:revisionPtr revIDLastSave="1245" documentId="8_{096FE3ED-64ED-4646-BE13-B96214163C7A}" xr6:coauthVersionLast="47" xr6:coauthVersionMax="47" xr10:uidLastSave="{4676E2D8-35A8-4705-9E31-0DE71B0BB042}"/>
  <bookViews>
    <workbookView xWindow="-108" yWindow="-108" windowWidth="41496" windowHeight="16776" xr2:uid="{27EB727F-D22D-42ED-B7BE-67836271C9BA}"/>
  </bookViews>
  <sheets>
    <sheet name="Table A" sheetId="1" r:id="rId1"/>
    <sheet name="Table H" sheetId="6" r:id="rId2"/>
    <sheet name="Lookup 196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6" i="1" l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" i="1"/>
  <c r="V4" i="1"/>
  <c r="S4" i="1"/>
  <c r="Q1289" i="1" l="1"/>
  <c r="R1289" i="1" s="1"/>
  <c r="S1289" i="1"/>
  <c r="V1289" i="1" s="1"/>
  <c r="S1288" i="1"/>
  <c r="V1288" i="1" s="1"/>
  <c r="S1208" i="1"/>
  <c r="V1208" i="1" s="1"/>
  <c r="Q1208" i="1"/>
  <c r="R1208" i="1" s="1"/>
  <c r="W734" i="1"/>
  <c r="V734" i="1"/>
  <c r="S1214" i="1"/>
  <c r="V1214" i="1" s="1"/>
  <c r="Q1214" i="1"/>
  <c r="R1214" i="1" s="1"/>
  <c r="Q1215" i="1"/>
  <c r="R1215" i="1" s="1"/>
  <c r="Q1216" i="1"/>
  <c r="R1216" i="1" s="1"/>
  <c r="Q1217" i="1"/>
  <c r="R121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R985" i="1" s="1"/>
  <c r="Q986" i="1"/>
  <c r="R986" i="1" s="1"/>
  <c r="Q987" i="1"/>
  <c r="R987" i="1" s="1"/>
  <c r="Q988" i="1"/>
  <c r="R988" i="1" s="1"/>
  <c r="Q989" i="1"/>
  <c r="R989" i="1" s="1"/>
  <c r="Q990" i="1"/>
  <c r="R990" i="1" s="1"/>
  <c r="Q991" i="1"/>
  <c r="R991" i="1" s="1"/>
  <c r="Q992" i="1"/>
  <c r="R992" i="1" s="1"/>
  <c r="Q993" i="1"/>
  <c r="R993" i="1" s="1"/>
  <c r="Q994" i="1"/>
  <c r="R994" i="1" s="1"/>
  <c r="Q995" i="1"/>
  <c r="R995" i="1" s="1"/>
  <c r="Q996" i="1"/>
  <c r="R996" i="1" s="1"/>
  <c r="Q997" i="1"/>
  <c r="R997" i="1" s="1"/>
  <c r="Q998" i="1"/>
  <c r="R998" i="1" s="1"/>
  <c r="Q999" i="1"/>
  <c r="R999" i="1" s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R1009" i="1" s="1"/>
  <c r="Q1010" i="1"/>
  <c r="R1010" i="1" s="1"/>
  <c r="Q1011" i="1"/>
  <c r="R1011" i="1" s="1"/>
  <c r="Q1012" i="1"/>
  <c r="R1012" i="1" s="1"/>
  <c r="Q1013" i="1"/>
  <c r="R1013" i="1" s="1"/>
  <c r="Q1014" i="1"/>
  <c r="R1014" i="1" s="1"/>
  <c r="Q1015" i="1"/>
  <c r="R1015" i="1" s="1"/>
  <c r="Q1016" i="1"/>
  <c r="R1016" i="1" s="1"/>
  <c r="Q1017" i="1"/>
  <c r="R1017" i="1" s="1"/>
  <c r="Q1018" i="1"/>
  <c r="R1018" i="1" s="1"/>
  <c r="Q1019" i="1"/>
  <c r="R1019" i="1" s="1"/>
  <c r="Q1020" i="1"/>
  <c r="R1020" i="1" s="1"/>
  <c r="Q1021" i="1"/>
  <c r="R1021" i="1" s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R1030" i="1" s="1"/>
  <c r="Q1031" i="1"/>
  <c r="R1031" i="1" s="1"/>
  <c r="Q964" i="1"/>
  <c r="R964" i="1" s="1"/>
  <c r="Q965" i="1"/>
  <c r="R965" i="1" s="1"/>
  <c r="Q966" i="1"/>
  <c r="R966" i="1" s="1"/>
  <c r="Q967" i="1"/>
  <c r="R967" i="1" s="1"/>
  <c r="Q968" i="1"/>
  <c r="R968" i="1" s="1"/>
  <c r="Q969" i="1"/>
  <c r="R969" i="1" s="1"/>
  <c r="Q970" i="1"/>
  <c r="R970" i="1" s="1"/>
  <c r="Q971" i="1"/>
  <c r="R971" i="1" s="1"/>
  <c r="Q972" i="1"/>
  <c r="R972" i="1" s="1"/>
  <c r="Q973" i="1"/>
  <c r="R973" i="1" s="1"/>
  <c r="Q974" i="1"/>
  <c r="R974" i="1" s="1"/>
  <c r="Q975" i="1"/>
  <c r="R975" i="1" s="1"/>
  <c r="Q977" i="1"/>
  <c r="R977" i="1" s="1"/>
  <c r="Q963" i="1"/>
  <c r="R963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47" i="1"/>
  <c r="R947" i="1" s="1"/>
  <c r="Q948" i="1"/>
  <c r="R948" i="1" s="1"/>
  <c r="Q949" i="1"/>
  <c r="R949" i="1" s="1"/>
  <c r="Q951" i="1"/>
  <c r="R951" i="1" s="1"/>
  <c r="Q946" i="1"/>
  <c r="R946" i="1" s="1"/>
  <c r="Q939" i="1"/>
  <c r="R939" i="1" s="1"/>
  <c r="Q940" i="1"/>
  <c r="R940" i="1" s="1"/>
  <c r="Q941" i="1"/>
  <c r="R941" i="1" s="1"/>
  <c r="Q942" i="1"/>
  <c r="R942" i="1" s="1"/>
  <c r="Q943" i="1"/>
  <c r="R943" i="1" s="1"/>
  <c r="Q935" i="1"/>
  <c r="R935" i="1" s="1"/>
  <c r="Q936" i="1"/>
  <c r="R936" i="1" s="1"/>
  <c r="Q938" i="1"/>
  <c r="R938" i="1" s="1"/>
  <c r="Q934" i="1"/>
  <c r="R934" i="1" s="1"/>
  <c r="Q929" i="1"/>
  <c r="R929" i="1" s="1"/>
  <c r="Q930" i="1"/>
  <c r="R930" i="1" s="1"/>
  <c r="Q931" i="1"/>
  <c r="R931" i="1" s="1"/>
  <c r="Q921" i="1"/>
  <c r="R921" i="1" s="1"/>
  <c r="Q922" i="1"/>
  <c r="R922" i="1" s="1"/>
  <c r="Q923" i="1"/>
  <c r="R923" i="1" s="1"/>
  <c r="Q924" i="1"/>
  <c r="R924" i="1" s="1"/>
  <c r="Q925" i="1"/>
  <c r="R925" i="1" s="1"/>
  <c r="Q926" i="1"/>
  <c r="R926" i="1" s="1"/>
  <c r="Q920" i="1"/>
  <c r="R920" i="1" s="1"/>
  <c r="Q928" i="1"/>
  <c r="R928" i="1" s="1"/>
  <c r="Q914" i="1"/>
  <c r="R914" i="1" s="1"/>
  <c r="Q915" i="1"/>
  <c r="R915" i="1" s="1"/>
  <c r="Q916" i="1"/>
  <c r="R916" i="1" s="1"/>
  <c r="Q917" i="1"/>
  <c r="R917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3" i="1"/>
  <c r="R913" i="1" s="1"/>
  <c r="Q904" i="1"/>
  <c r="R904" i="1" s="1"/>
  <c r="Q901" i="1"/>
  <c r="R901" i="1" s="1"/>
  <c r="Q898" i="1"/>
  <c r="R898" i="1" s="1"/>
  <c r="Q900" i="1"/>
  <c r="R900" i="1" s="1"/>
  <c r="Q897" i="1"/>
  <c r="R897" i="1" s="1"/>
  <c r="Q894" i="1"/>
  <c r="R894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R891" i="1" s="1"/>
  <c r="Q893" i="1"/>
  <c r="R893" i="1" s="1"/>
  <c r="Q885" i="1"/>
  <c r="R885" i="1" s="1"/>
  <c r="Q878" i="1"/>
  <c r="R878" i="1" s="1"/>
  <c r="Q879" i="1"/>
  <c r="R879" i="1" s="1"/>
  <c r="Q880" i="1"/>
  <c r="R880" i="1" s="1"/>
  <c r="Q881" i="1"/>
  <c r="R881" i="1" s="1"/>
  <c r="Q882" i="1"/>
  <c r="R882" i="1" s="1"/>
  <c r="Q874" i="1"/>
  <c r="R874" i="1" s="1"/>
  <c r="Q875" i="1"/>
  <c r="R875" i="1" s="1"/>
  <c r="Q877" i="1"/>
  <c r="R877" i="1" s="1"/>
  <c r="Q873" i="1"/>
  <c r="R873" i="1" s="1"/>
  <c r="Q866" i="1"/>
  <c r="R866" i="1" s="1"/>
  <c r="Q867" i="1"/>
  <c r="R867" i="1" s="1"/>
  <c r="Q868" i="1"/>
  <c r="R868" i="1" s="1"/>
  <c r="Q869" i="1"/>
  <c r="R869" i="1" s="1"/>
  <c r="Q870" i="1"/>
  <c r="R870" i="1" s="1"/>
  <c r="Q861" i="1"/>
  <c r="R861" i="1" s="1"/>
  <c r="Q862" i="1"/>
  <c r="R862" i="1" s="1"/>
  <c r="Q863" i="1"/>
  <c r="R863" i="1" s="1"/>
  <c r="Q860" i="1"/>
  <c r="R860" i="1" s="1"/>
  <c r="Q865" i="1"/>
  <c r="R865" i="1" s="1"/>
  <c r="Q844" i="1"/>
  <c r="R844" i="1" s="1"/>
  <c r="Q845" i="1"/>
  <c r="R845" i="1" s="1"/>
  <c r="Q846" i="1"/>
  <c r="R846" i="1" s="1"/>
  <c r="Q847" i="1"/>
  <c r="R847" i="1" s="1"/>
  <c r="Q848" i="1"/>
  <c r="R848" i="1" s="1"/>
  <c r="Q849" i="1"/>
  <c r="R849" i="1" s="1"/>
  <c r="Q850" i="1"/>
  <c r="R850" i="1" s="1"/>
  <c r="Q851" i="1"/>
  <c r="R851" i="1" s="1"/>
  <c r="Q852" i="1"/>
  <c r="R852" i="1" s="1"/>
  <c r="Q853" i="1"/>
  <c r="R853" i="1" s="1"/>
  <c r="Q854" i="1"/>
  <c r="R854" i="1" s="1"/>
  <c r="Q855" i="1"/>
  <c r="R855" i="1" s="1"/>
  <c r="Q856" i="1"/>
  <c r="R856" i="1" s="1"/>
  <c r="Q857" i="1"/>
  <c r="R857" i="1" s="1"/>
  <c r="Q830" i="1"/>
  <c r="R830" i="1" s="1"/>
  <c r="Q831" i="1"/>
  <c r="R831" i="1" s="1"/>
  <c r="Q832" i="1"/>
  <c r="R832" i="1" s="1"/>
  <c r="Q833" i="1"/>
  <c r="R833" i="1" s="1"/>
  <c r="Q834" i="1"/>
  <c r="R834" i="1" s="1"/>
  <c r="Q835" i="1"/>
  <c r="R835" i="1" s="1"/>
  <c r="Q836" i="1"/>
  <c r="R836" i="1" s="1"/>
  <c r="Q837" i="1"/>
  <c r="R837" i="1" s="1"/>
  <c r="Q838" i="1"/>
  <c r="R838" i="1" s="1"/>
  <c r="Q839" i="1"/>
  <c r="R839" i="1" s="1"/>
  <c r="Q840" i="1"/>
  <c r="R840" i="1" s="1"/>
  <c r="Q841" i="1"/>
  <c r="R841" i="1" s="1"/>
  <c r="Q843" i="1"/>
  <c r="R843" i="1" s="1"/>
  <c r="Q829" i="1"/>
  <c r="R829" i="1" s="1"/>
  <c r="Q825" i="1"/>
  <c r="R825" i="1" s="1"/>
  <c r="Q826" i="1"/>
  <c r="R826" i="1" s="1"/>
  <c r="Q822" i="1"/>
  <c r="R822" i="1" s="1"/>
  <c r="Q821" i="1"/>
  <c r="R821" i="1" s="1"/>
  <c r="Q824" i="1"/>
  <c r="R824" i="1" s="1"/>
  <c r="Q813" i="1"/>
  <c r="R813" i="1" s="1"/>
  <c r="Q814" i="1"/>
  <c r="R814" i="1" s="1"/>
  <c r="Q815" i="1"/>
  <c r="R815" i="1" s="1"/>
  <c r="Q816" i="1"/>
  <c r="R816" i="1" s="1"/>
  <c r="Q817" i="1"/>
  <c r="R817" i="1" s="1"/>
  <c r="Q818" i="1"/>
  <c r="R818" i="1" s="1"/>
  <c r="Q807" i="1"/>
  <c r="R807" i="1" s="1"/>
  <c r="Q808" i="1"/>
  <c r="R808" i="1" s="1"/>
  <c r="Q809" i="1"/>
  <c r="R809" i="1" s="1"/>
  <c r="Q810" i="1"/>
  <c r="R810" i="1" s="1"/>
  <c r="Q812" i="1"/>
  <c r="R812" i="1" s="1"/>
  <c r="Q806" i="1"/>
  <c r="R806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R793" i="1" s="1"/>
  <c r="Q794" i="1"/>
  <c r="R794" i="1" s="1"/>
  <c r="Q795" i="1"/>
  <c r="R795" i="1" s="1"/>
  <c r="Q796" i="1"/>
  <c r="R796" i="1" s="1"/>
  <c r="Q797" i="1"/>
  <c r="R797" i="1" s="1"/>
  <c r="Q798" i="1"/>
  <c r="R798" i="1" s="1"/>
  <c r="Q799" i="1"/>
  <c r="R799" i="1" s="1"/>
  <c r="Q800" i="1"/>
  <c r="R800" i="1" s="1"/>
  <c r="Q801" i="1"/>
  <c r="R801" i="1" s="1"/>
  <c r="Q802" i="1"/>
  <c r="R802" i="1" s="1"/>
  <c r="Q803" i="1"/>
  <c r="R803" i="1" s="1"/>
  <c r="Q779" i="1"/>
  <c r="R779" i="1" s="1"/>
  <c r="Q780" i="1"/>
  <c r="R780" i="1" s="1"/>
  <c r="Q781" i="1"/>
  <c r="R781" i="1" s="1"/>
  <c r="Q782" i="1"/>
  <c r="R782" i="1" s="1"/>
  <c r="Q783" i="1"/>
  <c r="R783" i="1" s="1"/>
  <c r="Q784" i="1"/>
  <c r="R784" i="1" s="1"/>
  <c r="Q785" i="1"/>
  <c r="R785" i="1" s="1"/>
  <c r="Q787" i="1"/>
  <c r="R787" i="1" s="1"/>
  <c r="Q778" i="1"/>
  <c r="R778" i="1" s="1"/>
  <c r="Q771" i="1"/>
  <c r="R771" i="1" s="1"/>
  <c r="Q772" i="1"/>
  <c r="R772" i="1" s="1"/>
  <c r="Q773" i="1"/>
  <c r="R773" i="1" s="1"/>
  <c r="Q774" i="1"/>
  <c r="R774" i="1" s="1"/>
  <c r="Q775" i="1"/>
  <c r="R775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0" i="1"/>
  <c r="R760" i="1" s="1"/>
  <c r="Q770" i="1"/>
  <c r="R770" i="1" s="1"/>
  <c r="Q746" i="1"/>
  <c r="R746" i="1" s="1"/>
  <c r="Q747" i="1"/>
  <c r="R747" i="1" s="1"/>
  <c r="Q748" i="1"/>
  <c r="R748" i="1" s="1"/>
  <c r="Q749" i="1"/>
  <c r="R749" i="1" s="1"/>
  <c r="Q750" i="1"/>
  <c r="R750" i="1" s="1"/>
  <c r="Q751" i="1"/>
  <c r="R751" i="1" s="1"/>
  <c r="Q752" i="1"/>
  <c r="R752" i="1" s="1"/>
  <c r="Q753" i="1"/>
  <c r="R753" i="1" s="1"/>
  <c r="Q754" i="1"/>
  <c r="R754" i="1" s="1"/>
  <c r="Q755" i="1"/>
  <c r="R755" i="1" s="1"/>
  <c r="Q756" i="1"/>
  <c r="R756" i="1" s="1"/>
  <c r="Q757" i="1"/>
  <c r="R757" i="1" s="1"/>
  <c r="Q738" i="1"/>
  <c r="R738" i="1" s="1"/>
  <c r="Q739" i="1"/>
  <c r="R739" i="1" s="1"/>
  <c r="Q740" i="1"/>
  <c r="R740" i="1" s="1"/>
  <c r="Q741" i="1"/>
  <c r="R741" i="1" s="1"/>
  <c r="Q742" i="1"/>
  <c r="R742" i="1" s="1"/>
  <c r="Q743" i="1"/>
  <c r="R743" i="1" s="1"/>
  <c r="Q745" i="1"/>
  <c r="R745" i="1" s="1"/>
  <c r="Q737" i="1"/>
  <c r="R737" i="1" s="1"/>
  <c r="Q734" i="1"/>
  <c r="R734" i="1" s="1"/>
  <c r="Q724" i="1"/>
  <c r="R724" i="1" s="1"/>
  <c r="Q725" i="1"/>
  <c r="R725" i="1" s="1"/>
  <c r="Q726" i="1"/>
  <c r="R726" i="1" s="1"/>
  <c r="Q727" i="1"/>
  <c r="R727" i="1" s="1"/>
  <c r="Q728" i="1"/>
  <c r="R728" i="1" s="1"/>
  <c r="Q729" i="1"/>
  <c r="R729" i="1" s="1"/>
  <c r="Q730" i="1"/>
  <c r="R730" i="1" s="1"/>
  <c r="Q731" i="1"/>
  <c r="R731" i="1" s="1"/>
  <c r="Q717" i="1"/>
  <c r="R717" i="1" s="1"/>
  <c r="Q718" i="1"/>
  <c r="R718" i="1" s="1"/>
  <c r="Q719" i="1"/>
  <c r="R719" i="1" s="1"/>
  <c r="Q720" i="1"/>
  <c r="R720" i="1" s="1"/>
  <c r="Q721" i="1"/>
  <c r="R721" i="1" s="1"/>
  <c r="Q716" i="1"/>
  <c r="R716" i="1" s="1"/>
  <c r="Q723" i="1"/>
  <c r="R723" i="1" s="1"/>
  <c r="Q713" i="1"/>
  <c r="R713" i="1" s="1"/>
  <c r="Q709" i="1"/>
  <c r="R709" i="1" s="1"/>
  <c r="Q710" i="1"/>
  <c r="R710" i="1" s="1"/>
  <c r="Q704" i="1"/>
  <c r="R704" i="1" s="1"/>
  <c r="Q705" i="1"/>
  <c r="R705" i="1" s="1"/>
  <c r="Q706" i="1"/>
  <c r="R706" i="1" s="1"/>
  <c r="Q708" i="1"/>
  <c r="R708" i="1" s="1"/>
  <c r="Q703" i="1"/>
  <c r="R703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R697" i="1" s="1"/>
  <c r="Q698" i="1"/>
  <c r="R698" i="1" s="1"/>
  <c r="Q699" i="1"/>
  <c r="R699" i="1" s="1"/>
  <c r="Q700" i="1"/>
  <c r="R700" i="1" s="1"/>
  <c r="Q687" i="1"/>
  <c r="R687" i="1" s="1"/>
  <c r="Q688" i="1"/>
  <c r="R688" i="1" s="1"/>
  <c r="Q689" i="1"/>
  <c r="R689" i="1" s="1"/>
  <c r="Q691" i="1"/>
  <c r="R691" i="1" s="1"/>
  <c r="Q686" i="1"/>
  <c r="R686" i="1" s="1"/>
  <c r="Q674" i="1"/>
  <c r="R674" i="1" s="1"/>
  <c r="Q675" i="1"/>
  <c r="R675" i="1" s="1"/>
  <c r="Q676" i="1"/>
  <c r="R676" i="1" s="1"/>
  <c r="Q677" i="1"/>
  <c r="R677" i="1" s="1"/>
  <c r="Q678" i="1"/>
  <c r="R678" i="1" s="1"/>
  <c r="Q679" i="1"/>
  <c r="R679" i="1" s="1"/>
  <c r="Q680" i="1"/>
  <c r="R680" i="1" s="1"/>
  <c r="Q681" i="1"/>
  <c r="R681" i="1" s="1"/>
  <c r="Q682" i="1"/>
  <c r="R682" i="1" s="1"/>
  <c r="Q683" i="1"/>
  <c r="R683" i="1" s="1"/>
  <c r="Q668" i="1"/>
  <c r="R668" i="1" s="1"/>
  <c r="Q669" i="1"/>
  <c r="R669" i="1" s="1"/>
  <c r="Q670" i="1"/>
  <c r="R670" i="1" s="1"/>
  <c r="Q671" i="1"/>
  <c r="R671" i="1" s="1"/>
  <c r="Q667" i="1"/>
  <c r="R667" i="1" s="1"/>
  <c r="Q673" i="1"/>
  <c r="R673" i="1" s="1"/>
  <c r="Q657" i="1"/>
  <c r="R657" i="1" s="1"/>
  <c r="Q658" i="1"/>
  <c r="R658" i="1" s="1"/>
  <c r="Q659" i="1"/>
  <c r="R659" i="1" s="1"/>
  <c r="Q660" i="1"/>
  <c r="R660" i="1" s="1"/>
  <c r="Q661" i="1"/>
  <c r="R661" i="1" s="1"/>
  <c r="Q662" i="1"/>
  <c r="R662" i="1" s="1"/>
  <c r="Q663" i="1"/>
  <c r="R663" i="1" s="1"/>
  <c r="Q664" i="1"/>
  <c r="R664" i="1" s="1"/>
  <c r="Q652" i="1"/>
  <c r="R652" i="1" s="1"/>
  <c r="Q653" i="1"/>
  <c r="R653" i="1" s="1"/>
  <c r="Q654" i="1"/>
  <c r="R654" i="1" s="1"/>
  <c r="Q656" i="1"/>
  <c r="R656" i="1" s="1"/>
  <c r="Q651" i="1"/>
  <c r="R651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37" i="1"/>
  <c r="R637" i="1" s="1"/>
  <c r="Q636" i="1"/>
  <c r="R636" i="1" s="1"/>
  <c r="Q639" i="1"/>
  <c r="R639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07" i="1"/>
  <c r="R607" i="1" s="1"/>
  <c r="Q626" i="1"/>
  <c r="R62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593" i="1"/>
  <c r="R593" i="1" s="1"/>
  <c r="Q594" i="1"/>
  <c r="R594" i="1" s="1"/>
  <c r="Q596" i="1"/>
  <c r="R596" i="1" s="1"/>
  <c r="Q592" i="1"/>
  <c r="R592" i="1" s="1"/>
  <c r="Q589" i="1"/>
  <c r="R589" i="1" s="1"/>
  <c r="Q586" i="1"/>
  <c r="R586" i="1" s="1"/>
  <c r="Q585" i="1"/>
  <c r="R585" i="1" s="1"/>
  <c r="Q588" i="1"/>
  <c r="R588" i="1" s="1"/>
  <c r="Q580" i="1"/>
  <c r="R580" i="1" s="1"/>
  <c r="Q582" i="1"/>
  <c r="R582" i="1" s="1"/>
  <c r="Q567" i="1"/>
  <c r="R567" i="1" s="1"/>
  <c r="Q570" i="1"/>
  <c r="R570" i="1" s="1"/>
  <c r="Q571" i="1"/>
  <c r="R571" i="1" s="1"/>
  <c r="Q572" i="1"/>
  <c r="R572" i="1" s="1"/>
  <c r="Q573" i="1"/>
  <c r="R573" i="1" s="1"/>
  <c r="Q574" i="1"/>
  <c r="R574" i="1" s="1"/>
  <c r="Q575" i="1"/>
  <c r="R575" i="1" s="1"/>
  <c r="Q576" i="1"/>
  <c r="R576" i="1" s="1"/>
  <c r="Q577" i="1"/>
  <c r="R577" i="1" s="1"/>
  <c r="Q569" i="1"/>
  <c r="R569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R555" i="1" s="1"/>
  <c r="Q556" i="1"/>
  <c r="R556" i="1" s="1"/>
  <c r="Q557" i="1"/>
  <c r="R557" i="1" s="1"/>
  <c r="Q558" i="1"/>
  <c r="R558" i="1" s="1"/>
  <c r="Q559" i="1"/>
  <c r="R559" i="1" s="1"/>
  <c r="Q560" i="1"/>
  <c r="R560" i="1" s="1"/>
  <c r="Q561" i="1"/>
  <c r="R561" i="1" s="1"/>
  <c r="Q562" i="1"/>
  <c r="R562" i="1" s="1"/>
  <c r="Q563" i="1"/>
  <c r="R563" i="1" s="1"/>
  <c r="Q564" i="1"/>
  <c r="R564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7" i="1"/>
  <c r="R497" i="1" s="1"/>
  <c r="Q470" i="1"/>
  <c r="R470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53" i="1"/>
  <c r="R453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29" i="1"/>
  <c r="R429" i="1" s="1"/>
  <c r="Q425" i="1"/>
  <c r="R425" i="1" s="1"/>
  <c r="Q426" i="1"/>
  <c r="R426" i="1" s="1"/>
  <c r="Q422" i="1"/>
  <c r="R422" i="1" s="1"/>
  <c r="Q424" i="1"/>
  <c r="R424" i="1" s="1"/>
  <c r="Q421" i="1"/>
  <c r="R421" i="1" s="1"/>
  <c r="Q416" i="1"/>
  <c r="R416" i="1" s="1"/>
  <c r="Q417" i="1"/>
  <c r="R417" i="1" s="1"/>
  <c r="Q418" i="1"/>
  <c r="R418" i="1" s="1"/>
  <c r="Q415" i="1"/>
  <c r="R415" i="1" s="1"/>
  <c r="Q413" i="1"/>
  <c r="R413" i="1" s="1"/>
  <c r="Q409" i="1"/>
  <c r="R409" i="1" s="1"/>
  <c r="Q410" i="1"/>
  <c r="R410" i="1" s="1"/>
  <c r="Q405" i="1"/>
  <c r="R405" i="1" s="1"/>
  <c r="Q406" i="1"/>
  <c r="R406" i="1" s="1"/>
  <c r="Q408" i="1"/>
  <c r="R408" i="1" s="1"/>
  <c r="Q404" i="1"/>
  <c r="R404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379" i="1"/>
  <c r="R379" i="1" s="1"/>
  <c r="Q380" i="1"/>
  <c r="R380" i="1" s="1"/>
  <c r="Q381" i="1"/>
  <c r="R381" i="1" s="1"/>
  <c r="Q383" i="1"/>
  <c r="R383" i="1" s="1"/>
  <c r="Q378" i="1"/>
  <c r="R378" i="1" s="1"/>
  <c r="Q373" i="1"/>
  <c r="R373" i="1" s="1"/>
  <c r="Q374" i="1"/>
  <c r="R374" i="1" s="1"/>
  <c r="Q375" i="1"/>
  <c r="R375" i="1" s="1"/>
  <c r="Q370" i="1"/>
  <c r="R370" i="1" s="1"/>
  <c r="Q372" i="1"/>
  <c r="R372" i="1" s="1"/>
  <c r="Q369" i="1"/>
  <c r="R369" i="1" s="1"/>
  <c r="Q362" i="1"/>
  <c r="R362" i="1" s="1"/>
  <c r="Q363" i="1"/>
  <c r="R363" i="1" s="1"/>
  <c r="Q364" i="1"/>
  <c r="R364" i="1" s="1"/>
  <c r="Q365" i="1"/>
  <c r="R365" i="1" s="1"/>
  <c r="Q366" i="1"/>
  <c r="R366" i="1" s="1"/>
  <c r="Q359" i="1"/>
  <c r="R359" i="1" s="1"/>
  <c r="Q361" i="1"/>
  <c r="R361" i="1" s="1"/>
  <c r="Q358" i="1"/>
  <c r="R358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36" i="1"/>
  <c r="R336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22" i="1"/>
  <c r="R322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295" i="1"/>
  <c r="R295" i="1" s="1"/>
  <c r="Q296" i="1"/>
  <c r="R296" i="1" s="1"/>
  <c r="Q297" i="1"/>
  <c r="R297" i="1" s="1"/>
  <c r="Q299" i="1"/>
  <c r="R299" i="1" s="1"/>
  <c r="Q294" i="1"/>
  <c r="R294" i="1" s="1"/>
  <c r="Q289" i="1"/>
  <c r="R289" i="1" s="1"/>
  <c r="Q290" i="1"/>
  <c r="R290" i="1" s="1"/>
  <c r="Q291" i="1"/>
  <c r="R291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79" i="1"/>
  <c r="R279" i="1" s="1"/>
  <c r="Q288" i="1"/>
  <c r="R288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7" i="1"/>
  <c r="R257" i="1" s="1"/>
  <c r="Q246" i="1"/>
  <c r="R246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24" i="1"/>
  <c r="R224" i="1" s="1"/>
  <c r="Q225" i="1"/>
  <c r="R225" i="1" s="1"/>
  <c r="Q226" i="1"/>
  <c r="R226" i="1" s="1"/>
  <c r="Q228" i="1"/>
  <c r="R228" i="1" s="1"/>
  <c r="Q223" i="1"/>
  <c r="R223" i="1" s="1"/>
  <c r="Q218" i="1"/>
  <c r="R218" i="1" s="1"/>
  <c r="Q219" i="1"/>
  <c r="R219" i="1" s="1"/>
  <c r="Q220" i="1"/>
  <c r="R220" i="1" s="1"/>
  <c r="Q215" i="1"/>
  <c r="R215" i="1" s="1"/>
  <c r="Q217" i="1"/>
  <c r="R217" i="1" s="1"/>
  <c r="Q214" i="1"/>
  <c r="R21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4" i="1"/>
  <c r="R204" i="1" s="1"/>
  <c r="Q191" i="1"/>
  <c r="R191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56" i="1"/>
  <c r="R156" i="1" s="1"/>
  <c r="Q167" i="1"/>
  <c r="R167" i="1" s="1"/>
  <c r="Q153" i="1"/>
  <c r="R15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39" i="1"/>
  <c r="R139" i="1" s="1"/>
  <c r="Q140" i="1"/>
  <c r="R140" i="1" s="1"/>
  <c r="Q141" i="1"/>
  <c r="R141" i="1" s="1"/>
  <c r="Q143" i="1"/>
  <c r="R143" i="1" s="1"/>
  <c r="Q138" i="1"/>
  <c r="R138" i="1" s="1"/>
  <c r="Q133" i="1"/>
  <c r="R133" i="1" s="1"/>
  <c r="Q132" i="1"/>
  <c r="R132" i="1" s="1"/>
  <c r="Q131" i="1"/>
  <c r="R131" i="1" s="1"/>
  <c r="Q130" i="1"/>
  <c r="R130" i="1" s="1"/>
  <c r="Q129" i="1"/>
  <c r="R129" i="1" s="1"/>
  <c r="Q128" i="1"/>
  <c r="R128" i="1" s="1"/>
  <c r="Q135" i="1"/>
  <c r="R1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32" i="1"/>
  <c r="R32" i="1" s="1"/>
  <c r="Q33" i="1"/>
  <c r="R33" i="1" s="1"/>
  <c r="Q34" i="1"/>
  <c r="R34" i="1" s="1"/>
  <c r="Q35" i="1"/>
  <c r="R35" i="1" s="1"/>
  <c r="Q31" i="1"/>
  <c r="R31" i="1" s="1"/>
  <c r="Q29" i="1"/>
  <c r="R29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3" i="1"/>
  <c r="R3" i="1" s="1"/>
  <c r="J396" i="6"/>
  <c r="J397" i="6"/>
  <c r="J398" i="6"/>
  <c r="J399" i="6"/>
  <c r="J400" i="6"/>
  <c r="Q1485" i="1"/>
  <c r="R1485" i="1" s="1"/>
  <c r="Q1486" i="1"/>
  <c r="R1486" i="1" s="1"/>
  <c r="Q1487" i="1"/>
  <c r="R1487" i="1" s="1"/>
  <c r="Q1488" i="1"/>
  <c r="R1488" i="1" s="1"/>
  <c r="Q1489" i="1"/>
  <c r="R1489" i="1" s="1"/>
  <c r="Q1490" i="1"/>
  <c r="R1490" i="1" s="1"/>
  <c r="Q1491" i="1"/>
  <c r="R1491" i="1" s="1"/>
  <c r="Q1492" i="1"/>
  <c r="R1492" i="1" s="1"/>
  <c r="Q1493" i="1"/>
  <c r="R1493" i="1" s="1"/>
  <c r="Q1494" i="1"/>
  <c r="R1494" i="1" s="1"/>
  <c r="Q1495" i="1"/>
  <c r="R1495" i="1" s="1"/>
  <c r="Q1476" i="1"/>
  <c r="R1476" i="1" s="1"/>
  <c r="Q1477" i="1"/>
  <c r="R1477" i="1" s="1"/>
  <c r="Q1478" i="1"/>
  <c r="R1478" i="1" s="1"/>
  <c r="Q1479" i="1"/>
  <c r="R1479" i="1" s="1"/>
  <c r="Q1480" i="1"/>
  <c r="R1480" i="1" s="1"/>
  <c r="Q1481" i="1"/>
  <c r="R1481" i="1" s="1"/>
  <c r="Q1482" i="1"/>
  <c r="R1482" i="1" s="1"/>
  <c r="Q1483" i="1"/>
  <c r="R1483" i="1" s="1"/>
  <c r="Q1484" i="1"/>
  <c r="R1484" i="1" s="1"/>
  <c r="Q1475" i="1"/>
  <c r="R1475" i="1" s="1"/>
  <c r="Q1455" i="1"/>
  <c r="R1455" i="1" s="1"/>
  <c r="Q1456" i="1"/>
  <c r="R1456" i="1" s="1"/>
  <c r="Q1457" i="1"/>
  <c r="R1457" i="1" s="1"/>
  <c r="Q1458" i="1"/>
  <c r="R1458" i="1" s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Q1466" i="1"/>
  <c r="R1466" i="1" s="1"/>
  <c r="Q1467" i="1"/>
  <c r="R1467" i="1" s="1"/>
  <c r="Q1468" i="1"/>
  <c r="R1468" i="1" s="1"/>
  <c r="Q1469" i="1"/>
  <c r="R1469" i="1" s="1"/>
  <c r="Q1470" i="1"/>
  <c r="R1470" i="1" s="1"/>
  <c r="Q1471" i="1"/>
  <c r="R1471" i="1" s="1"/>
  <c r="Q1472" i="1"/>
  <c r="R1472" i="1" s="1"/>
  <c r="Q1473" i="1"/>
  <c r="R1473" i="1" s="1"/>
  <c r="Q1454" i="1"/>
  <c r="R1454" i="1" s="1"/>
  <c r="Q1446" i="1"/>
  <c r="R1446" i="1" s="1"/>
  <c r="Q1447" i="1"/>
  <c r="R1447" i="1" s="1"/>
  <c r="Q1448" i="1"/>
  <c r="R1448" i="1" s="1"/>
  <c r="Q1449" i="1"/>
  <c r="R1449" i="1" s="1"/>
  <c r="Q1450" i="1"/>
  <c r="R1450" i="1" s="1"/>
  <c r="Q1451" i="1"/>
  <c r="R1451" i="1" s="1"/>
  <c r="Q1452" i="1"/>
  <c r="R1452" i="1" s="1"/>
  <c r="Q1445" i="1"/>
  <c r="R1445" i="1" s="1"/>
  <c r="Q1437" i="1"/>
  <c r="R1437" i="1" s="1"/>
  <c r="Q1438" i="1"/>
  <c r="R1438" i="1" s="1"/>
  <c r="Q1439" i="1"/>
  <c r="R1439" i="1" s="1"/>
  <c r="Q1440" i="1"/>
  <c r="R1440" i="1" s="1"/>
  <c r="Q1441" i="1"/>
  <c r="R1441" i="1" s="1"/>
  <c r="Q1442" i="1"/>
  <c r="R1442" i="1" s="1"/>
  <c r="Q1443" i="1"/>
  <c r="R1443" i="1" s="1"/>
  <c r="Q1436" i="1"/>
  <c r="R1436" i="1" s="1"/>
  <c r="J229" i="6"/>
  <c r="Q1424" i="1"/>
  <c r="R1424" i="1" s="1"/>
  <c r="Q1425" i="1"/>
  <c r="R1425" i="1" s="1"/>
  <c r="Q1426" i="1"/>
  <c r="R1426" i="1" s="1"/>
  <c r="Q1427" i="1"/>
  <c r="R1427" i="1" s="1"/>
  <c r="Q1428" i="1"/>
  <c r="R1428" i="1" s="1"/>
  <c r="Q1429" i="1"/>
  <c r="R1429" i="1" s="1"/>
  <c r="Q1430" i="1"/>
  <c r="R1430" i="1" s="1"/>
  <c r="Q1431" i="1"/>
  <c r="R1431" i="1" s="1"/>
  <c r="Q1432" i="1"/>
  <c r="R1432" i="1" s="1"/>
  <c r="Q1433" i="1"/>
  <c r="R1433" i="1" s="1"/>
  <c r="Q1434" i="1"/>
  <c r="R1434" i="1" s="1"/>
  <c r="Q1423" i="1"/>
  <c r="R1423" i="1" s="1"/>
  <c r="Q1421" i="1"/>
  <c r="R1421" i="1" s="1"/>
  <c r="Q1420" i="1"/>
  <c r="R1420" i="1" s="1"/>
  <c r="Q1411" i="1"/>
  <c r="R1411" i="1" s="1"/>
  <c r="Q1412" i="1"/>
  <c r="R1412" i="1" s="1"/>
  <c r="Q1413" i="1"/>
  <c r="R1413" i="1" s="1"/>
  <c r="Q1414" i="1"/>
  <c r="R1414" i="1" s="1"/>
  <c r="Q1415" i="1"/>
  <c r="R1415" i="1" s="1"/>
  <c r="Q1416" i="1"/>
  <c r="R1416" i="1" s="1"/>
  <c r="Q1417" i="1"/>
  <c r="R1417" i="1" s="1"/>
  <c r="Q1418" i="1"/>
  <c r="R1418" i="1" s="1"/>
  <c r="Q1410" i="1"/>
  <c r="R1410" i="1" s="1"/>
  <c r="Q1404" i="1"/>
  <c r="R1404" i="1" s="1"/>
  <c r="Q1405" i="1"/>
  <c r="R1405" i="1" s="1"/>
  <c r="Q1406" i="1"/>
  <c r="R1406" i="1" s="1"/>
  <c r="Q1407" i="1"/>
  <c r="R1407" i="1" s="1"/>
  <c r="Q1408" i="1"/>
  <c r="R1408" i="1" s="1"/>
  <c r="Q1403" i="1"/>
  <c r="R1403" i="1" s="1"/>
  <c r="Q1398" i="1"/>
  <c r="R1398" i="1" s="1"/>
  <c r="Q1399" i="1"/>
  <c r="R1399" i="1" s="1"/>
  <c r="Q1400" i="1"/>
  <c r="R1400" i="1" s="1"/>
  <c r="Q1401" i="1"/>
  <c r="R1401" i="1" s="1"/>
  <c r="Q1397" i="1"/>
  <c r="R1397" i="1" s="1"/>
  <c r="Q1392" i="1"/>
  <c r="R1392" i="1" s="1"/>
  <c r="Q1393" i="1"/>
  <c r="R1393" i="1" s="1"/>
  <c r="Q1394" i="1"/>
  <c r="R1394" i="1" s="1"/>
  <c r="Q1395" i="1"/>
  <c r="R1395" i="1" s="1"/>
  <c r="Q1391" i="1"/>
  <c r="R1391" i="1" s="1"/>
  <c r="Q1385" i="1"/>
  <c r="R1385" i="1" s="1"/>
  <c r="Q1386" i="1"/>
  <c r="R1386" i="1" s="1"/>
  <c r="Q1387" i="1"/>
  <c r="R1387" i="1" s="1"/>
  <c r="Q1388" i="1"/>
  <c r="R1388" i="1" s="1"/>
  <c r="Q1389" i="1"/>
  <c r="R1389" i="1" s="1"/>
  <c r="Q1384" i="1"/>
  <c r="R1384" i="1" s="1"/>
  <c r="Q1377" i="1"/>
  <c r="R1377" i="1" s="1"/>
  <c r="Q1378" i="1"/>
  <c r="R1378" i="1" s="1"/>
  <c r="Q1379" i="1"/>
  <c r="R1379" i="1" s="1"/>
  <c r="Q1380" i="1"/>
  <c r="R1380" i="1" s="1"/>
  <c r="Q1381" i="1"/>
  <c r="R1381" i="1" s="1"/>
  <c r="Q1382" i="1"/>
  <c r="R1382" i="1" s="1"/>
  <c r="Q1376" i="1"/>
  <c r="R1376" i="1" s="1"/>
  <c r="Q1366" i="1"/>
  <c r="R1366" i="1" s="1"/>
  <c r="Q1367" i="1"/>
  <c r="R1367" i="1" s="1"/>
  <c r="Q1368" i="1"/>
  <c r="R1368" i="1" s="1"/>
  <c r="Q1369" i="1"/>
  <c r="R1369" i="1" s="1"/>
  <c r="Q1370" i="1"/>
  <c r="R1370" i="1" s="1"/>
  <c r="Q1371" i="1"/>
  <c r="R1371" i="1" s="1"/>
  <c r="Q1372" i="1"/>
  <c r="R1372" i="1" s="1"/>
  <c r="Q1373" i="1"/>
  <c r="R1373" i="1" s="1"/>
  <c r="Q1374" i="1"/>
  <c r="R1374" i="1" s="1"/>
  <c r="Q1365" i="1"/>
  <c r="R1365" i="1" s="1"/>
  <c r="Q1354" i="1"/>
  <c r="R1354" i="1" s="1"/>
  <c r="Q1355" i="1"/>
  <c r="R1355" i="1" s="1"/>
  <c r="Q1356" i="1"/>
  <c r="R1356" i="1" s="1"/>
  <c r="Q1357" i="1"/>
  <c r="R1357" i="1" s="1"/>
  <c r="Q1358" i="1"/>
  <c r="R1358" i="1" s="1"/>
  <c r="Q1359" i="1"/>
  <c r="R1359" i="1" s="1"/>
  <c r="Q1360" i="1"/>
  <c r="R1360" i="1" s="1"/>
  <c r="Q1361" i="1"/>
  <c r="R1361" i="1" s="1"/>
  <c r="Q1362" i="1"/>
  <c r="R1362" i="1" s="1"/>
  <c r="Q1363" i="1"/>
  <c r="R1363" i="1" s="1"/>
  <c r="Q1353" i="1"/>
  <c r="R1353" i="1" s="1"/>
  <c r="Q1337" i="1"/>
  <c r="R1337" i="1" s="1"/>
  <c r="Q1338" i="1"/>
  <c r="R1338" i="1" s="1"/>
  <c r="Q1339" i="1"/>
  <c r="R1339" i="1" s="1"/>
  <c r="Q1340" i="1"/>
  <c r="R1340" i="1" s="1"/>
  <c r="Q1341" i="1"/>
  <c r="R1341" i="1" s="1"/>
  <c r="Q1342" i="1"/>
  <c r="R1342" i="1" s="1"/>
  <c r="Q1343" i="1"/>
  <c r="R1343" i="1" s="1"/>
  <c r="Q1344" i="1"/>
  <c r="R1344" i="1" s="1"/>
  <c r="Q1345" i="1"/>
  <c r="R1345" i="1" s="1"/>
  <c r="Q1346" i="1"/>
  <c r="R1346" i="1" s="1"/>
  <c r="Q1347" i="1"/>
  <c r="R1347" i="1" s="1"/>
  <c r="Q1348" i="1"/>
  <c r="R1348" i="1" s="1"/>
  <c r="Q1349" i="1"/>
  <c r="R1349" i="1" s="1"/>
  <c r="Q1350" i="1"/>
  <c r="R1350" i="1" s="1"/>
  <c r="Q1351" i="1"/>
  <c r="R1351" i="1" s="1"/>
  <c r="Q1336" i="1"/>
  <c r="R1336" i="1" s="1"/>
  <c r="Q1334" i="1"/>
  <c r="R1334" i="1" s="1"/>
  <c r="Q1333" i="1"/>
  <c r="R1333" i="1" s="1"/>
  <c r="Q1323" i="1"/>
  <c r="R1323" i="1" s="1"/>
  <c r="Q1324" i="1"/>
  <c r="R1324" i="1" s="1"/>
  <c r="Q1325" i="1"/>
  <c r="R1325" i="1" s="1"/>
  <c r="Q1326" i="1"/>
  <c r="R1326" i="1" s="1"/>
  <c r="Q1327" i="1"/>
  <c r="R1327" i="1" s="1"/>
  <c r="Q1328" i="1"/>
  <c r="R1328" i="1" s="1"/>
  <c r="Q1329" i="1"/>
  <c r="R1329" i="1" s="1"/>
  <c r="Q1330" i="1"/>
  <c r="R1330" i="1" s="1"/>
  <c r="Q1331" i="1"/>
  <c r="R1331" i="1" s="1"/>
  <c r="Q1322" i="1"/>
  <c r="R1322" i="1" s="1"/>
  <c r="Q1319" i="1"/>
  <c r="R1319" i="1" s="1"/>
  <c r="Q1320" i="1"/>
  <c r="R1320" i="1" s="1"/>
  <c r="Q1318" i="1"/>
  <c r="R1318" i="1" s="1"/>
  <c r="Q1312" i="1"/>
  <c r="R1312" i="1" s="1"/>
  <c r="Q1313" i="1"/>
  <c r="R1313" i="1" s="1"/>
  <c r="Q1314" i="1"/>
  <c r="R1314" i="1" s="1"/>
  <c r="Q1315" i="1"/>
  <c r="R1315" i="1" s="1"/>
  <c r="Q1316" i="1"/>
  <c r="R1316" i="1" s="1"/>
  <c r="Q1311" i="1"/>
  <c r="R1311" i="1" s="1"/>
  <c r="Q1305" i="1"/>
  <c r="R1305" i="1" s="1"/>
  <c r="Q1306" i="1"/>
  <c r="R1306" i="1" s="1"/>
  <c r="Q1307" i="1"/>
  <c r="R1307" i="1" s="1"/>
  <c r="Q1308" i="1"/>
  <c r="R1308" i="1" s="1"/>
  <c r="Q1309" i="1"/>
  <c r="R1309" i="1" s="1"/>
  <c r="Q1304" i="1"/>
  <c r="R1304" i="1" s="1"/>
  <c r="Q1294" i="1"/>
  <c r="R1294" i="1" s="1"/>
  <c r="Q1295" i="1"/>
  <c r="R1295" i="1" s="1"/>
  <c r="Q1296" i="1"/>
  <c r="R1296" i="1" s="1"/>
  <c r="Q1297" i="1"/>
  <c r="R1297" i="1" s="1"/>
  <c r="Q1298" i="1"/>
  <c r="R1298" i="1" s="1"/>
  <c r="Q1299" i="1"/>
  <c r="R1299" i="1" s="1"/>
  <c r="Q1300" i="1"/>
  <c r="R1300" i="1" s="1"/>
  <c r="Q1301" i="1"/>
  <c r="R1301" i="1" s="1"/>
  <c r="Q1302" i="1"/>
  <c r="R1302" i="1" s="1"/>
  <c r="Q1293" i="1"/>
  <c r="R1293" i="1" s="1"/>
  <c r="Q1285" i="1"/>
  <c r="R1285" i="1" s="1"/>
  <c r="Q1286" i="1"/>
  <c r="R1286" i="1" s="1"/>
  <c r="Q1287" i="1"/>
  <c r="R1287" i="1" s="1"/>
  <c r="Q1288" i="1"/>
  <c r="R1288" i="1" s="1"/>
  <c r="Q1290" i="1"/>
  <c r="R1290" i="1" s="1"/>
  <c r="Q1291" i="1"/>
  <c r="R1291" i="1" s="1"/>
  <c r="Q1284" i="1"/>
  <c r="R1284" i="1" s="1"/>
  <c r="Q1269" i="1"/>
  <c r="R1269" i="1" s="1"/>
  <c r="Q1270" i="1"/>
  <c r="R1270" i="1" s="1"/>
  <c r="Q1271" i="1"/>
  <c r="R1271" i="1" s="1"/>
  <c r="Q1272" i="1"/>
  <c r="R1272" i="1" s="1"/>
  <c r="Q1273" i="1"/>
  <c r="R1273" i="1" s="1"/>
  <c r="Q1274" i="1"/>
  <c r="R1274" i="1" s="1"/>
  <c r="Q1275" i="1"/>
  <c r="R1275" i="1" s="1"/>
  <c r="Q1276" i="1"/>
  <c r="R1276" i="1" s="1"/>
  <c r="Q1277" i="1"/>
  <c r="R1277" i="1" s="1"/>
  <c r="Q1278" i="1"/>
  <c r="R1278" i="1" s="1"/>
  <c r="Q1279" i="1"/>
  <c r="R1279" i="1" s="1"/>
  <c r="Q1280" i="1"/>
  <c r="R1280" i="1" s="1"/>
  <c r="Q1281" i="1"/>
  <c r="R1281" i="1" s="1"/>
  <c r="Q1282" i="1"/>
  <c r="R1282" i="1" s="1"/>
  <c r="Q1268" i="1"/>
  <c r="R1268" i="1" s="1"/>
  <c r="Q1259" i="1"/>
  <c r="R1259" i="1" s="1"/>
  <c r="Q1260" i="1"/>
  <c r="R1260" i="1" s="1"/>
  <c r="Q1261" i="1"/>
  <c r="R1261" i="1" s="1"/>
  <c r="Q1262" i="1"/>
  <c r="R1262" i="1" s="1"/>
  <c r="Q1263" i="1"/>
  <c r="R1263" i="1" s="1"/>
  <c r="Q1264" i="1"/>
  <c r="R1264" i="1" s="1"/>
  <c r="Q1265" i="1"/>
  <c r="R1265" i="1" s="1"/>
  <c r="Q1266" i="1"/>
  <c r="R1266" i="1" s="1"/>
  <c r="Q1258" i="1"/>
  <c r="R1258" i="1" s="1"/>
  <c r="Q1254" i="1"/>
  <c r="R1254" i="1" s="1"/>
  <c r="Q1255" i="1"/>
  <c r="R1255" i="1" s="1"/>
  <c r="Q1256" i="1"/>
  <c r="R1256" i="1" s="1"/>
  <c r="Q1253" i="1"/>
  <c r="R1253" i="1" s="1"/>
  <c r="Q1250" i="1"/>
  <c r="R1250" i="1" s="1"/>
  <c r="Q1251" i="1"/>
  <c r="R1251" i="1" s="1"/>
  <c r="Q1249" i="1"/>
  <c r="R1249" i="1" s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R1246" i="1" s="1"/>
  <c r="Q1247" i="1"/>
  <c r="R1247" i="1" s="1"/>
  <c r="Q1239" i="1"/>
  <c r="R1239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Q1235" i="1"/>
  <c r="R1235" i="1" s="1"/>
  <c r="Q1236" i="1"/>
  <c r="R1236" i="1" s="1"/>
  <c r="Q1237" i="1"/>
  <c r="R1237" i="1" s="1"/>
  <c r="Q1224" i="1"/>
  <c r="R1224" i="1" s="1"/>
  <c r="Q1206" i="1"/>
  <c r="R1206" i="1" s="1"/>
  <c r="Q1207" i="1"/>
  <c r="R1207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05" i="1"/>
  <c r="R1205" i="1" s="1"/>
  <c r="Q1203" i="1"/>
  <c r="R1203" i="1" s="1"/>
  <c r="Q1199" i="1"/>
  <c r="R1199" i="1" s="1"/>
  <c r="Q1200" i="1"/>
  <c r="R1200" i="1" s="1"/>
  <c r="Q1201" i="1"/>
  <c r="R1201" i="1" s="1"/>
  <c r="Q1198" i="1"/>
  <c r="R1198" i="1" s="1"/>
  <c r="Q1194" i="1"/>
  <c r="R1194" i="1" s="1"/>
  <c r="Q1195" i="1"/>
  <c r="R1195" i="1" s="1"/>
  <c r="Q1196" i="1"/>
  <c r="R1196" i="1" s="1"/>
  <c r="Q1193" i="1"/>
  <c r="R1193" i="1" s="1"/>
  <c r="Q1180" i="1"/>
  <c r="R1180" i="1" s="1"/>
  <c r="Q1181" i="1"/>
  <c r="R1181" i="1" s="1"/>
  <c r="Q1182" i="1"/>
  <c r="R1182" i="1" s="1"/>
  <c r="Q1183" i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Q1191" i="1"/>
  <c r="R1191" i="1" s="1"/>
  <c r="Q1179" i="1"/>
  <c r="R1179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0" i="1"/>
  <c r="R1170" i="1" s="1"/>
  <c r="Q1155" i="1"/>
  <c r="R1155" i="1" s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Q1166" i="1"/>
  <c r="R1166" i="1" s="1"/>
  <c r="Q1167" i="1"/>
  <c r="R1167" i="1" s="1"/>
  <c r="Q1168" i="1"/>
  <c r="R1168" i="1" s="1"/>
  <c r="Q1154" i="1"/>
  <c r="R1154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43" i="1"/>
  <c r="R1143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32" i="1"/>
  <c r="R113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22" i="1"/>
  <c r="R1122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04" i="1"/>
  <c r="R110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094" i="1"/>
  <c r="R1094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86" i="1"/>
  <c r="R1086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74" i="1"/>
  <c r="R1074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63" i="1"/>
  <c r="R1063" i="1" s="1"/>
  <c r="Q1060" i="1"/>
  <c r="R1060" i="1" s="1"/>
  <c r="Q1061" i="1"/>
  <c r="R1061" i="1" s="1"/>
  <c r="Q1059" i="1"/>
  <c r="R1059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0" i="1"/>
  <c r="R1050" i="1" s="1"/>
  <c r="Q1039" i="1"/>
  <c r="R1039" i="1" s="1"/>
  <c r="Q1040" i="1"/>
  <c r="R1040" i="1" s="1"/>
  <c r="Q1041" i="1"/>
  <c r="R1041" i="1" s="1"/>
  <c r="Q1042" i="1"/>
  <c r="R1042" i="1" s="1"/>
  <c r="Q1043" i="1"/>
  <c r="R1043" i="1" s="1"/>
  <c r="Q1044" i="1"/>
  <c r="R1044" i="1" s="1"/>
  <c r="Q1045" i="1"/>
  <c r="R1045" i="1" s="1"/>
  <c r="Q1046" i="1"/>
  <c r="R1046" i="1" s="1"/>
  <c r="Q1047" i="1"/>
  <c r="R1047" i="1" s="1"/>
  <c r="Q1048" i="1"/>
  <c r="R1048" i="1" s="1"/>
  <c r="Q1038" i="1"/>
  <c r="R1038" i="1" s="1"/>
  <c r="Q1034" i="1"/>
  <c r="R1034" i="1" s="1"/>
  <c r="Q1035" i="1"/>
  <c r="R1035" i="1" s="1"/>
  <c r="Q1036" i="1"/>
  <c r="R1036" i="1" s="1"/>
  <c r="Q1033" i="1"/>
  <c r="R1033" i="1" s="1"/>
  <c r="Q122" i="1"/>
  <c r="R122" i="1" s="1"/>
  <c r="Q123" i="1"/>
  <c r="R123" i="1" s="1"/>
  <c r="Q124" i="1"/>
  <c r="R124" i="1" s="1"/>
  <c r="Q125" i="1"/>
  <c r="R125" i="1" s="1"/>
  <c r="Q121" i="1"/>
  <c r="R121" i="1" s="1"/>
  <c r="Q119" i="1"/>
  <c r="R119" i="1" s="1"/>
  <c r="Q118" i="1"/>
  <c r="R118" i="1" s="1"/>
  <c r="Q117" i="1"/>
  <c r="R117" i="1" s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3" i="6"/>
  <c r="J274" i="6"/>
  <c r="J275" i="6"/>
  <c r="J276" i="6"/>
  <c r="J278" i="6"/>
  <c r="J279" i="6"/>
  <c r="J280" i="6"/>
  <c r="J281" i="6"/>
  <c r="J283" i="6"/>
  <c r="J284" i="6"/>
  <c r="J285" i="6"/>
  <c r="J286" i="6"/>
  <c r="J288" i="6"/>
  <c r="J289" i="6"/>
  <c r="J290" i="6"/>
  <c r="J292" i="6"/>
  <c r="J293" i="6"/>
  <c r="J294" i="6"/>
  <c r="J295" i="6"/>
  <c r="J297" i="6"/>
  <c r="J298" i="6"/>
  <c r="J299" i="6"/>
  <c r="J300" i="6"/>
  <c r="J302" i="6"/>
  <c r="J303" i="6"/>
  <c r="J304" i="6"/>
  <c r="J305" i="6"/>
  <c r="J307" i="6"/>
  <c r="J308" i="6"/>
  <c r="J309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1" i="6"/>
  <c r="J392" i="6"/>
  <c r="J393" i="6"/>
  <c r="J394" i="6"/>
  <c r="J10" i="6"/>
  <c r="J11" i="6"/>
  <c r="J12" i="6"/>
  <c r="J9" i="6"/>
  <c r="W1289" i="1" l="1"/>
  <c r="W1288" i="1"/>
  <c r="W1208" i="1"/>
  <c r="W1214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3" i="1"/>
  <c r="S1212" i="1"/>
  <c r="S1211" i="1"/>
  <c r="S1210" i="1"/>
  <c r="S1209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5" i="1"/>
  <c r="S6" i="1"/>
  <c r="S7" i="1"/>
  <c r="S8" i="1"/>
  <c r="S9" i="1"/>
  <c r="S10" i="1"/>
  <c r="S11" i="1"/>
  <c r="W11" i="1" s="1"/>
  <c r="S12" i="1"/>
  <c r="S13" i="1"/>
  <c r="S14" i="1"/>
  <c r="S15" i="1"/>
  <c r="S16" i="1"/>
  <c r="S17" i="1"/>
  <c r="S18" i="1"/>
  <c r="S19" i="1"/>
  <c r="W19" i="1" s="1"/>
  <c r="S20" i="1"/>
  <c r="S21" i="1"/>
  <c r="S22" i="1"/>
  <c r="S23" i="1"/>
  <c r="S24" i="1"/>
  <c r="S25" i="1"/>
  <c r="S28" i="1"/>
  <c r="V28" i="1" s="1"/>
  <c r="S29" i="1"/>
  <c r="V29" i="1" s="1"/>
  <c r="S30" i="1"/>
  <c r="V30" i="1" s="1"/>
  <c r="S31" i="1"/>
  <c r="V31" i="1" s="1"/>
  <c r="S32" i="1"/>
  <c r="S33" i="1"/>
  <c r="S34" i="1"/>
  <c r="S35" i="1"/>
  <c r="S36" i="1"/>
  <c r="S37" i="1"/>
  <c r="V37" i="1" s="1"/>
  <c r="S38" i="1"/>
  <c r="S39" i="1"/>
  <c r="S40" i="1"/>
  <c r="S41" i="1"/>
  <c r="S42" i="1"/>
  <c r="S43" i="1"/>
  <c r="S44" i="1"/>
  <c r="V44" i="1" s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V68" i="1" s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V90" i="1" s="1"/>
  <c r="S91" i="1"/>
  <c r="S92" i="1"/>
  <c r="S93" i="1"/>
  <c r="S94" i="1"/>
  <c r="S95" i="1"/>
  <c r="S96" i="1"/>
  <c r="S97" i="1"/>
  <c r="V97" i="1" s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V111" i="1" s="1"/>
  <c r="S112" i="1"/>
  <c r="S113" i="1"/>
  <c r="S114" i="1"/>
  <c r="S115" i="1"/>
  <c r="S116" i="1"/>
  <c r="S117" i="1"/>
  <c r="S118" i="1"/>
  <c r="S119" i="1"/>
  <c r="W119" i="1" s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V133" i="1" s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W149" i="1" s="1"/>
  <c r="S150" i="1"/>
  <c r="S151" i="1"/>
  <c r="S152" i="1"/>
  <c r="S153" i="1"/>
  <c r="S154" i="1"/>
  <c r="S155" i="1"/>
  <c r="V155" i="1" s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V175" i="1" s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V197" i="1" s="1"/>
  <c r="S198" i="1"/>
  <c r="S199" i="1"/>
  <c r="S200" i="1"/>
  <c r="S201" i="1"/>
  <c r="S202" i="1"/>
  <c r="S203" i="1"/>
  <c r="S204" i="1"/>
  <c r="S205" i="1"/>
  <c r="S206" i="1"/>
  <c r="W206" i="1" s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V239" i="1" s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V261" i="1" s="1"/>
  <c r="S262" i="1"/>
  <c r="S263" i="1"/>
  <c r="S264" i="1"/>
  <c r="W264" i="1" s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W291" i="1" s="1"/>
  <c r="S292" i="1"/>
  <c r="S293" i="1"/>
  <c r="S294" i="1"/>
  <c r="S295" i="1"/>
  <c r="S296" i="1"/>
  <c r="S297" i="1"/>
  <c r="S298" i="1"/>
  <c r="S299" i="1"/>
  <c r="S300" i="1"/>
  <c r="S301" i="1"/>
  <c r="S302" i="1"/>
  <c r="S303" i="1"/>
  <c r="V303" i="1" s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V325" i="1" s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V367" i="1" s="1"/>
  <c r="S368" i="1"/>
  <c r="S369" i="1"/>
  <c r="S370" i="1"/>
  <c r="S371" i="1"/>
  <c r="S372" i="1"/>
  <c r="S373" i="1"/>
  <c r="S374" i="1"/>
  <c r="W374" i="1" s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V389" i="1" s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V431" i="1" s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V453" i="1" s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W486" i="1" s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V517" i="1" s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W540" i="1" s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V581" i="1" s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W596" i="1" s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W617" i="1" s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W660" i="1" s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V702" i="1" s="1"/>
  <c r="S703" i="1"/>
  <c r="S704" i="1"/>
  <c r="S705" i="1"/>
  <c r="S706" i="1"/>
  <c r="S707" i="1"/>
  <c r="S708" i="1"/>
  <c r="W708" i="1" s="1"/>
  <c r="S709" i="1"/>
  <c r="S710" i="1"/>
  <c r="S711" i="1"/>
  <c r="S712" i="1"/>
  <c r="V712" i="1" s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V744" i="1" s="1"/>
  <c r="S745" i="1"/>
  <c r="S746" i="1"/>
  <c r="S747" i="1"/>
  <c r="S748" i="1"/>
  <c r="S749" i="1"/>
  <c r="S750" i="1"/>
  <c r="S751" i="1"/>
  <c r="S752" i="1"/>
  <c r="S753" i="1"/>
  <c r="W753" i="1" s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V766" i="1" s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W782" i="1" s="1"/>
  <c r="S783" i="1"/>
  <c r="S784" i="1"/>
  <c r="V784" i="1" s="1"/>
  <c r="S785" i="1"/>
  <c r="S786" i="1"/>
  <c r="S787" i="1"/>
  <c r="S788" i="1"/>
  <c r="S789" i="1"/>
  <c r="S790" i="1"/>
  <c r="S791" i="1"/>
  <c r="S792" i="1"/>
  <c r="S793" i="1"/>
  <c r="S794" i="1"/>
  <c r="V794" i="1" s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V812" i="1" s="1"/>
  <c r="S813" i="1"/>
  <c r="S814" i="1"/>
  <c r="S815" i="1"/>
  <c r="S816" i="1"/>
  <c r="S817" i="1"/>
  <c r="S818" i="1"/>
  <c r="S819" i="1"/>
  <c r="S820" i="1"/>
  <c r="S821" i="1"/>
  <c r="W821" i="1" s="1"/>
  <c r="S822" i="1"/>
  <c r="S823" i="1"/>
  <c r="S824" i="1"/>
  <c r="S825" i="1"/>
  <c r="S826" i="1"/>
  <c r="S827" i="1"/>
  <c r="S828" i="1"/>
  <c r="S829" i="1"/>
  <c r="S830" i="1"/>
  <c r="V830" i="1" s="1"/>
  <c r="S831" i="1"/>
  <c r="S832" i="1"/>
  <c r="S833" i="1"/>
  <c r="S834" i="1"/>
  <c r="S835" i="1"/>
  <c r="S836" i="1"/>
  <c r="W836" i="1" s="1"/>
  <c r="S837" i="1"/>
  <c r="S838" i="1"/>
  <c r="S839" i="1"/>
  <c r="S840" i="1"/>
  <c r="S841" i="1"/>
  <c r="S842" i="1"/>
  <c r="S843" i="1"/>
  <c r="S844" i="1"/>
  <c r="S845" i="1"/>
  <c r="S846" i="1"/>
  <c r="S847" i="1"/>
  <c r="S848" i="1"/>
  <c r="V848" i="1" s="1"/>
  <c r="S849" i="1"/>
  <c r="S850" i="1"/>
  <c r="S851" i="1"/>
  <c r="S852" i="1"/>
  <c r="S853" i="1"/>
  <c r="S854" i="1"/>
  <c r="S855" i="1"/>
  <c r="S856" i="1"/>
  <c r="S857" i="1"/>
  <c r="S858" i="1"/>
  <c r="V858" i="1" s="1"/>
  <c r="S859" i="1"/>
  <c r="S860" i="1"/>
  <c r="S861" i="1"/>
  <c r="S862" i="1"/>
  <c r="S863" i="1"/>
  <c r="S864" i="1"/>
  <c r="S865" i="1"/>
  <c r="S866" i="1"/>
  <c r="V866" i="1" s="1"/>
  <c r="S867" i="1"/>
  <c r="S868" i="1"/>
  <c r="S869" i="1"/>
  <c r="S870" i="1"/>
  <c r="S871" i="1"/>
  <c r="S872" i="1"/>
  <c r="S873" i="1"/>
  <c r="S874" i="1"/>
  <c r="V874" i="1" s="1"/>
  <c r="S875" i="1"/>
  <c r="S876" i="1"/>
  <c r="S877" i="1"/>
  <c r="S878" i="1"/>
  <c r="W878" i="1" s="1"/>
  <c r="S879" i="1"/>
  <c r="S880" i="1"/>
  <c r="S881" i="1"/>
  <c r="S882" i="1"/>
  <c r="V882" i="1" s="1"/>
  <c r="S883" i="1"/>
  <c r="S884" i="1"/>
  <c r="S885" i="1"/>
  <c r="S886" i="1"/>
  <c r="S887" i="1"/>
  <c r="S888" i="1"/>
  <c r="S889" i="1"/>
  <c r="S890" i="1"/>
  <c r="V890" i="1" s="1"/>
  <c r="S891" i="1"/>
  <c r="S892" i="1"/>
  <c r="S893" i="1"/>
  <c r="S894" i="1"/>
  <c r="S895" i="1"/>
  <c r="S896" i="1"/>
  <c r="S897" i="1"/>
  <c r="S898" i="1"/>
  <c r="V898" i="1" s="1"/>
  <c r="S899" i="1"/>
  <c r="S900" i="1"/>
  <c r="S901" i="1"/>
  <c r="S902" i="1"/>
  <c r="S903" i="1"/>
  <c r="S904" i="1"/>
  <c r="S905" i="1"/>
  <c r="S906" i="1"/>
  <c r="V906" i="1" s="1"/>
  <c r="S907" i="1"/>
  <c r="S908" i="1"/>
  <c r="S909" i="1"/>
  <c r="S910" i="1"/>
  <c r="S911" i="1"/>
  <c r="S912" i="1"/>
  <c r="S913" i="1"/>
  <c r="S914" i="1"/>
  <c r="V914" i="1" s="1"/>
  <c r="S915" i="1"/>
  <c r="S916" i="1"/>
  <c r="S917" i="1"/>
  <c r="S918" i="1"/>
  <c r="S919" i="1"/>
  <c r="S920" i="1"/>
  <c r="S921" i="1"/>
  <c r="S922" i="1"/>
  <c r="V922" i="1" s="1"/>
  <c r="S923" i="1"/>
  <c r="S924" i="1"/>
  <c r="S925" i="1"/>
  <c r="S926" i="1"/>
  <c r="S927" i="1"/>
  <c r="S928" i="1"/>
  <c r="S929" i="1"/>
  <c r="S930" i="1"/>
  <c r="V930" i="1" s="1"/>
  <c r="S931" i="1"/>
  <c r="S932" i="1"/>
  <c r="W932" i="1" s="1"/>
  <c r="S933" i="1"/>
  <c r="S934" i="1"/>
  <c r="S935" i="1"/>
  <c r="S936" i="1"/>
  <c r="S937" i="1"/>
  <c r="S938" i="1"/>
  <c r="V938" i="1" s="1"/>
  <c r="S939" i="1"/>
  <c r="S940" i="1"/>
  <c r="S941" i="1"/>
  <c r="S942" i="1"/>
  <c r="S943" i="1"/>
  <c r="S944" i="1"/>
  <c r="S945" i="1"/>
  <c r="S946" i="1"/>
  <c r="V946" i="1" s="1"/>
  <c r="S947" i="1"/>
  <c r="S948" i="1"/>
  <c r="S949" i="1"/>
  <c r="S950" i="1"/>
  <c r="S951" i="1"/>
  <c r="S952" i="1"/>
  <c r="S953" i="1"/>
  <c r="S954" i="1"/>
  <c r="V954" i="1" s="1"/>
  <c r="S955" i="1"/>
  <c r="S956" i="1"/>
  <c r="S957" i="1"/>
  <c r="S958" i="1"/>
  <c r="S959" i="1"/>
  <c r="S960" i="1"/>
  <c r="S961" i="1"/>
  <c r="S962" i="1"/>
  <c r="V962" i="1" s="1"/>
  <c r="S963" i="1"/>
  <c r="S964" i="1"/>
  <c r="S965" i="1"/>
  <c r="S966" i="1"/>
  <c r="S967" i="1"/>
  <c r="S968" i="1"/>
  <c r="S969" i="1"/>
  <c r="S970" i="1"/>
  <c r="V970" i="1" s="1"/>
  <c r="S971" i="1"/>
  <c r="S972" i="1"/>
  <c r="S973" i="1"/>
  <c r="S974" i="1"/>
  <c r="S975" i="1"/>
  <c r="S976" i="1"/>
  <c r="S977" i="1"/>
  <c r="S978" i="1"/>
  <c r="V978" i="1" s="1"/>
  <c r="S979" i="1"/>
  <c r="S980" i="1"/>
  <c r="S981" i="1"/>
  <c r="S982" i="1"/>
  <c r="S983" i="1"/>
  <c r="S984" i="1"/>
  <c r="S985" i="1"/>
  <c r="S986" i="1"/>
  <c r="V986" i="1" s="1"/>
  <c r="S987" i="1"/>
  <c r="S988" i="1"/>
  <c r="S989" i="1"/>
  <c r="W989" i="1" s="1"/>
  <c r="S990" i="1"/>
  <c r="S991" i="1"/>
  <c r="S992" i="1"/>
  <c r="S993" i="1"/>
  <c r="S994" i="1"/>
  <c r="V994" i="1" s="1"/>
  <c r="S995" i="1"/>
  <c r="S996" i="1"/>
  <c r="S997" i="1"/>
  <c r="S998" i="1"/>
  <c r="S999" i="1"/>
  <c r="S1000" i="1"/>
  <c r="S1001" i="1"/>
  <c r="S1002" i="1"/>
  <c r="V1002" i="1" s="1"/>
  <c r="S1003" i="1"/>
  <c r="S1004" i="1"/>
  <c r="S1005" i="1"/>
  <c r="S1006" i="1"/>
  <c r="S1007" i="1"/>
  <c r="W1007" i="1" s="1"/>
  <c r="S1008" i="1"/>
  <c r="S1009" i="1"/>
  <c r="S1010" i="1"/>
  <c r="V1010" i="1" s="1"/>
  <c r="S1011" i="1"/>
  <c r="S1012" i="1"/>
  <c r="S1013" i="1"/>
  <c r="W1013" i="1" s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V1026" i="1" s="1"/>
  <c r="S1027" i="1"/>
  <c r="S1028" i="1"/>
  <c r="S1029" i="1"/>
  <c r="S1030" i="1"/>
  <c r="S1031" i="1"/>
  <c r="V1488" i="1" l="1"/>
  <c r="W1488" i="1"/>
  <c r="V1037" i="1"/>
  <c r="W1037" i="1"/>
  <c r="V1045" i="1"/>
  <c r="W1045" i="1"/>
  <c r="V1053" i="1"/>
  <c r="W1053" i="1"/>
  <c r="V1061" i="1"/>
  <c r="W1061" i="1"/>
  <c r="V1069" i="1"/>
  <c r="W1069" i="1"/>
  <c r="V1077" i="1"/>
  <c r="W1077" i="1"/>
  <c r="V1085" i="1"/>
  <c r="W1085" i="1"/>
  <c r="V1093" i="1"/>
  <c r="W1093" i="1"/>
  <c r="V1101" i="1"/>
  <c r="W1101" i="1"/>
  <c r="V1109" i="1"/>
  <c r="W1109" i="1"/>
  <c r="V1117" i="1"/>
  <c r="W1117" i="1"/>
  <c r="V1125" i="1"/>
  <c r="W1125" i="1"/>
  <c r="V1133" i="1"/>
  <c r="W1133" i="1"/>
  <c r="V1141" i="1"/>
  <c r="W1141" i="1"/>
  <c r="V1149" i="1"/>
  <c r="W1149" i="1"/>
  <c r="V1157" i="1"/>
  <c r="W1157" i="1"/>
  <c r="V1165" i="1"/>
  <c r="W1165" i="1"/>
  <c r="V1173" i="1"/>
  <c r="W1173" i="1"/>
  <c r="V1181" i="1"/>
  <c r="W1181" i="1"/>
  <c r="V1189" i="1"/>
  <c r="W1189" i="1"/>
  <c r="V1197" i="1"/>
  <c r="W1197" i="1"/>
  <c r="V1205" i="1"/>
  <c r="W1205" i="1"/>
  <c r="V1215" i="1"/>
  <c r="W1215" i="1"/>
  <c r="V1223" i="1"/>
  <c r="W1223" i="1"/>
  <c r="V1231" i="1"/>
  <c r="W1231" i="1"/>
  <c r="V1239" i="1"/>
  <c r="W1239" i="1"/>
  <c r="V1247" i="1"/>
  <c r="W1247" i="1"/>
  <c r="V1255" i="1"/>
  <c r="W1255" i="1"/>
  <c r="V1263" i="1"/>
  <c r="W1263" i="1"/>
  <c r="V1271" i="1"/>
  <c r="W1271" i="1"/>
  <c r="V1279" i="1"/>
  <c r="W1279" i="1"/>
  <c r="V1287" i="1"/>
  <c r="W1287" i="1"/>
  <c r="V1296" i="1"/>
  <c r="W1296" i="1"/>
  <c r="V1304" i="1"/>
  <c r="W1304" i="1"/>
  <c r="V1312" i="1"/>
  <c r="W1312" i="1"/>
  <c r="V1320" i="1"/>
  <c r="W1320" i="1"/>
  <c r="V1328" i="1"/>
  <c r="W1328" i="1"/>
  <c r="V1336" i="1"/>
  <c r="W1336" i="1"/>
  <c r="V1344" i="1"/>
  <c r="W1344" i="1"/>
  <c r="V1352" i="1"/>
  <c r="W1352" i="1"/>
  <c r="V1360" i="1"/>
  <c r="W1360" i="1"/>
  <c r="V1368" i="1"/>
  <c r="W1368" i="1"/>
  <c r="V1376" i="1"/>
  <c r="W1376" i="1"/>
  <c r="V1384" i="1"/>
  <c r="W1384" i="1"/>
  <c r="V1392" i="1"/>
  <c r="W1392" i="1"/>
  <c r="V1400" i="1"/>
  <c r="W1400" i="1"/>
  <c r="V1408" i="1"/>
  <c r="W1408" i="1"/>
  <c r="V1416" i="1"/>
  <c r="W1416" i="1"/>
  <c r="V1424" i="1"/>
  <c r="W1424" i="1"/>
  <c r="V1432" i="1"/>
  <c r="W1432" i="1"/>
  <c r="V1440" i="1"/>
  <c r="W1440" i="1"/>
  <c r="V1448" i="1"/>
  <c r="W1448" i="1"/>
  <c r="V1456" i="1"/>
  <c r="W1456" i="1"/>
  <c r="V1464" i="1"/>
  <c r="W1464" i="1"/>
  <c r="V1472" i="1"/>
  <c r="W1472" i="1"/>
  <c r="V1480" i="1"/>
  <c r="W1480" i="1"/>
  <c r="V1038" i="1"/>
  <c r="W1038" i="1"/>
  <c r="V1046" i="1"/>
  <c r="W1046" i="1"/>
  <c r="V1054" i="1"/>
  <c r="W1054" i="1"/>
  <c r="V1062" i="1"/>
  <c r="W1062" i="1"/>
  <c r="V1070" i="1"/>
  <c r="W1070" i="1"/>
  <c r="V1078" i="1"/>
  <c r="W1078" i="1"/>
  <c r="V1086" i="1"/>
  <c r="W1086" i="1"/>
  <c r="V1094" i="1"/>
  <c r="W1094" i="1"/>
  <c r="V1102" i="1"/>
  <c r="W1102" i="1"/>
  <c r="V1110" i="1"/>
  <c r="W1110" i="1"/>
  <c r="V1118" i="1"/>
  <c r="W1118" i="1"/>
  <c r="V1126" i="1"/>
  <c r="W1126" i="1"/>
  <c r="V1134" i="1"/>
  <c r="W1134" i="1"/>
  <c r="V1142" i="1"/>
  <c r="W1142" i="1"/>
  <c r="V1150" i="1"/>
  <c r="W1150" i="1"/>
  <c r="V1158" i="1"/>
  <c r="W1158" i="1"/>
  <c r="V1166" i="1"/>
  <c r="W1166" i="1"/>
  <c r="V1174" i="1"/>
  <c r="W1174" i="1"/>
  <c r="V1182" i="1"/>
  <c r="W1182" i="1"/>
  <c r="V1190" i="1"/>
  <c r="W1190" i="1"/>
  <c r="V1198" i="1"/>
  <c r="W1198" i="1"/>
  <c r="V1206" i="1"/>
  <c r="W1206" i="1"/>
  <c r="V1216" i="1"/>
  <c r="W1216" i="1"/>
  <c r="V1224" i="1"/>
  <c r="W1224" i="1"/>
  <c r="V1232" i="1"/>
  <c r="W1232" i="1"/>
  <c r="V1240" i="1"/>
  <c r="W1240" i="1"/>
  <c r="V1248" i="1"/>
  <c r="W1248" i="1"/>
  <c r="V1256" i="1"/>
  <c r="W1256" i="1"/>
  <c r="V1264" i="1"/>
  <c r="W1264" i="1"/>
  <c r="V1272" i="1"/>
  <c r="W1272" i="1"/>
  <c r="V1280" i="1"/>
  <c r="W1280" i="1"/>
  <c r="V1297" i="1"/>
  <c r="W1297" i="1"/>
  <c r="V1305" i="1"/>
  <c r="W1305" i="1"/>
  <c r="V1313" i="1"/>
  <c r="W1313" i="1"/>
  <c r="V1321" i="1"/>
  <c r="W1321" i="1"/>
  <c r="V1329" i="1"/>
  <c r="W1329" i="1"/>
  <c r="V1337" i="1"/>
  <c r="W1337" i="1"/>
  <c r="V1345" i="1"/>
  <c r="W1345" i="1"/>
  <c r="V1353" i="1"/>
  <c r="W1353" i="1"/>
  <c r="V1361" i="1"/>
  <c r="W1361" i="1"/>
  <c r="V1369" i="1"/>
  <c r="W1369" i="1"/>
  <c r="V1377" i="1"/>
  <c r="W1377" i="1"/>
  <c r="V1385" i="1"/>
  <c r="W1385" i="1"/>
  <c r="V1393" i="1"/>
  <c r="W1393" i="1"/>
  <c r="V1401" i="1"/>
  <c r="W1401" i="1"/>
  <c r="V1409" i="1"/>
  <c r="W1409" i="1"/>
  <c r="V1417" i="1"/>
  <c r="W1417" i="1"/>
  <c r="V1425" i="1"/>
  <c r="W1425" i="1"/>
  <c r="V1433" i="1"/>
  <c r="W1433" i="1"/>
  <c r="V1441" i="1"/>
  <c r="W1441" i="1"/>
  <c r="V1449" i="1"/>
  <c r="W1449" i="1"/>
  <c r="V1457" i="1"/>
  <c r="W1457" i="1"/>
  <c r="V1465" i="1"/>
  <c r="W1465" i="1"/>
  <c r="V1473" i="1"/>
  <c r="W1473" i="1"/>
  <c r="V1481" i="1"/>
  <c r="W1481" i="1"/>
  <c r="V1489" i="1"/>
  <c r="W1489" i="1"/>
  <c r="V1482" i="1"/>
  <c r="W1482" i="1"/>
  <c r="V1490" i="1"/>
  <c r="W1490" i="1"/>
  <c r="V1039" i="1"/>
  <c r="W1039" i="1"/>
  <c r="V1055" i="1"/>
  <c r="W1055" i="1"/>
  <c r="V1071" i="1"/>
  <c r="W1071" i="1"/>
  <c r="V1087" i="1"/>
  <c r="W1087" i="1"/>
  <c r="V1103" i="1"/>
  <c r="W1103" i="1"/>
  <c r="V1111" i="1"/>
  <c r="W1111" i="1"/>
  <c r="V1127" i="1"/>
  <c r="W1127" i="1"/>
  <c r="V1135" i="1"/>
  <c r="W1135" i="1"/>
  <c r="V1143" i="1"/>
  <c r="W1143" i="1"/>
  <c r="V1151" i="1"/>
  <c r="W1151" i="1"/>
  <c r="V1159" i="1"/>
  <c r="W1159" i="1"/>
  <c r="V1167" i="1"/>
  <c r="W1167" i="1"/>
  <c r="V1175" i="1"/>
  <c r="W1175" i="1"/>
  <c r="V1183" i="1"/>
  <c r="W1183" i="1"/>
  <c r="V1191" i="1"/>
  <c r="W1191" i="1"/>
  <c r="V1199" i="1"/>
  <c r="W1199" i="1"/>
  <c r="V1207" i="1"/>
  <c r="W1207" i="1"/>
  <c r="V1217" i="1"/>
  <c r="W1217" i="1"/>
  <c r="V1233" i="1"/>
  <c r="W1233" i="1"/>
  <c r="V1241" i="1"/>
  <c r="W1241" i="1"/>
  <c r="V1249" i="1"/>
  <c r="W1249" i="1"/>
  <c r="V1257" i="1"/>
  <c r="W1257" i="1"/>
  <c r="V1265" i="1"/>
  <c r="W1265" i="1"/>
  <c r="V1273" i="1"/>
  <c r="W1273" i="1"/>
  <c r="V1281" i="1"/>
  <c r="W1281" i="1"/>
  <c r="V1290" i="1"/>
  <c r="W1290" i="1"/>
  <c r="V1298" i="1"/>
  <c r="W1298" i="1"/>
  <c r="V1306" i="1"/>
  <c r="W1306" i="1"/>
  <c r="V1314" i="1"/>
  <c r="W1314" i="1"/>
  <c r="V1322" i="1"/>
  <c r="W1322" i="1"/>
  <c r="V1330" i="1"/>
  <c r="W1330" i="1"/>
  <c r="V1338" i="1"/>
  <c r="W1338" i="1"/>
  <c r="V1346" i="1"/>
  <c r="W1346" i="1"/>
  <c r="V1354" i="1"/>
  <c r="W1354" i="1"/>
  <c r="V1362" i="1"/>
  <c r="W1362" i="1"/>
  <c r="V1370" i="1"/>
  <c r="W1370" i="1"/>
  <c r="V1378" i="1"/>
  <c r="W1378" i="1"/>
  <c r="V1386" i="1"/>
  <c r="W1386" i="1"/>
  <c r="V1394" i="1"/>
  <c r="W1394" i="1"/>
  <c r="V1402" i="1"/>
  <c r="W1402" i="1"/>
  <c r="V1410" i="1"/>
  <c r="W1410" i="1"/>
  <c r="V1418" i="1"/>
  <c r="W1418" i="1"/>
  <c r="V1426" i="1"/>
  <c r="W1426" i="1"/>
  <c r="V1434" i="1"/>
  <c r="W1434" i="1"/>
  <c r="V1442" i="1"/>
  <c r="W1442" i="1"/>
  <c r="V1450" i="1"/>
  <c r="W1450" i="1"/>
  <c r="V1458" i="1"/>
  <c r="W1458" i="1"/>
  <c r="V1466" i="1"/>
  <c r="W1466" i="1"/>
  <c r="V1474" i="1"/>
  <c r="W1474" i="1"/>
  <c r="V1040" i="1"/>
  <c r="W1040" i="1"/>
  <c r="V1048" i="1"/>
  <c r="W1048" i="1"/>
  <c r="V1056" i="1"/>
  <c r="W1056" i="1"/>
  <c r="V1064" i="1"/>
  <c r="W1064" i="1"/>
  <c r="V1072" i="1"/>
  <c r="W1072" i="1"/>
  <c r="V1080" i="1"/>
  <c r="W1080" i="1"/>
  <c r="V1088" i="1"/>
  <c r="W1088" i="1"/>
  <c r="V1096" i="1"/>
  <c r="W1096" i="1"/>
  <c r="V1104" i="1"/>
  <c r="W1104" i="1"/>
  <c r="V1112" i="1"/>
  <c r="W1112" i="1"/>
  <c r="V1120" i="1"/>
  <c r="W1120" i="1"/>
  <c r="V1128" i="1"/>
  <c r="W1128" i="1"/>
  <c r="V1136" i="1"/>
  <c r="W1136" i="1"/>
  <c r="V1144" i="1"/>
  <c r="W1144" i="1"/>
  <c r="V1152" i="1"/>
  <c r="W1152" i="1"/>
  <c r="V1160" i="1"/>
  <c r="W1160" i="1"/>
  <c r="V1168" i="1"/>
  <c r="W1168" i="1"/>
  <c r="V1176" i="1"/>
  <c r="W1176" i="1"/>
  <c r="V1184" i="1"/>
  <c r="W1184" i="1"/>
  <c r="V1192" i="1"/>
  <c r="W1192" i="1"/>
  <c r="V1200" i="1"/>
  <c r="W1200" i="1"/>
  <c r="V1209" i="1"/>
  <c r="W1209" i="1"/>
  <c r="V1218" i="1"/>
  <c r="W1218" i="1"/>
  <c r="V1226" i="1"/>
  <c r="W1226" i="1"/>
  <c r="V1234" i="1"/>
  <c r="W1234" i="1"/>
  <c r="V1242" i="1"/>
  <c r="W1242" i="1"/>
  <c r="V1250" i="1"/>
  <c r="W1250" i="1"/>
  <c r="V1258" i="1"/>
  <c r="W1258" i="1"/>
  <c r="V1266" i="1"/>
  <c r="W1266" i="1"/>
  <c r="V1274" i="1"/>
  <c r="W1274" i="1"/>
  <c r="V1282" i="1"/>
  <c r="W1282" i="1"/>
  <c r="V1291" i="1"/>
  <c r="W1291" i="1"/>
  <c r="V1299" i="1"/>
  <c r="W1299" i="1"/>
  <c r="V1307" i="1"/>
  <c r="W1307" i="1"/>
  <c r="V1315" i="1"/>
  <c r="W1315" i="1"/>
  <c r="V1323" i="1"/>
  <c r="W1323" i="1"/>
  <c r="V1331" i="1"/>
  <c r="W1331" i="1"/>
  <c r="V1339" i="1"/>
  <c r="W1339" i="1"/>
  <c r="V1355" i="1"/>
  <c r="W1355" i="1"/>
  <c r="V1363" i="1"/>
  <c r="W1363" i="1"/>
  <c r="V1371" i="1"/>
  <c r="W1371" i="1"/>
  <c r="V1379" i="1"/>
  <c r="W1379" i="1"/>
  <c r="V1387" i="1"/>
  <c r="W1387" i="1"/>
  <c r="V1395" i="1"/>
  <c r="W1395" i="1"/>
  <c r="V1403" i="1"/>
  <c r="W1403" i="1"/>
  <c r="V1411" i="1"/>
  <c r="W1411" i="1"/>
  <c r="V1419" i="1"/>
  <c r="W1419" i="1"/>
  <c r="V1427" i="1"/>
  <c r="W1427" i="1"/>
  <c r="V1435" i="1"/>
  <c r="W1435" i="1"/>
  <c r="V1443" i="1"/>
  <c r="W1443" i="1"/>
  <c r="V1451" i="1"/>
  <c r="W1451" i="1"/>
  <c r="V1459" i="1"/>
  <c r="W1459" i="1"/>
  <c r="V1467" i="1"/>
  <c r="W1467" i="1"/>
  <c r="V1475" i="1"/>
  <c r="W1475" i="1"/>
  <c r="V1483" i="1"/>
  <c r="W1483" i="1"/>
  <c r="V1491" i="1"/>
  <c r="W1491" i="1"/>
  <c r="V1047" i="1"/>
  <c r="W1047" i="1"/>
  <c r="V1063" i="1"/>
  <c r="W1063" i="1"/>
  <c r="V1079" i="1"/>
  <c r="W1079" i="1"/>
  <c r="V1095" i="1"/>
  <c r="W1095" i="1"/>
  <c r="V1119" i="1"/>
  <c r="W1119" i="1"/>
  <c r="V1225" i="1"/>
  <c r="W1225" i="1"/>
  <c r="V1033" i="1"/>
  <c r="W1033" i="1"/>
  <c r="V1041" i="1"/>
  <c r="W1041" i="1"/>
  <c r="V1049" i="1"/>
  <c r="W1049" i="1"/>
  <c r="V1057" i="1"/>
  <c r="W1057" i="1"/>
  <c r="V1065" i="1"/>
  <c r="W1065" i="1"/>
  <c r="V1073" i="1"/>
  <c r="W1073" i="1"/>
  <c r="V1081" i="1"/>
  <c r="W1081" i="1"/>
  <c r="V1089" i="1"/>
  <c r="W1089" i="1"/>
  <c r="V1097" i="1"/>
  <c r="W1097" i="1"/>
  <c r="V1105" i="1"/>
  <c r="W1105" i="1"/>
  <c r="V1113" i="1"/>
  <c r="W1113" i="1"/>
  <c r="V1121" i="1"/>
  <c r="W1121" i="1"/>
  <c r="V1129" i="1"/>
  <c r="W1129" i="1"/>
  <c r="V1137" i="1"/>
  <c r="W1137" i="1"/>
  <c r="V1145" i="1"/>
  <c r="W1145" i="1"/>
  <c r="V1153" i="1"/>
  <c r="W1153" i="1"/>
  <c r="V1161" i="1"/>
  <c r="W1161" i="1"/>
  <c r="V1169" i="1"/>
  <c r="W1169" i="1"/>
  <c r="V1177" i="1"/>
  <c r="W1177" i="1"/>
  <c r="V1185" i="1"/>
  <c r="W1185" i="1"/>
  <c r="V1193" i="1"/>
  <c r="W1193" i="1"/>
  <c r="V1201" i="1"/>
  <c r="W1201" i="1"/>
  <c r="V1210" i="1"/>
  <c r="W1210" i="1"/>
  <c r="V1219" i="1"/>
  <c r="W1219" i="1"/>
  <c r="V1227" i="1"/>
  <c r="W1227" i="1"/>
  <c r="V1235" i="1"/>
  <c r="W1235" i="1"/>
  <c r="V1243" i="1"/>
  <c r="W1243" i="1"/>
  <c r="V1251" i="1"/>
  <c r="W1251" i="1"/>
  <c r="V1259" i="1"/>
  <c r="W1259" i="1"/>
  <c r="V1267" i="1"/>
  <c r="W1267" i="1"/>
  <c r="V1275" i="1"/>
  <c r="W1275" i="1"/>
  <c r="V1283" i="1"/>
  <c r="W1283" i="1"/>
  <c r="V1292" i="1"/>
  <c r="W1292" i="1"/>
  <c r="V1300" i="1"/>
  <c r="W1300" i="1"/>
  <c r="V1308" i="1"/>
  <c r="W1308" i="1"/>
  <c r="V1316" i="1"/>
  <c r="W1316" i="1"/>
  <c r="V1324" i="1"/>
  <c r="W1324" i="1"/>
  <c r="V1332" i="1"/>
  <c r="W1332" i="1"/>
  <c r="V1340" i="1"/>
  <c r="W1340" i="1"/>
  <c r="V1348" i="1"/>
  <c r="W1348" i="1"/>
  <c r="V1356" i="1"/>
  <c r="W1356" i="1"/>
  <c r="V1364" i="1"/>
  <c r="W1364" i="1"/>
  <c r="V1372" i="1"/>
  <c r="W1372" i="1"/>
  <c r="V1380" i="1"/>
  <c r="W1380" i="1"/>
  <c r="V1388" i="1"/>
  <c r="W1388" i="1"/>
  <c r="V1396" i="1"/>
  <c r="W1396" i="1"/>
  <c r="V1404" i="1"/>
  <c r="W1404" i="1"/>
  <c r="V1412" i="1"/>
  <c r="W1412" i="1"/>
  <c r="V1420" i="1"/>
  <c r="W1420" i="1"/>
  <c r="V1428" i="1"/>
  <c r="W1428" i="1"/>
  <c r="V1436" i="1"/>
  <c r="W1436" i="1"/>
  <c r="V1444" i="1"/>
  <c r="W1444" i="1"/>
  <c r="V1452" i="1"/>
  <c r="W1452" i="1"/>
  <c r="V1460" i="1"/>
  <c r="W1460" i="1"/>
  <c r="V1468" i="1"/>
  <c r="W1468" i="1"/>
  <c r="V1476" i="1"/>
  <c r="W1476" i="1"/>
  <c r="V1484" i="1"/>
  <c r="W1484" i="1"/>
  <c r="V1492" i="1"/>
  <c r="W1492" i="1"/>
  <c r="V1034" i="1"/>
  <c r="W1034" i="1"/>
  <c r="V1042" i="1"/>
  <c r="W1042" i="1"/>
  <c r="V1050" i="1"/>
  <c r="W1050" i="1"/>
  <c r="V1058" i="1"/>
  <c r="W1058" i="1"/>
  <c r="V1066" i="1"/>
  <c r="W1066" i="1"/>
  <c r="V1074" i="1"/>
  <c r="W1074" i="1"/>
  <c r="V1082" i="1"/>
  <c r="W1082" i="1"/>
  <c r="V1090" i="1"/>
  <c r="W1090" i="1"/>
  <c r="V1098" i="1"/>
  <c r="W1098" i="1"/>
  <c r="V1106" i="1"/>
  <c r="W1106" i="1"/>
  <c r="V1114" i="1"/>
  <c r="W1114" i="1"/>
  <c r="V1122" i="1"/>
  <c r="W1122" i="1"/>
  <c r="V1130" i="1"/>
  <c r="W1130" i="1"/>
  <c r="V1138" i="1"/>
  <c r="W1138" i="1"/>
  <c r="V1146" i="1"/>
  <c r="W1146" i="1"/>
  <c r="V1154" i="1"/>
  <c r="W1154" i="1"/>
  <c r="V1162" i="1"/>
  <c r="W1162" i="1"/>
  <c r="V1170" i="1"/>
  <c r="W1170" i="1"/>
  <c r="V1178" i="1"/>
  <c r="W1178" i="1"/>
  <c r="V1186" i="1"/>
  <c r="W1186" i="1"/>
  <c r="V1194" i="1"/>
  <c r="W1194" i="1"/>
  <c r="V1202" i="1"/>
  <c r="W1202" i="1"/>
  <c r="V1211" i="1"/>
  <c r="W1211" i="1"/>
  <c r="V1220" i="1"/>
  <c r="W1220" i="1"/>
  <c r="V1228" i="1"/>
  <c r="W1228" i="1"/>
  <c r="V1236" i="1"/>
  <c r="W1236" i="1"/>
  <c r="V1244" i="1"/>
  <c r="W1244" i="1"/>
  <c r="V1252" i="1"/>
  <c r="W1252" i="1"/>
  <c r="V1260" i="1"/>
  <c r="W1260" i="1"/>
  <c r="V1268" i="1"/>
  <c r="W1268" i="1"/>
  <c r="V1276" i="1"/>
  <c r="W1276" i="1"/>
  <c r="V1284" i="1"/>
  <c r="W1284" i="1"/>
  <c r="V1293" i="1"/>
  <c r="W1293" i="1"/>
  <c r="V1301" i="1"/>
  <c r="W1301" i="1"/>
  <c r="V1309" i="1"/>
  <c r="W1309" i="1"/>
  <c r="V1317" i="1"/>
  <c r="W1317" i="1"/>
  <c r="V1325" i="1"/>
  <c r="W1325" i="1"/>
  <c r="V1333" i="1"/>
  <c r="W1333" i="1"/>
  <c r="V1341" i="1"/>
  <c r="W1341" i="1"/>
  <c r="V1349" i="1"/>
  <c r="W1349" i="1"/>
  <c r="V1357" i="1"/>
  <c r="W1357" i="1"/>
  <c r="V1365" i="1"/>
  <c r="W1365" i="1"/>
  <c r="V1373" i="1"/>
  <c r="W1373" i="1"/>
  <c r="V1381" i="1"/>
  <c r="W1381" i="1"/>
  <c r="V1389" i="1"/>
  <c r="W1389" i="1"/>
  <c r="V1397" i="1"/>
  <c r="W1397" i="1"/>
  <c r="V1405" i="1"/>
  <c r="W1405" i="1"/>
  <c r="V1413" i="1"/>
  <c r="W1413" i="1"/>
  <c r="V1421" i="1"/>
  <c r="W1421" i="1"/>
  <c r="V1429" i="1"/>
  <c r="W1429" i="1"/>
  <c r="V1437" i="1"/>
  <c r="W1437" i="1"/>
  <c r="V1445" i="1"/>
  <c r="W1445" i="1"/>
  <c r="V1453" i="1"/>
  <c r="W1453" i="1"/>
  <c r="V1461" i="1"/>
  <c r="W1461" i="1"/>
  <c r="V1469" i="1"/>
  <c r="W1469" i="1"/>
  <c r="V1477" i="1"/>
  <c r="W1477" i="1"/>
  <c r="V1485" i="1"/>
  <c r="W1485" i="1"/>
  <c r="V1493" i="1"/>
  <c r="W1493" i="1"/>
  <c r="V1036" i="1"/>
  <c r="W1036" i="1"/>
  <c r="V1044" i="1"/>
  <c r="W1044" i="1"/>
  <c r="V1052" i="1"/>
  <c r="W1052" i="1"/>
  <c r="V1060" i="1"/>
  <c r="W1060" i="1"/>
  <c r="V1068" i="1"/>
  <c r="W1068" i="1"/>
  <c r="V1076" i="1"/>
  <c r="W1076" i="1"/>
  <c r="V1084" i="1"/>
  <c r="W1084" i="1"/>
  <c r="V1092" i="1"/>
  <c r="W1092" i="1"/>
  <c r="V1100" i="1"/>
  <c r="W1100" i="1"/>
  <c r="V1108" i="1"/>
  <c r="W1108" i="1"/>
  <c r="V1116" i="1"/>
  <c r="W1116" i="1"/>
  <c r="V1124" i="1"/>
  <c r="W1124" i="1"/>
  <c r="V1132" i="1"/>
  <c r="W1132" i="1"/>
  <c r="V1140" i="1"/>
  <c r="W1140" i="1"/>
  <c r="V1148" i="1"/>
  <c r="W1148" i="1"/>
  <c r="V1156" i="1"/>
  <c r="W1156" i="1"/>
  <c r="V1164" i="1"/>
  <c r="W1164" i="1"/>
  <c r="V1172" i="1"/>
  <c r="W1172" i="1"/>
  <c r="V1180" i="1"/>
  <c r="W1180" i="1"/>
  <c r="V1188" i="1"/>
  <c r="W1188" i="1"/>
  <c r="V1196" i="1"/>
  <c r="W1196" i="1"/>
  <c r="V1204" i="1"/>
  <c r="W1204" i="1"/>
  <c r="V1213" i="1"/>
  <c r="W1213" i="1"/>
  <c r="V1222" i="1"/>
  <c r="W1222" i="1"/>
  <c r="V1230" i="1"/>
  <c r="W1230" i="1"/>
  <c r="V1238" i="1"/>
  <c r="W1238" i="1"/>
  <c r="V1246" i="1"/>
  <c r="W1246" i="1"/>
  <c r="V1254" i="1"/>
  <c r="W1254" i="1"/>
  <c r="V1262" i="1"/>
  <c r="W1262" i="1"/>
  <c r="V1270" i="1"/>
  <c r="W1270" i="1"/>
  <c r="V1278" i="1"/>
  <c r="W1278" i="1"/>
  <c r="V1286" i="1"/>
  <c r="W1286" i="1"/>
  <c r="V1295" i="1"/>
  <c r="W1295" i="1"/>
  <c r="V1303" i="1"/>
  <c r="W1303" i="1"/>
  <c r="V1311" i="1"/>
  <c r="W1311" i="1"/>
  <c r="V1319" i="1"/>
  <c r="W1319" i="1"/>
  <c r="V1327" i="1"/>
  <c r="W1327" i="1"/>
  <c r="V1335" i="1"/>
  <c r="W1335" i="1"/>
  <c r="V1343" i="1"/>
  <c r="W1343" i="1"/>
  <c r="V1351" i="1"/>
  <c r="W1351" i="1"/>
  <c r="V1359" i="1"/>
  <c r="W1359" i="1"/>
  <c r="V1367" i="1"/>
  <c r="W1367" i="1"/>
  <c r="V1375" i="1"/>
  <c r="W1375" i="1"/>
  <c r="V1383" i="1"/>
  <c r="W1383" i="1"/>
  <c r="V1391" i="1"/>
  <c r="W1391" i="1"/>
  <c r="V1399" i="1"/>
  <c r="W1399" i="1"/>
  <c r="V1407" i="1"/>
  <c r="W1407" i="1"/>
  <c r="V1415" i="1"/>
  <c r="W1415" i="1"/>
  <c r="V1423" i="1"/>
  <c r="W1423" i="1"/>
  <c r="V1431" i="1"/>
  <c r="W1431" i="1"/>
  <c r="V1439" i="1"/>
  <c r="W1439" i="1"/>
  <c r="V1447" i="1"/>
  <c r="W1447" i="1"/>
  <c r="V1455" i="1"/>
  <c r="W1455" i="1"/>
  <c r="V1463" i="1"/>
  <c r="W1463" i="1"/>
  <c r="V1471" i="1"/>
  <c r="W1471" i="1"/>
  <c r="V1479" i="1"/>
  <c r="W1479" i="1"/>
  <c r="V1487" i="1"/>
  <c r="W1487" i="1"/>
  <c r="V1035" i="1"/>
  <c r="W1035" i="1"/>
  <c r="V1043" i="1"/>
  <c r="W1043" i="1"/>
  <c r="V1051" i="1"/>
  <c r="W1051" i="1"/>
  <c r="V1059" i="1"/>
  <c r="W1059" i="1"/>
  <c r="V1067" i="1"/>
  <c r="W1067" i="1"/>
  <c r="V1075" i="1"/>
  <c r="W1075" i="1"/>
  <c r="V1083" i="1"/>
  <c r="W1083" i="1"/>
  <c r="V1091" i="1"/>
  <c r="W1091" i="1"/>
  <c r="V1099" i="1"/>
  <c r="W1099" i="1"/>
  <c r="V1107" i="1"/>
  <c r="W1107" i="1"/>
  <c r="V1115" i="1"/>
  <c r="W1115" i="1"/>
  <c r="V1123" i="1"/>
  <c r="W1123" i="1"/>
  <c r="V1131" i="1"/>
  <c r="W1131" i="1"/>
  <c r="V1139" i="1"/>
  <c r="W1139" i="1"/>
  <c r="V1147" i="1"/>
  <c r="W1147" i="1"/>
  <c r="V1155" i="1"/>
  <c r="W1155" i="1"/>
  <c r="V1163" i="1"/>
  <c r="W1163" i="1"/>
  <c r="V1171" i="1"/>
  <c r="W1171" i="1"/>
  <c r="V1179" i="1"/>
  <c r="W1179" i="1"/>
  <c r="V1187" i="1"/>
  <c r="W1187" i="1"/>
  <c r="V1195" i="1"/>
  <c r="W1195" i="1"/>
  <c r="V1203" i="1"/>
  <c r="W1203" i="1"/>
  <c r="V1212" i="1"/>
  <c r="W1212" i="1"/>
  <c r="V1221" i="1"/>
  <c r="W1221" i="1"/>
  <c r="V1229" i="1"/>
  <c r="W1229" i="1"/>
  <c r="V1237" i="1"/>
  <c r="W1237" i="1"/>
  <c r="V1245" i="1"/>
  <c r="W1245" i="1"/>
  <c r="V1253" i="1"/>
  <c r="W1253" i="1"/>
  <c r="V1261" i="1"/>
  <c r="W1261" i="1"/>
  <c r="V1269" i="1"/>
  <c r="W1269" i="1"/>
  <c r="V1277" i="1"/>
  <c r="W1277" i="1"/>
  <c r="V1285" i="1"/>
  <c r="W1285" i="1"/>
  <c r="V1294" i="1"/>
  <c r="W1294" i="1"/>
  <c r="V1302" i="1"/>
  <c r="W1302" i="1"/>
  <c r="V1310" i="1"/>
  <c r="W1310" i="1"/>
  <c r="V1318" i="1"/>
  <c r="W1318" i="1"/>
  <c r="V1326" i="1"/>
  <c r="W1326" i="1"/>
  <c r="V1334" i="1"/>
  <c r="W1334" i="1"/>
  <c r="V1342" i="1"/>
  <c r="W1342" i="1"/>
  <c r="V1350" i="1"/>
  <c r="W1350" i="1"/>
  <c r="V1358" i="1"/>
  <c r="W1358" i="1"/>
  <c r="V1366" i="1"/>
  <c r="W1366" i="1"/>
  <c r="V1374" i="1"/>
  <c r="W1374" i="1"/>
  <c r="V1382" i="1"/>
  <c r="W1382" i="1"/>
  <c r="V1390" i="1"/>
  <c r="W1390" i="1"/>
  <c r="V1398" i="1"/>
  <c r="W1398" i="1"/>
  <c r="V1406" i="1"/>
  <c r="W1406" i="1"/>
  <c r="V1414" i="1"/>
  <c r="W1414" i="1"/>
  <c r="V1422" i="1"/>
  <c r="W1422" i="1"/>
  <c r="V1430" i="1"/>
  <c r="W1430" i="1"/>
  <c r="V1438" i="1"/>
  <c r="W1438" i="1"/>
  <c r="V1446" i="1"/>
  <c r="W1446" i="1"/>
  <c r="V1454" i="1"/>
  <c r="W1454" i="1"/>
  <c r="V1462" i="1"/>
  <c r="W1462" i="1"/>
  <c r="V1470" i="1"/>
  <c r="W1470" i="1"/>
  <c r="V1478" i="1"/>
  <c r="W1478" i="1"/>
  <c r="V1486" i="1"/>
  <c r="W1486" i="1"/>
  <c r="V1494" i="1"/>
  <c r="W1494" i="1"/>
  <c r="V1495" i="1"/>
  <c r="W1495" i="1"/>
  <c r="V206" i="1"/>
  <c r="V11" i="1"/>
  <c r="V878" i="1"/>
  <c r="V989" i="1"/>
  <c r="V932" i="1"/>
  <c r="V708" i="1"/>
  <c r="V660" i="1"/>
  <c r="V596" i="1"/>
  <c r="V540" i="1"/>
  <c r="V977" i="1"/>
  <c r="W977" i="1"/>
  <c r="V921" i="1"/>
  <c r="W921" i="1"/>
  <c r="V873" i="1"/>
  <c r="W873" i="1"/>
  <c r="V697" i="1"/>
  <c r="W697" i="1"/>
  <c r="W633" i="1"/>
  <c r="V633" i="1"/>
  <c r="V569" i="1"/>
  <c r="W569" i="1"/>
  <c r="W513" i="1"/>
  <c r="V513" i="1"/>
  <c r="V473" i="1"/>
  <c r="W473" i="1"/>
  <c r="V417" i="1"/>
  <c r="W417" i="1"/>
  <c r="V369" i="1"/>
  <c r="W369" i="1"/>
  <c r="V337" i="1"/>
  <c r="W337" i="1"/>
  <c r="V297" i="1"/>
  <c r="W297" i="1"/>
  <c r="V241" i="1"/>
  <c r="W241" i="1"/>
  <c r="V57" i="1"/>
  <c r="W57" i="1"/>
  <c r="V33" i="1"/>
  <c r="W33" i="1"/>
  <c r="V607" i="1"/>
  <c r="W607" i="1"/>
  <c r="V599" i="1"/>
  <c r="W599" i="1"/>
  <c r="V583" i="1"/>
  <c r="W583" i="1"/>
  <c r="V567" i="1"/>
  <c r="W567" i="1"/>
  <c r="V559" i="1"/>
  <c r="W559" i="1"/>
  <c r="V551" i="1"/>
  <c r="W551" i="1"/>
  <c r="V543" i="1"/>
  <c r="W543" i="1"/>
  <c r="V535" i="1"/>
  <c r="W535" i="1"/>
  <c r="V527" i="1"/>
  <c r="W527" i="1"/>
  <c r="V519" i="1"/>
  <c r="W519" i="1"/>
  <c r="V511" i="1"/>
  <c r="W511" i="1"/>
  <c r="V503" i="1"/>
  <c r="W503" i="1"/>
  <c r="V495" i="1"/>
  <c r="W495" i="1"/>
  <c r="V487" i="1"/>
  <c r="W487" i="1"/>
  <c r="V479" i="1"/>
  <c r="W479" i="1"/>
  <c r="V471" i="1"/>
  <c r="W471" i="1"/>
  <c r="V463" i="1"/>
  <c r="W463" i="1"/>
  <c r="V455" i="1"/>
  <c r="W455" i="1"/>
  <c r="V447" i="1"/>
  <c r="W447" i="1"/>
  <c r="V1009" i="1"/>
  <c r="W1009" i="1"/>
  <c r="V961" i="1"/>
  <c r="W961" i="1"/>
  <c r="V929" i="1"/>
  <c r="W929" i="1"/>
  <c r="V897" i="1"/>
  <c r="W897" i="1"/>
  <c r="V865" i="1"/>
  <c r="W865" i="1"/>
  <c r="V825" i="1"/>
  <c r="W825" i="1"/>
  <c r="V793" i="1"/>
  <c r="W793" i="1"/>
  <c r="V769" i="1"/>
  <c r="W769" i="1"/>
  <c r="V729" i="1"/>
  <c r="W729" i="1"/>
  <c r="V713" i="1"/>
  <c r="W713" i="1"/>
  <c r="V681" i="1"/>
  <c r="W681" i="1"/>
  <c r="V657" i="1"/>
  <c r="W657" i="1"/>
  <c r="V601" i="1"/>
  <c r="W601" i="1"/>
  <c r="V553" i="1"/>
  <c r="W553" i="1"/>
  <c r="V505" i="1"/>
  <c r="W505" i="1"/>
  <c r="V457" i="1"/>
  <c r="W457" i="1"/>
  <c r="V425" i="1"/>
  <c r="W425" i="1"/>
  <c r="V385" i="1"/>
  <c r="W385" i="1"/>
  <c r="V345" i="1"/>
  <c r="W345" i="1"/>
  <c r="V313" i="1"/>
  <c r="W313" i="1"/>
  <c r="V281" i="1"/>
  <c r="W281" i="1"/>
  <c r="V233" i="1"/>
  <c r="W233" i="1"/>
  <c r="V201" i="1"/>
  <c r="W201" i="1"/>
  <c r="V169" i="1"/>
  <c r="W169" i="1"/>
  <c r="V137" i="1"/>
  <c r="W137" i="1"/>
  <c r="V105" i="1"/>
  <c r="W105" i="1"/>
  <c r="V81" i="1"/>
  <c r="W81" i="1"/>
  <c r="V65" i="1"/>
  <c r="W65" i="1"/>
  <c r="V41" i="1"/>
  <c r="W41" i="1"/>
  <c r="V25" i="1"/>
  <c r="W25" i="1"/>
  <c r="V1023" i="1"/>
  <c r="W1023" i="1"/>
  <c r="V991" i="1"/>
  <c r="W991" i="1"/>
  <c r="V967" i="1"/>
  <c r="W967" i="1"/>
  <c r="V935" i="1"/>
  <c r="W935" i="1"/>
  <c r="V903" i="1"/>
  <c r="W903" i="1"/>
  <c r="V879" i="1"/>
  <c r="W879" i="1"/>
  <c r="V847" i="1"/>
  <c r="W847" i="1"/>
  <c r="V815" i="1"/>
  <c r="W815" i="1"/>
  <c r="V799" i="1"/>
  <c r="W799" i="1"/>
  <c r="V783" i="1"/>
  <c r="W783" i="1"/>
  <c r="V775" i="1"/>
  <c r="W775" i="1"/>
  <c r="V767" i="1"/>
  <c r="W767" i="1"/>
  <c r="V759" i="1"/>
  <c r="W759" i="1"/>
  <c r="V743" i="1"/>
  <c r="W743" i="1"/>
  <c r="V735" i="1"/>
  <c r="W735" i="1"/>
  <c r="V727" i="1"/>
  <c r="W727" i="1"/>
  <c r="V719" i="1"/>
  <c r="W719" i="1"/>
  <c r="V711" i="1"/>
  <c r="W711" i="1"/>
  <c r="V703" i="1"/>
  <c r="W703" i="1"/>
  <c r="V695" i="1"/>
  <c r="W695" i="1"/>
  <c r="V687" i="1"/>
  <c r="W687" i="1"/>
  <c r="V679" i="1"/>
  <c r="W679" i="1"/>
  <c r="V671" i="1"/>
  <c r="W671" i="1"/>
  <c r="V663" i="1"/>
  <c r="W663" i="1"/>
  <c r="V655" i="1"/>
  <c r="W655" i="1"/>
  <c r="V647" i="1"/>
  <c r="W647" i="1"/>
  <c r="V639" i="1"/>
  <c r="W639" i="1"/>
  <c r="V631" i="1"/>
  <c r="W631" i="1"/>
  <c r="V623" i="1"/>
  <c r="W623" i="1"/>
  <c r="V615" i="1"/>
  <c r="W615" i="1"/>
  <c r="V591" i="1"/>
  <c r="W591" i="1"/>
  <c r="V575" i="1"/>
  <c r="W575" i="1"/>
  <c r="V617" i="1"/>
  <c r="V985" i="1"/>
  <c r="W985" i="1"/>
  <c r="V945" i="1"/>
  <c r="W945" i="1"/>
  <c r="V905" i="1"/>
  <c r="W905" i="1"/>
  <c r="W849" i="1"/>
  <c r="V849" i="1"/>
  <c r="V817" i="1"/>
  <c r="W817" i="1"/>
  <c r="V777" i="1"/>
  <c r="W777" i="1"/>
  <c r="V577" i="1"/>
  <c r="W577" i="1"/>
  <c r="V537" i="1"/>
  <c r="W537" i="1"/>
  <c r="V481" i="1"/>
  <c r="W481" i="1"/>
  <c r="V433" i="1"/>
  <c r="W433" i="1"/>
  <c r="V377" i="1"/>
  <c r="W377" i="1"/>
  <c r="V273" i="1"/>
  <c r="W273" i="1"/>
  <c r="V225" i="1"/>
  <c r="W225" i="1"/>
  <c r="V185" i="1"/>
  <c r="W185" i="1"/>
  <c r="V153" i="1"/>
  <c r="W153" i="1"/>
  <c r="V129" i="1"/>
  <c r="W129" i="1"/>
  <c r="V73" i="1"/>
  <c r="W73" i="1"/>
  <c r="V17" i="1"/>
  <c r="W17" i="1"/>
  <c r="V1031" i="1"/>
  <c r="W1031" i="1"/>
  <c r="V999" i="1"/>
  <c r="W999" i="1"/>
  <c r="V959" i="1"/>
  <c r="W959" i="1"/>
  <c r="V919" i="1"/>
  <c r="W919" i="1"/>
  <c r="V871" i="1"/>
  <c r="W871" i="1"/>
  <c r="V831" i="1"/>
  <c r="W831" i="1"/>
  <c r="V791" i="1"/>
  <c r="W791" i="1"/>
  <c r="V751" i="1"/>
  <c r="W751" i="1"/>
  <c r="V1007" i="1"/>
  <c r="V993" i="1"/>
  <c r="W993" i="1"/>
  <c r="V953" i="1"/>
  <c r="W953" i="1"/>
  <c r="V913" i="1"/>
  <c r="W913" i="1"/>
  <c r="V881" i="1"/>
  <c r="W881" i="1"/>
  <c r="V841" i="1"/>
  <c r="W841" i="1"/>
  <c r="V809" i="1"/>
  <c r="W809" i="1"/>
  <c r="V785" i="1"/>
  <c r="W785" i="1"/>
  <c r="W737" i="1"/>
  <c r="V737" i="1"/>
  <c r="V721" i="1"/>
  <c r="W721" i="1"/>
  <c r="V673" i="1"/>
  <c r="W673" i="1"/>
  <c r="V641" i="1"/>
  <c r="W641" i="1"/>
  <c r="V593" i="1"/>
  <c r="W593" i="1"/>
  <c r="V529" i="1"/>
  <c r="W529" i="1"/>
  <c r="V465" i="1"/>
  <c r="W465" i="1"/>
  <c r="V409" i="1"/>
  <c r="W409" i="1"/>
  <c r="V361" i="1"/>
  <c r="W361" i="1"/>
  <c r="V329" i="1"/>
  <c r="W329" i="1"/>
  <c r="V289" i="1"/>
  <c r="W289" i="1"/>
  <c r="V249" i="1"/>
  <c r="W249" i="1"/>
  <c r="V209" i="1"/>
  <c r="W209" i="1"/>
  <c r="W177" i="1"/>
  <c r="V177" i="1"/>
  <c r="V145" i="1"/>
  <c r="W145" i="1"/>
  <c r="V121" i="1"/>
  <c r="W121" i="1"/>
  <c r="W89" i="1"/>
  <c r="V89" i="1"/>
  <c r="V49" i="1"/>
  <c r="W49" i="1"/>
  <c r="V9" i="1"/>
  <c r="W9" i="1"/>
  <c r="V753" i="1"/>
  <c r="V1015" i="1"/>
  <c r="W1015" i="1"/>
  <c r="V975" i="1"/>
  <c r="W975" i="1"/>
  <c r="V943" i="1"/>
  <c r="W943" i="1"/>
  <c r="V911" i="1"/>
  <c r="W911" i="1"/>
  <c r="V887" i="1"/>
  <c r="W887" i="1"/>
  <c r="V855" i="1"/>
  <c r="W855" i="1"/>
  <c r="V823" i="1"/>
  <c r="W823" i="1"/>
  <c r="V1027" i="1"/>
  <c r="W1027" i="1"/>
  <c r="V979" i="1"/>
  <c r="W979" i="1"/>
  <c r="W963" i="1"/>
  <c r="V963" i="1"/>
  <c r="V939" i="1"/>
  <c r="W939" i="1"/>
  <c r="W923" i="1"/>
  <c r="V923" i="1"/>
  <c r="V907" i="1"/>
  <c r="W907" i="1"/>
  <c r="V891" i="1"/>
  <c r="W891" i="1"/>
  <c r="V875" i="1"/>
  <c r="W875" i="1"/>
  <c r="V859" i="1"/>
  <c r="W859" i="1"/>
  <c r="V843" i="1"/>
  <c r="W843" i="1"/>
  <c r="V827" i="1"/>
  <c r="W827" i="1"/>
  <c r="V811" i="1"/>
  <c r="W811" i="1"/>
  <c r="W795" i="1"/>
  <c r="V795" i="1"/>
  <c r="V779" i="1"/>
  <c r="W779" i="1"/>
  <c r="V763" i="1"/>
  <c r="W763" i="1"/>
  <c r="V747" i="1"/>
  <c r="W747" i="1"/>
  <c r="W723" i="1"/>
  <c r="V723" i="1"/>
  <c r="V707" i="1"/>
  <c r="W707" i="1"/>
  <c r="V691" i="1"/>
  <c r="W691" i="1"/>
  <c r="W675" i="1"/>
  <c r="V675" i="1"/>
  <c r="V659" i="1"/>
  <c r="W659" i="1"/>
  <c r="V635" i="1"/>
  <c r="W635" i="1"/>
  <c r="V619" i="1"/>
  <c r="W619" i="1"/>
  <c r="V603" i="1"/>
  <c r="W603" i="1"/>
  <c r="V587" i="1"/>
  <c r="W587" i="1"/>
  <c r="V571" i="1"/>
  <c r="W571" i="1"/>
  <c r="V555" i="1"/>
  <c r="W555" i="1"/>
  <c r="V539" i="1"/>
  <c r="W539" i="1"/>
  <c r="V515" i="1"/>
  <c r="W515" i="1"/>
  <c r="V499" i="1"/>
  <c r="W499" i="1"/>
  <c r="V475" i="1"/>
  <c r="W475" i="1"/>
  <c r="W459" i="1"/>
  <c r="V459" i="1"/>
  <c r="V443" i="1"/>
  <c r="W443" i="1"/>
  <c r="V427" i="1"/>
  <c r="W427" i="1"/>
  <c r="V411" i="1"/>
  <c r="W411" i="1"/>
  <c r="V395" i="1"/>
  <c r="W395" i="1"/>
  <c r="V379" i="1"/>
  <c r="W379" i="1"/>
  <c r="V355" i="1"/>
  <c r="W355" i="1"/>
  <c r="V347" i="1"/>
  <c r="W347" i="1"/>
  <c r="V323" i="1"/>
  <c r="W323" i="1"/>
  <c r="V267" i="1"/>
  <c r="W267" i="1"/>
  <c r="V251" i="1"/>
  <c r="W251" i="1"/>
  <c r="V227" i="1"/>
  <c r="W227" i="1"/>
  <c r="V211" i="1"/>
  <c r="W211" i="1"/>
  <c r="V187" i="1"/>
  <c r="W187" i="1"/>
  <c r="V171" i="1"/>
  <c r="W171" i="1"/>
  <c r="W1001" i="1"/>
  <c r="V1001" i="1"/>
  <c r="W969" i="1"/>
  <c r="V969" i="1"/>
  <c r="V937" i="1"/>
  <c r="W937" i="1"/>
  <c r="V889" i="1"/>
  <c r="W889" i="1"/>
  <c r="V857" i="1"/>
  <c r="W857" i="1"/>
  <c r="V833" i="1"/>
  <c r="W833" i="1"/>
  <c r="V801" i="1"/>
  <c r="W801" i="1"/>
  <c r="V761" i="1"/>
  <c r="W761" i="1"/>
  <c r="V745" i="1"/>
  <c r="W745" i="1"/>
  <c r="V705" i="1"/>
  <c r="W705" i="1"/>
  <c r="W689" i="1"/>
  <c r="V689" i="1"/>
  <c r="V649" i="1"/>
  <c r="W649" i="1"/>
  <c r="V609" i="1"/>
  <c r="W609" i="1"/>
  <c r="V561" i="1"/>
  <c r="W561" i="1"/>
  <c r="V521" i="1"/>
  <c r="W521" i="1"/>
  <c r="V489" i="1"/>
  <c r="W489" i="1"/>
  <c r="V449" i="1"/>
  <c r="W449" i="1"/>
  <c r="W401" i="1"/>
  <c r="V401" i="1"/>
  <c r="V353" i="1"/>
  <c r="W353" i="1"/>
  <c r="V321" i="1"/>
  <c r="W321" i="1"/>
  <c r="V305" i="1"/>
  <c r="W305" i="1"/>
  <c r="V257" i="1"/>
  <c r="W257" i="1"/>
  <c r="V217" i="1"/>
  <c r="W217" i="1"/>
  <c r="V193" i="1"/>
  <c r="W193" i="1"/>
  <c r="V161" i="1"/>
  <c r="W161" i="1"/>
  <c r="V113" i="1"/>
  <c r="W113" i="1"/>
  <c r="W983" i="1"/>
  <c r="V983" i="1"/>
  <c r="V951" i="1"/>
  <c r="W951" i="1"/>
  <c r="V927" i="1"/>
  <c r="W927" i="1"/>
  <c r="V895" i="1"/>
  <c r="W895" i="1"/>
  <c r="V863" i="1"/>
  <c r="W863" i="1"/>
  <c r="V839" i="1"/>
  <c r="W839" i="1"/>
  <c r="V807" i="1"/>
  <c r="W807" i="1"/>
  <c r="W1019" i="1"/>
  <c r="V1019" i="1"/>
  <c r="V1011" i="1"/>
  <c r="W1011" i="1"/>
  <c r="V1003" i="1"/>
  <c r="W1003" i="1"/>
  <c r="W995" i="1"/>
  <c r="V995" i="1"/>
  <c r="V987" i="1"/>
  <c r="W987" i="1"/>
  <c r="V971" i="1"/>
  <c r="W971" i="1"/>
  <c r="V955" i="1"/>
  <c r="W955" i="1"/>
  <c r="W947" i="1"/>
  <c r="V947" i="1"/>
  <c r="V931" i="1"/>
  <c r="W931" i="1"/>
  <c r="V915" i="1"/>
  <c r="W915" i="1"/>
  <c r="V899" i="1"/>
  <c r="W899" i="1"/>
  <c r="V883" i="1"/>
  <c r="W883" i="1"/>
  <c r="V867" i="1"/>
  <c r="W867" i="1"/>
  <c r="V851" i="1"/>
  <c r="W851" i="1"/>
  <c r="V835" i="1"/>
  <c r="W835" i="1"/>
  <c r="V819" i="1"/>
  <c r="W819" i="1"/>
  <c r="V803" i="1"/>
  <c r="W803" i="1"/>
  <c r="V787" i="1"/>
  <c r="W787" i="1"/>
  <c r="V771" i="1"/>
  <c r="W771" i="1"/>
  <c r="V755" i="1"/>
  <c r="W755" i="1"/>
  <c r="V739" i="1"/>
  <c r="W739" i="1"/>
  <c r="V731" i="1"/>
  <c r="W731" i="1"/>
  <c r="V715" i="1"/>
  <c r="W715" i="1"/>
  <c r="V699" i="1"/>
  <c r="W699" i="1"/>
  <c r="V683" i="1"/>
  <c r="W683" i="1"/>
  <c r="V667" i="1"/>
  <c r="W667" i="1"/>
  <c r="V651" i="1"/>
  <c r="W651" i="1"/>
  <c r="V643" i="1"/>
  <c r="W643" i="1"/>
  <c r="V627" i="1"/>
  <c r="W627" i="1"/>
  <c r="V611" i="1"/>
  <c r="W611" i="1"/>
  <c r="V595" i="1"/>
  <c r="W595" i="1"/>
  <c r="V579" i="1"/>
  <c r="W579" i="1"/>
  <c r="V563" i="1"/>
  <c r="W563" i="1"/>
  <c r="V547" i="1"/>
  <c r="W547" i="1"/>
  <c r="V531" i="1"/>
  <c r="W531" i="1"/>
  <c r="V523" i="1"/>
  <c r="W523" i="1"/>
  <c r="V507" i="1"/>
  <c r="W507" i="1"/>
  <c r="V491" i="1"/>
  <c r="W491" i="1"/>
  <c r="V483" i="1"/>
  <c r="W483" i="1"/>
  <c r="V467" i="1"/>
  <c r="W467" i="1"/>
  <c r="V451" i="1"/>
  <c r="W451" i="1"/>
  <c r="V435" i="1"/>
  <c r="W435" i="1"/>
  <c r="V419" i="1"/>
  <c r="W419" i="1"/>
  <c r="V403" i="1"/>
  <c r="W403" i="1"/>
  <c r="V387" i="1"/>
  <c r="W387" i="1"/>
  <c r="V371" i="1"/>
  <c r="W371" i="1"/>
  <c r="V363" i="1"/>
  <c r="W363" i="1"/>
  <c r="V339" i="1"/>
  <c r="W339" i="1"/>
  <c r="V331" i="1"/>
  <c r="W331" i="1"/>
  <c r="V315" i="1"/>
  <c r="W315" i="1"/>
  <c r="V307" i="1"/>
  <c r="W307" i="1"/>
  <c r="V299" i="1"/>
  <c r="W299" i="1"/>
  <c r="V283" i="1"/>
  <c r="W283" i="1"/>
  <c r="V275" i="1"/>
  <c r="W275" i="1"/>
  <c r="V259" i="1"/>
  <c r="W259" i="1"/>
  <c r="V243" i="1"/>
  <c r="W243" i="1"/>
  <c r="V235" i="1"/>
  <c r="W235" i="1"/>
  <c r="V219" i="1"/>
  <c r="W219" i="1"/>
  <c r="V203" i="1"/>
  <c r="W203" i="1"/>
  <c r="V195" i="1"/>
  <c r="W195" i="1"/>
  <c r="V179" i="1"/>
  <c r="W179" i="1"/>
  <c r="V163" i="1"/>
  <c r="W163" i="1"/>
  <c r="V291" i="1"/>
  <c r="V665" i="1"/>
  <c r="W665" i="1"/>
  <c r="V625" i="1"/>
  <c r="W625" i="1"/>
  <c r="V585" i="1"/>
  <c r="W585" i="1"/>
  <c r="V545" i="1"/>
  <c r="W545" i="1"/>
  <c r="V497" i="1"/>
  <c r="W497" i="1"/>
  <c r="V441" i="1"/>
  <c r="W441" i="1"/>
  <c r="V393" i="1"/>
  <c r="W393" i="1"/>
  <c r="V265" i="1"/>
  <c r="W265" i="1"/>
  <c r="W978" i="1"/>
  <c r="W914" i="1"/>
  <c r="W848" i="1"/>
  <c r="W367" i="1"/>
  <c r="W197" i="1"/>
  <c r="V415" i="1"/>
  <c r="W415" i="1"/>
  <c r="V407" i="1"/>
  <c r="W407" i="1"/>
  <c r="V391" i="1"/>
  <c r="W391" i="1"/>
  <c r="V383" i="1"/>
  <c r="W383" i="1"/>
  <c r="V375" i="1"/>
  <c r="W375" i="1"/>
  <c r="V359" i="1"/>
  <c r="W359" i="1"/>
  <c r="V343" i="1"/>
  <c r="W343" i="1"/>
  <c r="V327" i="1"/>
  <c r="W327" i="1"/>
  <c r="V319" i="1"/>
  <c r="W319" i="1"/>
  <c r="V311" i="1"/>
  <c r="W311" i="1"/>
  <c r="V295" i="1"/>
  <c r="W295" i="1"/>
  <c r="V279" i="1"/>
  <c r="W279" i="1"/>
  <c r="V263" i="1"/>
  <c r="W263" i="1"/>
  <c r="V255" i="1"/>
  <c r="W255" i="1"/>
  <c r="V247" i="1"/>
  <c r="W247" i="1"/>
  <c r="V231" i="1"/>
  <c r="W231" i="1"/>
  <c r="V215" i="1"/>
  <c r="W215" i="1"/>
  <c r="V207" i="1"/>
  <c r="W207" i="1"/>
  <c r="V191" i="1"/>
  <c r="W191" i="1"/>
  <c r="V183" i="1"/>
  <c r="W183" i="1"/>
  <c r="V103" i="1"/>
  <c r="W103" i="1"/>
  <c r="V87" i="1"/>
  <c r="W87" i="1"/>
  <c r="V71" i="1"/>
  <c r="W71" i="1"/>
  <c r="V15" i="1"/>
  <c r="W15" i="1"/>
  <c r="V7" i="1"/>
  <c r="W7" i="1"/>
  <c r="V1030" i="1"/>
  <c r="W1030" i="1"/>
  <c r="V1014" i="1"/>
  <c r="W1014" i="1"/>
  <c r="V998" i="1"/>
  <c r="W998" i="1"/>
  <c r="V982" i="1"/>
  <c r="W982" i="1"/>
  <c r="V966" i="1"/>
  <c r="W966" i="1"/>
  <c r="V950" i="1"/>
  <c r="W950" i="1"/>
  <c r="V942" i="1"/>
  <c r="W942" i="1"/>
  <c r="V926" i="1"/>
  <c r="W926" i="1"/>
  <c r="V910" i="1"/>
  <c r="W910" i="1"/>
  <c r="V862" i="1"/>
  <c r="W862" i="1"/>
  <c r="V854" i="1"/>
  <c r="W854" i="1"/>
  <c r="V846" i="1"/>
  <c r="W846" i="1"/>
  <c r="V838" i="1"/>
  <c r="W838" i="1"/>
  <c r="V822" i="1"/>
  <c r="W822" i="1"/>
  <c r="V806" i="1"/>
  <c r="W806" i="1"/>
  <c r="V758" i="1"/>
  <c r="W758" i="1"/>
  <c r="V750" i="1"/>
  <c r="W750" i="1"/>
  <c r="V742" i="1"/>
  <c r="W742" i="1"/>
  <c r="V726" i="1"/>
  <c r="W726" i="1"/>
  <c r="V718" i="1"/>
  <c r="W718" i="1"/>
  <c r="V710" i="1"/>
  <c r="W710" i="1"/>
  <c r="V686" i="1"/>
  <c r="W686" i="1"/>
  <c r="V670" i="1"/>
  <c r="W670" i="1"/>
  <c r="V662" i="1"/>
  <c r="W662" i="1"/>
  <c r="V646" i="1"/>
  <c r="W646" i="1"/>
  <c r="V630" i="1"/>
  <c r="W630" i="1"/>
  <c r="V614" i="1"/>
  <c r="W614" i="1"/>
  <c r="V598" i="1"/>
  <c r="W598" i="1"/>
  <c r="V582" i="1"/>
  <c r="W582" i="1"/>
  <c r="V566" i="1"/>
  <c r="W566" i="1"/>
  <c r="V550" i="1"/>
  <c r="W550" i="1"/>
  <c r="V534" i="1"/>
  <c r="W534" i="1"/>
  <c r="V518" i="1"/>
  <c r="W518" i="1"/>
  <c r="V510" i="1"/>
  <c r="W510" i="1"/>
  <c r="V502" i="1"/>
  <c r="W502" i="1"/>
  <c r="V494" i="1"/>
  <c r="W494" i="1"/>
  <c r="V478" i="1"/>
  <c r="W478" i="1"/>
  <c r="V454" i="1"/>
  <c r="W454" i="1"/>
  <c r="V438" i="1"/>
  <c r="W438" i="1"/>
  <c r="V422" i="1"/>
  <c r="W422" i="1"/>
  <c r="V414" i="1"/>
  <c r="W414" i="1"/>
  <c r="V398" i="1"/>
  <c r="W398" i="1"/>
  <c r="V390" i="1"/>
  <c r="W390" i="1"/>
  <c r="V382" i="1"/>
  <c r="W382" i="1"/>
  <c r="V366" i="1"/>
  <c r="W366" i="1"/>
  <c r="V342" i="1"/>
  <c r="W342" i="1"/>
  <c r="V326" i="1"/>
  <c r="W326" i="1"/>
  <c r="V318" i="1"/>
  <c r="W318" i="1"/>
  <c r="V302" i="1"/>
  <c r="W302" i="1"/>
  <c r="V286" i="1"/>
  <c r="W286" i="1"/>
  <c r="V270" i="1"/>
  <c r="W270" i="1"/>
  <c r="V254" i="1"/>
  <c r="W254" i="1"/>
  <c r="V238" i="1"/>
  <c r="W238" i="1"/>
  <c r="V230" i="1"/>
  <c r="W230" i="1"/>
  <c r="V222" i="1"/>
  <c r="W222" i="1"/>
  <c r="V214" i="1"/>
  <c r="W214" i="1"/>
  <c r="V198" i="1"/>
  <c r="W198" i="1"/>
  <c r="V182" i="1"/>
  <c r="W182" i="1"/>
  <c r="V150" i="1"/>
  <c r="W150" i="1"/>
  <c r="V118" i="1"/>
  <c r="W118" i="1"/>
  <c r="V102" i="1"/>
  <c r="W102" i="1"/>
  <c r="V86" i="1"/>
  <c r="W86" i="1"/>
  <c r="V78" i="1"/>
  <c r="W78" i="1"/>
  <c r="V62" i="1"/>
  <c r="W62" i="1"/>
  <c r="V54" i="1"/>
  <c r="W54" i="1"/>
  <c r="V46" i="1"/>
  <c r="W46" i="1"/>
  <c r="V38" i="1"/>
  <c r="W38" i="1"/>
  <c r="V22" i="1"/>
  <c r="W22" i="1"/>
  <c r="V1029" i="1"/>
  <c r="W1029" i="1"/>
  <c r="V1021" i="1"/>
  <c r="W1021" i="1"/>
  <c r="V1005" i="1"/>
  <c r="W1005" i="1"/>
  <c r="V997" i="1"/>
  <c r="W997" i="1"/>
  <c r="V981" i="1"/>
  <c r="W981" i="1"/>
  <c r="V973" i="1"/>
  <c r="W973" i="1"/>
  <c r="V965" i="1"/>
  <c r="W965" i="1"/>
  <c r="V957" i="1"/>
  <c r="W957" i="1"/>
  <c r="V949" i="1"/>
  <c r="W949" i="1"/>
  <c r="V941" i="1"/>
  <c r="W941" i="1"/>
  <c r="V933" i="1"/>
  <c r="W933" i="1"/>
  <c r="V925" i="1"/>
  <c r="W925" i="1"/>
  <c r="V917" i="1"/>
  <c r="W917" i="1"/>
  <c r="V909" i="1"/>
  <c r="W909" i="1"/>
  <c r="V901" i="1"/>
  <c r="W901" i="1"/>
  <c r="V893" i="1"/>
  <c r="W893" i="1"/>
  <c r="V885" i="1"/>
  <c r="W885" i="1"/>
  <c r="V877" i="1"/>
  <c r="W877" i="1"/>
  <c r="V869" i="1"/>
  <c r="W869" i="1"/>
  <c r="V861" i="1"/>
  <c r="W861" i="1"/>
  <c r="V853" i="1"/>
  <c r="W853" i="1"/>
  <c r="V845" i="1"/>
  <c r="W845" i="1"/>
  <c r="V837" i="1"/>
  <c r="W837" i="1"/>
  <c r="V829" i="1"/>
  <c r="W829" i="1"/>
  <c r="V813" i="1"/>
  <c r="W813" i="1"/>
  <c r="V805" i="1"/>
  <c r="W805" i="1"/>
  <c r="V797" i="1"/>
  <c r="W797" i="1"/>
  <c r="V789" i="1"/>
  <c r="W789" i="1"/>
  <c r="V781" i="1"/>
  <c r="W781" i="1"/>
  <c r="V773" i="1"/>
  <c r="W773" i="1"/>
  <c r="V765" i="1"/>
  <c r="W765" i="1"/>
  <c r="V749" i="1"/>
  <c r="W749" i="1"/>
  <c r="V741" i="1"/>
  <c r="W741" i="1"/>
  <c r="V733" i="1"/>
  <c r="W733" i="1"/>
  <c r="V725" i="1"/>
  <c r="W725" i="1"/>
  <c r="V717" i="1"/>
  <c r="W717" i="1"/>
  <c r="V709" i="1"/>
  <c r="W709" i="1"/>
  <c r="V701" i="1"/>
  <c r="W701" i="1"/>
  <c r="V693" i="1"/>
  <c r="W693" i="1"/>
  <c r="V685" i="1"/>
  <c r="W685" i="1"/>
  <c r="V677" i="1"/>
  <c r="W677" i="1"/>
  <c r="V669" i="1"/>
  <c r="W669" i="1"/>
  <c r="V661" i="1"/>
  <c r="W661" i="1"/>
  <c r="V653" i="1"/>
  <c r="W653" i="1"/>
  <c r="V645" i="1"/>
  <c r="W645" i="1"/>
  <c r="V637" i="1"/>
  <c r="W637" i="1"/>
  <c r="V629" i="1"/>
  <c r="W629" i="1"/>
  <c r="V621" i="1"/>
  <c r="W621" i="1"/>
  <c r="V613" i="1"/>
  <c r="W613" i="1"/>
  <c r="V605" i="1"/>
  <c r="W605" i="1"/>
  <c r="V597" i="1"/>
  <c r="W597" i="1"/>
  <c r="V589" i="1"/>
  <c r="W589" i="1"/>
  <c r="V573" i="1"/>
  <c r="W573" i="1"/>
  <c r="V565" i="1"/>
  <c r="W565" i="1"/>
  <c r="V557" i="1"/>
  <c r="W557" i="1"/>
  <c r="V549" i="1"/>
  <c r="W549" i="1"/>
  <c r="V541" i="1"/>
  <c r="W541" i="1"/>
  <c r="V533" i="1"/>
  <c r="W533" i="1"/>
  <c r="V525" i="1"/>
  <c r="W525" i="1"/>
  <c r="V509" i="1"/>
  <c r="W509" i="1"/>
  <c r="V501" i="1"/>
  <c r="W501" i="1"/>
  <c r="V493" i="1"/>
  <c r="W493" i="1"/>
  <c r="V485" i="1"/>
  <c r="W485" i="1"/>
  <c r="V477" i="1"/>
  <c r="W477" i="1"/>
  <c r="V469" i="1"/>
  <c r="W469" i="1"/>
  <c r="V461" i="1"/>
  <c r="W461" i="1"/>
  <c r="V445" i="1"/>
  <c r="W445" i="1"/>
  <c r="V437" i="1"/>
  <c r="W437" i="1"/>
  <c r="V429" i="1"/>
  <c r="W429" i="1"/>
  <c r="V421" i="1"/>
  <c r="W421" i="1"/>
  <c r="V413" i="1"/>
  <c r="W413" i="1"/>
  <c r="V397" i="1"/>
  <c r="W397" i="1"/>
  <c r="V381" i="1"/>
  <c r="W381" i="1"/>
  <c r="V373" i="1"/>
  <c r="W373" i="1"/>
  <c r="V365" i="1"/>
  <c r="W365" i="1"/>
  <c r="V357" i="1"/>
  <c r="W357" i="1"/>
  <c r="V349" i="1"/>
  <c r="W349" i="1"/>
  <c r="V341" i="1"/>
  <c r="W341" i="1"/>
  <c r="V333" i="1"/>
  <c r="W333" i="1"/>
  <c r="V317" i="1"/>
  <c r="W317" i="1"/>
  <c r="V309" i="1"/>
  <c r="W309" i="1"/>
  <c r="V301" i="1"/>
  <c r="W301" i="1"/>
  <c r="V293" i="1"/>
  <c r="W293" i="1"/>
  <c r="V285" i="1"/>
  <c r="W285" i="1"/>
  <c r="V277" i="1"/>
  <c r="W277" i="1"/>
  <c r="V269" i="1"/>
  <c r="W269" i="1"/>
  <c r="V253" i="1"/>
  <c r="W253" i="1"/>
  <c r="V245" i="1"/>
  <c r="W245" i="1"/>
  <c r="V237" i="1"/>
  <c r="W237" i="1"/>
  <c r="V229" i="1"/>
  <c r="W229" i="1"/>
  <c r="V221" i="1"/>
  <c r="W221" i="1"/>
  <c r="V213" i="1"/>
  <c r="W213" i="1"/>
  <c r="V205" i="1"/>
  <c r="W205" i="1"/>
  <c r="V189" i="1"/>
  <c r="W189" i="1"/>
  <c r="V181" i="1"/>
  <c r="W181" i="1"/>
  <c r="V173" i="1"/>
  <c r="W173" i="1"/>
  <c r="V165" i="1"/>
  <c r="W165" i="1"/>
  <c r="V157" i="1"/>
  <c r="W157" i="1"/>
  <c r="V141" i="1"/>
  <c r="W141" i="1"/>
  <c r="V125" i="1"/>
  <c r="W125" i="1"/>
  <c r="V117" i="1"/>
  <c r="W117" i="1"/>
  <c r="V109" i="1"/>
  <c r="W109" i="1"/>
  <c r="V101" i="1"/>
  <c r="W101" i="1"/>
  <c r="V93" i="1"/>
  <c r="W93" i="1"/>
  <c r="V85" i="1"/>
  <c r="W85" i="1"/>
  <c r="V77" i="1"/>
  <c r="W77" i="1"/>
  <c r="V69" i="1"/>
  <c r="W69" i="1"/>
  <c r="V61" i="1"/>
  <c r="W61" i="1"/>
  <c r="V53" i="1"/>
  <c r="W53" i="1"/>
  <c r="V45" i="1"/>
  <c r="W45" i="1"/>
  <c r="V21" i="1"/>
  <c r="W21" i="1"/>
  <c r="V13" i="1"/>
  <c r="W13" i="1"/>
  <c r="V5" i="1"/>
  <c r="W5" i="1"/>
  <c r="V836" i="1"/>
  <c r="V486" i="1"/>
  <c r="V149" i="1"/>
  <c r="W970" i="1"/>
  <c r="W906" i="1"/>
  <c r="W766" i="1"/>
  <c r="W517" i="1"/>
  <c r="W175" i="1"/>
  <c r="V439" i="1"/>
  <c r="W439" i="1"/>
  <c r="V423" i="1"/>
  <c r="W423" i="1"/>
  <c r="V399" i="1"/>
  <c r="W399" i="1"/>
  <c r="V351" i="1"/>
  <c r="W351" i="1"/>
  <c r="V335" i="1"/>
  <c r="W335" i="1"/>
  <c r="V287" i="1"/>
  <c r="W287" i="1"/>
  <c r="V271" i="1"/>
  <c r="W271" i="1"/>
  <c r="V223" i="1"/>
  <c r="W223" i="1"/>
  <c r="V199" i="1"/>
  <c r="W199" i="1"/>
  <c r="V167" i="1"/>
  <c r="W167" i="1"/>
  <c r="V159" i="1"/>
  <c r="W159" i="1"/>
  <c r="V151" i="1"/>
  <c r="W151" i="1"/>
  <c r="V143" i="1"/>
  <c r="W143" i="1"/>
  <c r="V135" i="1"/>
  <c r="W135" i="1"/>
  <c r="V127" i="1"/>
  <c r="W127" i="1"/>
  <c r="V95" i="1"/>
  <c r="W95" i="1"/>
  <c r="V79" i="1"/>
  <c r="W79" i="1"/>
  <c r="V63" i="1"/>
  <c r="W63" i="1"/>
  <c r="V55" i="1"/>
  <c r="W55" i="1"/>
  <c r="V47" i="1"/>
  <c r="W47" i="1"/>
  <c r="V39" i="1"/>
  <c r="W39" i="1"/>
  <c r="V23" i="1"/>
  <c r="W23" i="1"/>
  <c r="V1022" i="1"/>
  <c r="W1022" i="1"/>
  <c r="V1006" i="1"/>
  <c r="W1006" i="1"/>
  <c r="V990" i="1"/>
  <c r="W990" i="1"/>
  <c r="V974" i="1"/>
  <c r="W974" i="1"/>
  <c r="V958" i="1"/>
  <c r="W958" i="1"/>
  <c r="V934" i="1"/>
  <c r="W934" i="1"/>
  <c r="V918" i="1"/>
  <c r="W918" i="1"/>
  <c r="V902" i="1"/>
  <c r="W902" i="1"/>
  <c r="V894" i="1"/>
  <c r="W894" i="1"/>
  <c r="V886" i="1"/>
  <c r="W886" i="1"/>
  <c r="V870" i="1"/>
  <c r="W870" i="1"/>
  <c r="V814" i="1"/>
  <c r="W814" i="1"/>
  <c r="V798" i="1"/>
  <c r="W798" i="1"/>
  <c r="V790" i="1"/>
  <c r="W790" i="1"/>
  <c r="V774" i="1"/>
  <c r="W774" i="1"/>
  <c r="V694" i="1"/>
  <c r="W694" i="1"/>
  <c r="V678" i="1"/>
  <c r="W678" i="1"/>
  <c r="V654" i="1"/>
  <c r="W654" i="1"/>
  <c r="V638" i="1"/>
  <c r="W638" i="1"/>
  <c r="V622" i="1"/>
  <c r="W622" i="1"/>
  <c r="V606" i="1"/>
  <c r="W606" i="1"/>
  <c r="V590" i="1"/>
  <c r="W590" i="1"/>
  <c r="V574" i="1"/>
  <c r="W574" i="1"/>
  <c r="V558" i="1"/>
  <c r="W558" i="1"/>
  <c r="V542" i="1"/>
  <c r="W542" i="1"/>
  <c r="V526" i="1"/>
  <c r="W526" i="1"/>
  <c r="V470" i="1"/>
  <c r="W470" i="1"/>
  <c r="V462" i="1"/>
  <c r="W462" i="1"/>
  <c r="V446" i="1"/>
  <c r="W446" i="1"/>
  <c r="V430" i="1"/>
  <c r="W430" i="1"/>
  <c r="V406" i="1"/>
  <c r="W406" i="1"/>
  <c r="V358" i="1"/>
  <c r="W358" i="1"/>
  <c r="V350" i="1"/>
  <c r="W350" i="1"/>
  <c r="V334" i="1"/>
  <c r="W334" i="1"/>
  <c r="V310" i="1"/>
  <c r="W310" i="1"/>
  <c r="V294" i="1"/>
  <c r="W294" i="1"/>
  <c r="V278" i="1"/>
  <c r="W278" i="1"/>
  <c r="V262" i="1"/>
  <c r="W262" i="1"/>
  <c r="V246" i="1"/>
  <c r="W246" i="1"/>
  <c r="V190" i="1"/>
  <c r="W190" i="1"/>
  <c r="V174" i="1"/>
  <c r="W174" i="1"/>
  <c r="V166" i="1"/>
  <c r="W166" i="1"/>
  <c r="V158" i="1"/>
  <c r="W158" i="1"/>
  <c r="V142" i="1"/>
  <c r="W142" i="1"/>
  <c r="V134" i="1"/>
  <c r="W134" i="1"/>
  <c r="V126" i="1"/>
  <c r="W126" i="1"/>
  <c r="V110" i="1"/>
  <c r="W110" i="1"/>
  <c r="V94" i="1"/>
  <c r="W94" i="1"/>
  <c r="V70" i="1"/>
  <c r="W70" i="1"/>
  <c r="V14" i="1"/>
  <c r="W14" i="1"/>
  <c r="V6" i="1"/>
  <c r="W6" i="1"/>
  <c r="V1028" i="1"/>
  <c r="W1028" i="1"/>
  <c r="V1020" i="1"/>
  <c r="W1020" i="1"/>
  <c r="V1012" i="1"/>
  <c r="W1012" i="1"/>
  <c r="V1004" i="1"/>
  <c r="W1004" i="1"/>
  <c r="V996" i="1"/>
  <c r="W996" i="1"/>
  <c r="V988" i="1"/>
  <c r="W988" i="1"/>
  <c r="V980" i="1"/>
  <c r="W980" i="1"/>
  <c r="V972" i="1"/>
  <c r="W972" i="1"/>
  <c r="V964" i="1"/>
  <c r="W964" i="1"/>
  <c r="V956" i="1"/>
  <c r="W956" i="1"/>
  <c r="V948" i="1"/>
  <c r="W948" i="1"/>
  <c r="V940" i="1"/>
  <c r="W940" i="1"/>
  <c r="V924" i="1"/>
  <c r="W924" i="1"/>
  <c r="V916" i="1"/>
  <c r="W916" i="1"/>
  <c r="V908" i="1"/>
  <c r="W908" i="1"/>
  <c r="V900" i="1"/>
  <c r="W900" i="1"/>
  <c r="V892" i="1"/>
  <c r="W892" i="1"/>
  <c r="V884" i="1"/>
  <c r="W884" i="1"/>
  <c r="V876" i="1"/>
  <c r="W876" i="1"/>
  <c r="V868" i="1"/>
  <c r="W868" i="1"/>
  <c r="V860" i="1"/>
  <c r="W860" i="1"/>
  <c r="V852" i="1"/>
  <c r="W852" i="1"/>
  <c r="V844" i="1"/>
  <c r="W844" i="1"/>
  <c r="V828" i="1"/>
  <c r="W828" i="1"/>
  <c r="V820" i="1"/>
  <c r="W820" i="1"/>
  <c r="V804" i="1"/>
  <c r="W804" i="1"/>
  <c r="V796" i="1"/>
  <c r="W796" i="1"/>
  <c r="V788" i="1"/>
  <c r="W788" i="1"/>
  <c r="V780" i="1"/>
  <c r="W780" i="1"/>
  <c r="V772" i="1"/>
  <c r="W772" i="1"/>
  <c r="V764" i="1"/>
  <c r="W764" i="1"/>
  <c r="V756" i="1"/>
  <c r="W756" i="1"/>
  <c r="V748" i="1"/>
  <c r="W748" i="1"/>
  <c r="V740" i="1"/>
  <c r="W740" i="1"/>
  <c r="V732" i="1"/>
  <c r="W732" i="1"/>
  <c r="V724" i="1"/>
  <c r="W724" i="1"/>
  <c r="V716" i="1"/>
  <c r="W716" i="1"/>
  <c r="V700" i="1"/>
  <c r="W700" i="1"/>
  <c r="V692" i="1"/>
  <c r="W692" i="1"/>
  <c r="V684" i="1"/>
  <c r="W684" i="1"/>
  <c r="V676" i="1"/>
  <c r="W676" i="1"/>
  <c r="V668" i="1"/>
  <c r="W668" i="1"/>
  <c r="V652" i="1"/>
  <c r="W652" i="1"/>
  <c r="V644" i="1"/>
  <c r="W644" i="1"/>
  <c r="V636" i="1"/>
  <c r="W636" i="1"/>
  <c r="V628" i="1"/>
  <c r="W628" i="1"/>
  <c r="V620" i="1"/>
  <c r="W620" i="1"/>
  <c r="V612" i="1"/>
  <c r="W612" i="1"/>
  <c r="V604" i="1"/>
  <c r="W604" i="1"/>
  <c r="V588" i="1"/>
  <c r="W588" i="1"/>
  <c r="V580" i="1"/>
  <c r="W580" i="1"/>
  <c r="V572" i="1"/>
  <c r="W572" i="1"/>
  <c r="V564" i="1"/>
  <c r="W564" i="1"/>
  <c r="V556" i="1"/>
  <c r="W556" i="1"/>
  <c r="V548" i="1"/>
  <c r="W548" i="1"/>
  <c r="V532" i="1"/>
  <c r="W532" i="1"/>
  <c r="V524" i="1"/>
  <c r="W524" i="1"/>
  <c r="V516" i="1"/>
  <c r="W516" i="1"/>
  <c r="V508" i="1"/>
  <c r="W508" i="1"/>
  <c r="V500" i="1"/>
  <c r="W500" i="1"/>
  <c r="V492" i="1"/>
  <c r="W492" i="1"/>
  <c r="V484" i="1"/>
  <c r="W484" i="1"/>
  <c r="V476" i="1"/>
  <c r="W476" i="1"/>
  <c r="V468" i="1"/>
  <c r="W468" i="1"/>
  <c r="V460" i="1"/>
  <c r="W460" i="1"/>
  <c r="V452" i="1"/>
  <c r="W452" i="1"/>
  <c r="V444" i="1"/>
  <c r="W444" i="1"/>
  <c r="V436" i="1"/>
  <c r="W436" i="1"/>
  <c r="V428" i="1"/>
  <c r="W428" i="1"/>
  <c r="V420" i="1"/>
  <c r="W420" i="1"/>
  <c r="V412" i="1"/>
  <c r="W412" i="1"/>
  <c r="V396" i="1"/>
  <c r="W396" i="1"/>
  <c r="V388" i="1"/>
  <c r="W388" i="1"/>
  <c r="V380" i="1"/>
  <c r="W380" i="1"/>
  <c r="V372" i="1"/>
  <c r="W372" i="1"/>
  <c r="V364" i="1"/>
  <c r="W364" i="1"/>
  <c r="V356" i="1"/>
  <c r="W356" i="1"/>
  <c r="V348" i="1"/>
  <c r="W348" i="1"/>
  <c r="V340" i="1"/>
  <c r="W340" i="1"/>
  <c r="V332" i="1"/>
  <c r="W332" i="1"/>
  <c r="V324" i="1"/>
  <c r="W324" i="1"/>
  <c r="V316" i="1"/>
  <c r="W316" i="1"/>
  <c r="V308" i="1"/>
  <c r="W308" i="1"/>
  <c r="V300" i="1"/>
  <c r="W300" i="1"/>
  <c r="V292" i="1"/>
  <c r="W292" i="1"/>
  <c r="V284" i="1"/>
  <c r="W284" i="1"/>
  <c r="V276" i="1"/>
  <c r="W276" i="1"/>
  <c r="V268" i="1"/>
  <c r="W268" i="1"/>
  <c r="V260" i="1"/>
  <c r="W260" i="1"/>
  <c r="V252" i="1"/>
  <c r="W252" i="1"/>
  <c r="V244" i="1"/>
  <c r="W244" i="1"/>
  <c r="V236" i="1"/>
  <c r="W236" i="1"/>
  <c r="V228" i="1"/>
  <c r="W228" i="1"/>
  <c r="V220" i="1"/>
  <c r="W220" i="1"/>
  <c r="V212" i="1"/>
  <c r="W212" i="1"/>
  <c r="V204" i="1"/>
  <c r="W204" i="1"/>
  <c r="V196" i="1"/>
  <c r="W196" i="1"/>
  <c r="V188" i="1"/>
  <c r="W188" i="1"/>
  <c r="V180" i="1"/>
  <c r="W180" i="1"/>
  <c r="V172" i="1"/>
  <c r="W172" i="1"/>
  <c r="V164" i="1"/>
  <c r="W164" i="1"/>
  <c r="V156" i="1"/>
  <c r="W156" i="1"/>
  <c r="V148" i="1"/>
  <c r="W148" i="1"/>
  <c r="V140" i="1"/>
  <c r="W140" i="1"/>
  <c r="V132" i="1"/>
  <c r="W132" i="1"/>
  <c r="V124" i="1"/>
  <c r="W124" i="1"/>
  <c r="V116" i="1"/>
  <c r="W116" i="1"/>
  <c r="V108" i="1"/>
  <c r="W108" i="1"/>
  <c r="V100" i="1"/>
  <c r="W100" i="1"/>
  <c r="V92" i="1"/>
  <c r="W92" i="1"/>
  <c r="V84" i="1"/>
  <c r="W84" i="1"/>
  <c r="V76" i="1"/>
  <c r="W76" i="1"/>
  <c r="V60" i="1"/>
  <c r="W60" i="1"/>
  <c r="V52" i="1"/>
  <c r="W52" i="1"/>
  <c r="V36" i="1"/>
  <c r="W36" i="1"/>
  <c r="V20" i="1"/>
  <c r="W20" i="1"/>
  <c r="V12" i="1"/>
  <c r="W12" i="1"/>
  <c r="V821" i="1"/>
  <c r="V119" i="1"/>
  <c r="W1026" i="1"/>
  <c r="W962" i="1"/>
  <c r="W898" i="1"/>
  <c r="W830" i="1"/>
  <c r="W325" i="1"/>
  <c r="W155" i="1"/>
  <c r="W954" i="1"/>
  <c r="W890" i="1"/>
  <c r="W744" i="1"/>
  <c r="W303" i="1"/>
  <c r="W133" i="1"/>
  <c r="V147" i="1"/>
  <c r="W147" i="1"/>
  <c r="V139" i="1"/>
  <c r="W139" i="1"/>
  <c r="V131" i="1"/>
  <c r="W131" i="1"/>
  <c r="V123" i="1"/>
  <c r="W123" i="1"/>
  <c r="V115" i="1"/>
  <c r="W115" i="1"/>
  <c r="V107" i="1"/>
  <c r="W107" i="1"/>
  <c r="V99" i="1"/>
  <c r="W99" i="1"/>
  <c r="V91" i="1"/>
  <c r="W91" i="1"/>
  <c r="V83" i="1"/>
  <c r="W83" i="1"/>
  <c r="V75" i="1"/>
  <c r="W75" i="1"/>
  <c r="V67" i="1"/>
  <c r="W67" i="1"/>
  <c r="V59" i="1"/>
  <c r="W59" i="1"/>
  <c r="V51" i="1"/>
  <c r="W51" i="1"/>
  <c r="V43" i="1"/>
  <c r="W43" i="1"/>
  <c r="V35" i="1"/>
  <c r="W35" i="1"/>
  <c r="V850" i="1"/>
  <c r="W850" i="1"/>
  <c r="V842" i="1"/>
  <c r="W842" i="1"/>
  <c r="V834" i="1"/>
  <c r="W834" i="1"/>
  <c r="V826" i="1"/>
  <c r="W826" i="1"/>
  <c r="V818" i="1"/>
  <c r="W818" i="1"/>
  <c r="V810" i="1"/>
  <c r="W810" i="1"/>
  <c r="V802" i="1"/>
  <c r="W802" i="1"/>
  <c r="V786" i="1"/>
  <c r="W786" i="1"/>
  <c r="V778" i="1"/>
  <c r="W778" i="1"/>
  <c r="V770" i="1"/>
  <c r="W770" i="1"/>
  <c r="V762" i="1"/>
  <c r="W762" i="1"/>
  <c r="V754" i="1"/>
  <c r="W754" i="1"/>
  <c r="V746" i="1"/>
  <c r="W746" i="1"/>
  <c r="V738" i="1"/>
  <c r="W738" i="1"/>
  <c r="V730" i="1"/>
  <c r="W730" i="1"/>
  <c r="V722" i="1"/>
  <c r="W722" i="1"/>
  <c r="V714" i="1"/>
  <c r="W714" i="1"/>
  <c r="V706" i="1"/>
  <c r="W706" i="1"/>
  <c r="V698" i="1"/>
  <c r="W698" i="1"/>
  <c r="V690" i="1"/>
  <c r="W690" i="1"/>
  <c r="V682" i="1"/>
  <c r="W682" i="1"/>
  <c r="V674" i="1"/>
  <c r="W674" i="1"/>
  <c r="V666" i="1"/>
  <c r="W666" i="1"/>
  <c r="V658" i="1"/>
  <c r="W658" i="1"/>
  <c r="V650" i="1"/>
  <c r="W650" i="1"/>
  <c r="V642" i="1"/>
  <c r="W642" i="1"/>
  <c r="V634" i="1"/>
  <c r="W634" i="1"/>
  <c r="V626" i="1"/>
  <c r="W626" i="1"/>
  <c r="V618" i="1"/>
  <c r="W618" i="1"/>
  <c r="V610" i="1"/>
  <c r="W610" i="1"/>
  <c r="V602" i="1"/>
  <c r="W602" i="1"/>
  <c r="V594" i="1"/>
  <c r="W594" i="1"/>
  <c r="V586" i="1"/>
  <c r="W586" i="1"/>
  <c r="V578" i="1"/>
  <c r="W578" i="1"/>
  <c r="V570" i="1"/>
  <c r="W570" i="1"/>
  <c r="V562" i="1"/>
  <c r="W562" i="1"/>
  <c r="V554" i="1"/>
  <c r="W554" i="1"/>
  <c r="V546" i="1"/>
  <c r="W546" i="1"/>
  <c r="V538" i="1"/>
  <c r="W538" i="1"/>
  <c r="V530" i="1"/>
  <c r="W530" i="1"/>
  <c r="V522" i="1"/>
  <c r="W522" i="1"/>
  <c r="V514" i="1"/>
  <c r="W514" i="1"/>
  <c r="V506" i="1"/>
  <c r="W506" i="1"/>
  <c r="V498" i="1"/>
  <c r="W498" i="1"/>
  <c r="V490" i="1"/>
  <c r="W490" i="1"/>
  <c r="V482" i="1"/>
  <c r="W482" i="1"/>
  <c r="V474" i="1"/>
  <c r="W474" i="1"/>
  <c r="V466" i="1"/>
  <c r="W466" i="1"/>
  <c r="V458" i="1"/>
  <c r="W458" i="1"/>
  <c r="V450" i="1"/>
  <c r="W450" i="1"/>
  <c r="V442" i="1"/>
  <c r="W442" i="1"/>
  <c r="V434" i="1"/>
  <c r="W434" i="1"/>
  <c r="V426" i="1"/>
  <c r="W426" i="1"/>
  <c r="V418" i="1"/>
  <c r="W418" i="1"/>
  <c r="V410" i="1"/>
  <c r="W410" i="1"/>
  <c r="V402" i="1"/>
  <c r="W402" i="1"/>
  <c r="V394" i="1"/>
  <c r="W394" i="1"/>
  <c r="V386" i="1"/>
  <c r="W386" i="1"/>
  <c r="V378" i="1"/>
  <c r="W378" i="1"/>
  <c r="V370" i="1"/>
  <c r="W370" i="1"/>
  <c r="V362" i="1"/>
  <c r="W362" i="1"/>
  <c r="V354" i="1"/>
  <c r="W354" i="1"/>
  <c r="V346" i="1"/>
  <c r="W346" i="1"/>
  <c r="V338" i="1"/>
  <c r="W338" i="1"/>
  <c r="V330" i="1"/>
  <c r="W330" i="1"/>
  <c r="V322" i="1"/>
  <c r="W322" i="1"/>
  <c r="V314" i="1"/>
  <c r="W314" i="1"/>
  <c r="V306" i="1"/>
  <c r="W306" i="1"/>
  <c r="V298" i="1"/>
  <c r="W298" i="1"/>
  <c r="V290" i="1"/>
  <c r="W290" i="1"/>
  <c r="V282" i="1"/>
  <c r="W282" i="1"/>
  <c r="V274" i="1"/>
  <c r="W274" i="1"/>
  <c r="V266" i="1"/>
  <c r="W266" i="1"/>
  <c r="V258" i="1"/>
  <c r="W258" i="1"/>
  <c r="V250" i="1"/>
  <c r="W250" i="1"/>
  <c r="V242" i="1"/>
  <c r="W242" i="1"/>
  <c r="V234" i="1"/>
  <c r="W234" i="1"/>
  <c r="V226" i="1"/>
  <c r="W226" i="1"/>
  <c r="V218" i="1"/>
  <c r="W218" i="1"/>
  <c r="V210" i="1"/>
  <c r="W210" i="1"/>
  <c r="V194" i="1"/>
  <c r="W194" i="1"/>
  <c r="V186" i="1"/>
  <c r="W186" i="1"/>
  <c r="V178" i="1"/>
  <c r="W178" i="1"/>
  <c r="V170" i="1"/>
  <c r="W170" i="1"/>
  <c r="V162" i="1"/>
  <c r="W162" i="1"/>
  <c r="V154" i="1"/>
  <c r="W154" i="1"/>
  <c r="V146" i="1"/>
  <c r="W146" i="1"/>
  <c r="V138" i="1"/>
  <c r="W138" i="1"/>
  <c r="V130" i="1"/>
  <c r="W130" i="1"/>
  <c r="V122" i="1"/>
  <c r="W122" i="1"/>
  <c r="V114" i="1"/>
  <c r="W114" i="1"/>
  <c r="V106" i="1"/>
  <c r="W106" i="1"/>
  <c r="V98" i="1"/>
  <c r="W98" i="1"/>
  <c r="V82" i="1"/>
  <c r="W82" i="1"/>
  <c r="V74" i="1"/>
  <c r="W74" i="1"/>
  <c r="V66" i="1"/>
  <c r="W66" i="1"/>
  <c r="V58" i="1"/>
  <c r="W58" i="1"/>
  <c r="V50" i="1"/>
  <c r="W50" i="1"/>
  <c r="V42" i="1"/>
  <c r="W42" i="1"/>
  <c r="V34" i="1"/>
  <c r="W34" i="1"/>
  <c r="V18" i="1"/>
  <c r="W18" i="1"/>
  <c r="V10" i="1"/>
  <c r="W10" i="1"/>
  <c r="V1013" i="1"/>
  <c r="V782" i="1"/>
  <c r="V374" i="1"/>
  <c r="V19" i="1"/>
  <c r="W1010" i="1"/>
  <c r="W946" i="1"/>
  <c r="W882" i="1"/>
  <c r="W812" i="1"/>
  <c r="W453" i="1"/>
  <c r="W111" i="1"/>
  <c r="W1002" i="1"/>
  <c r="W938" i="1"/>
  <c r="W874" i="1"/>
  <c r="W431" i="1"/>
  <c r="W261" i="1"/>
  <c r="W90" i="1"/>
  <c r="W4" i="1"/>
  <c r="V1024" i="1"/>
  <c r="W1024" i="1"/>
  <c r="V1016" i="1"/>
  <c r="W1016" i="1"/>
  <c r="V1008" i="1"/>
  <c r="W1008" i="1"/>
  <c r="V1000" i="1"/>
  <c r="W1000" i="1"/>
  <c r="V992" i="1"/>
  <c r="W992" i="1"/>
  <c r="V984" i="1"/>
  <c r="W984" i="1"/>
  <c r="V976" i="1"/>
  <c r="W976" i="1"/>
  <c r="V968" i="1"/>
  <c r="W968" i="1"/>
  <c r="V960" i="1"/>
  <c r="W960" i="1"/>
  <c r="V952" i="1"/>
  <c r="W952" i="1"/>
  <c r="V944" i="1"/>
  <c r="W944" i="1"/>
  <c r="V936" i="1"/>
  <c r="W936" i="1"/>
  <c r="V928" i="1"/>
  <c r="W928" i="1"/>
  <c r="V920" i="1"/>
  <c r="W920" i="1"/>
  <c r="V912" i="1"/>
  <c r="W912" i="1"/>
  <c r="V904" i="1"/>
  <c r="W904" i="1"/>
  <c r="V896" i="1"/>
  <c r="W896" i="1"/>
  <c r="V888" i="1"/>
  <c r="W888" i="1"/>
  <c r="V880" i="1"/>
  <c r="W880" i="1"/>
  <c r="V872" i="1"/>
  <c r="W872" i="1"/>
  <c r="V864" i="1"/>
  <c r="W864" i="1"/>
  <c r="V856" i="1"/>
  <c r="W856" i="1"/>
  <c r="V840" i="1"/>
  <c r="W840" i="1"/>
  <c r="V832" i="1"/>
  <c r="W832" i="1"/>
  <c r="V824" i="1"/>
  <c r="W824" i="1"/>
  <c r="V816" i="1"/>
  <c r="W816" i="1"/>
  <c r="V808" i="1"/>
  <c r="W808" i="1"/>
  <c r="V800" i="1"/>
  <c r="W800" i="1"/>
  <c r="V792" i="1"/>
  <c r="W792" i="1"/>
  <c r="V776" i="1"/>
  <c r="W776" i="1"/>
  <c r="V768" i="1"/>
  <c r="W768" i="1"/>
  <c r="V760" i="1"/>
  <c r="W760" i="1"/>
  <c r="V752" i="1"/>
  <c r="W752" i="1"/>
  <c r="V736" i="1"/>
  <c r="W736" i="1"/>
  <c r="V728" i="1"/>
  <c r="W728" i="1"/>
  <c r="V720" i="1"/>
  <c r="W720" i="1"/>
  <c r="V704" i="1"/>
  <c r="W704" i="1"/>
  <c r="V696" i="1"/>
  <c r="W696" i="1"/>
  <c r="V688" i="1"/>
  <c r="W688" i="1"/>
  <c r="V680" i="1"/>
  <c r="W680" i="1"/>
  <c r="V672" i="1"/>
  <c r="W672" i="1"/>
  <c r="V664" i="1"/>
  <c r="W664" i="1"/>
  <c r="V656" i="1"/>
  <c r="W656" i="1"/>
  <c r="V648" i="1"/>
  <c r="W648" i="1"/>
  <c r="V640" i="1"/>
  <c r="W640" i="1"/>
  <c r="V632" i="1"/>
  <c r="W632" i="1"/>
  <c r="V624" i="1"/>
  <c r="W624" i="1"/>
  <c r="V616" i="1"/>
  <c r="W616" i="1"/>
  <c r="V608" i="1"/>
  <c r="W608" i="1"/>
  <c r="V600" i="1"/>
  <c r="W600" i="1"/>
  <c r="V592" i="1"/>
  <c r="W592" i="1"/>
  <c r="V584" i="1"/>
  <c r="W584" i="1"/>
  <c r="V576" i="1"/>
  <c r="W576" i="1"/>
  <c r="V568" i="1"/>
  <c r="W568" i="1"/>
  <c r="V560" i="1"/>
  <c r="W560" i="1"/>
  <c r="V552" i="1"/>
  <c r="W552" i="1"/>
  <c r="V544" i="1"/>
  <c r="W544" i="1"/>
  <c r="V536" i="1"/>
  <c r="W536" i="1"/>
  <c r="V528" i="1"/>
  <c r="W528" i="1"/>
  <c r="V520" i="1"/>
  <c r="W520" i="1"/>
  <c r="V512" i="1"/>
  <c r="W512" i="1"/>
  <c r="V504" i="1"/>
  <c r="W504" i="1"/>
  <c r="V496" i="1"/>
  <c r="W496" i="1"/>
  <c r="V488" i="1"/>
  <c r="W488" i="1"/>
  <c r="V480" i="1"/>
  <c r="W480" i="1"/>
  <c r="V472" i="1"/>
  <c r="W472" i="1"/>
  <c r="V464" i="1"/>
  <c r="W464" i="1"/>
  <c r="V456" i="1"/>
  <c r="W456" i="1"/>
  <c r="V448" i="1"/>
  <c r="W448" i="1"/>
  <c r="V440" i="1"/>
  <c r="W440" i="1"/>
  <c r="V432" i="1"/>
  <c r="W432" i="1"/>
  <c r="V424" i="1"/>
  <c r="W424" i="1"/>
  <c r="V416" i="1"/>
  <c r="W416" i="1"/>
  <c r="V408" i="1"/>
  <c r="W408" i="1"/>
  <c r="V400" i="1"/>
  <c r="W400" i="1"/>
  <c r="V392" i="1"/>
  <c r="W392" i="1"/>
  <c r="V384" i="1"/>
  <c r="W384" i="1"/>
  <c r="V376" i="1"/>
  <c r="W376" i="1"/>
  <c r="V368" i="1"/>
  <c r="W368" i="1"/>
  <c r="V360" i="1"/>
  <c r="W360" i="1"/>
  <c r="V352" i="1"/>
  <c r="W352" i="1"/>
  <c r="V344" i="1"/>
  <c r="W344" i="1"/>
  <c r="V336" i="1"/>
  <c r="W336" i="1"/>
  <c r="V328" i="1"/>
  <c r="W328" i="1"/>
  <c r="V320" i="1"/>
  <c r="W320" i="1"/>
  <c r="V312" i="1"/>
  <c r="W312" i="1"/>
  <c r="V304" i="1"/>
  <c r="W304" i="1"/>
  <c r="V296" i="1"/>
  <c r="W296" i="1"/>
  <c r="V288" i="1"/>
  <c r="W288" i="1"/>
  <c r="V280" i="1"/>
  <c r="W280" i="1"/>
  <c r="V272" i="1"/>
  <c r="W272" i="1"/>
  <c r="V256" i="1"/>
  <c r="W256" i="1"/>
  <c r="V248" i="1"/>
  <c r="W248" i="1"/>
  <c r="V240" i="1"/>
  <c r="W240" i="1"/>
  <c r="V232" i="1"/>
  <c r="W232" i="1"/>
  <c r="V224" i="1"/>
  <c r="W224" i="1"/>
  <c r="V216" i="1"/>
  <c r="W216" i="1"/>
  <c r="V208" i="1"/>
  <c r="W208" i="1"/>
  <c r="V192" i="1"/>
  <c r="W192" i="1"/>
  <c r="V184" i="1"/>
  <c r="W184" i="1"/>
  <c r="V176" i="1"/>
  <c r="W176" i="1"/>
  <c r="V168" i="1"/>
  <c r="W168" i="1"/>
  <c r="V160" i="1"/>
  <c r="W160" i="1"/>
  <c r="V152" i="1"/>
  <c r="W152" i="1"/>
  <c r="V144" i="1"/>
  <c r="W144" i="1"/>
  <c r="V136" i="1"/>
  <c r="W136" i="1"/>
  <c r="V128" i="1"/>
  <c r="W128" i="1"/>
  <c r="V120" i="1"/>
  <c r="W120" i="1"/>
  <c r="V112" i="1"/>
  <c r="W112" i="1"/>
  <c r="V104" i="1"/>
  <c r="W104" i="1"/>
  <c r="V96" i="1"/>
  <c r="W96" i="1"/>
  <c r="V88" i="1"/>
  <c r="W88" i="1"/>
  <c r="V80" i="1"/>
  <c r="W80" i="1"/>
  <c r="V72" i="1"/>
  <c r="W72" i="1"/>
  <c r="V64" i="1"/>
  <c r="W64" i="1"/>
  <c r="V56" i="1"/>
  <c r="W56" i="1"/>
  <c r="V48" i="1"/>
  <c r="W48" i="1"/>
  <c r="V40" i="1"/>
  <c r="W40" i="1"/>
  <c r="V32" i="1"/>
  <c r="W32" i="1"/>
  <c r="V24" i="1"/>
  <c r="W24" i="1"/>
  <c r="V16" i="1"/>
  <c r="W16" i="1"/>
  <c r="V8" i="1"/>
  <c r="W8" i="1"/>
  <c r="V264" i="1"/>
  <c r="W994" i="1"/>
  <c r="W930" i="1"/>
  <c r="W866" i="1"/>
  <c r="W794" i="1"/>
  <c r="W712" i="1"/>
  <c r="W581" i="1"/>
  <c r="W239" i="1"/>
  <c r="W68" i="1"/>
  <c r="W986" i="1"/>
  <c r="W922" i="1"/>
  <c r="W858" i="1"/>
  <c r="W784" i="1"/>
  <c r="W702" i="1"/>
  <c r="W389" i="1"/>
  <c r="W44" i="1"/>
  <c r="W31" i="1"/>
  <c r="W29" i="1"/>
  <c r="W30" i="1"/>
  <c r="W28" i="1"/>
  <c r="W97" i="1"/>
  <c r="W37" i="1"/>
</calcChain>
</file>

<file path=xl/sharedStrings.xml><?xml version="1.0" encoding="utf-8"?>
<sst xmlns="http://schemas.openxmlformats.org/spreadsheetml/2006/main" count="15015" uniqueCount="6580">
  <si>
    <t>s</t>
  </si>
  <si>
    <t>d</t>
  </si>
  <si>
    <t>£</t>
  </si>
  <si>
    <t>Battersea</t>
  </si>
  <si>
    <t>%</t>
  </si>
  <si>
    <t>Bermondsey</t>
  </si>
  <si>
    <t>Bethnal Green</t>
  </si>
  <si>
    <t>Camberwell</t>
  </si>
  <si>
    <t>Chelsea</t>
  </si>
  <si>
    <t>Deptford</t>
  </si>
  <si>
    <t>Finsbury</t>
  </si>
  <si>
    <t>Fulham</t>
  </si>
  <si>
    <t>Greenwich</t>
  </si>
  <si>
    <t>Hackney</t>
  </si>
  <si>
    <t>Hammersmith</t>
  </si>
  <si>
    <t>Hampstead</t>
  </si>
  <si>
    <t>Islington</t>
  </si>
  <si>
    <t>Kensington</t>
  </si>
  <si>
    <t>Lewisham</t>
  </si>
  <si>
    <t>Paddington</t>
  </si>
  <si>
    <t>Poplar</t>
  </si>
  <si>
    <t>St. Marylebone</t>
  </si>
  <si>
    <t>St. Pancras</t>
  </si>
  <si>
    <t>Shoreditch</t>
  </si>
  <si>
    <t>Lambeth</t>
  </si>
  <si>
    <t>Holborn</t>
  </si>
  <si>
    <t>Estimated product of a penny general rate, 1956-1957</t>
  </si>
  <si>
    <t>City of London</t>
  </si>
  <si>
    <t>102.7</t>
  </si>
  <si>
    <t>61.8</t>
  </si>
  <si>
    <t>104.0</t>
  </si>
  <si>
    <t>57.8</t>
  </si>
  <si>
    <t>50.1</t>
  </si>
  <si>
    <t>54.5</t>
  </si>
  <si>
    <t>53.6</t>
  </si>
  <si>
    <t>124.5</t>
  </si>
  <si>
    <t>56.2</t>
  </si>
  <si>
    <t>68.5</t>
  </si>
  <si>
    <t>71.8</t>
  </si>
  <si>
    <t>70.7</t>
  </si>
  <si>
    <t>31.7</t>
  </si>
  <si>
    <t>119.4</t>
  </si>
  <si>
    <t>56.9</t>
  </si>
  <si>
    <t>55.1</t>
  </si>
  <si>
    <t>73.3</t>
  </si>
  <si>
    <t>47.2</t>
  </si>
  <si>
    <t>85.1</t>
  </si>
  <si>
    <t>88.7</t>
  </si>
  <si>
    <t>72.4</t>
  </si>
  <si>
    <t>64.9</t>
  </si>
  <si>
    <t>Southwark:</t>
  </si>
  <si>
    <t>Rating area of--</t>
  </si>
  <si>
    <t>St. George-the-Martyr and Christchurch</t>
  </si>
  <si>
    <t>74.2</t>
  </si>
  <si>
    <t>St. Mary, Newington</t>
  </si>
  <si>
    <t>St. Saviour</t>
  </si>
  <si>
    <t>Stephney</t>
  </si>
  <si>
    <t>Stoke Newington</t>
  </si>
  <si>
    <t>Wandsworth</t>
  </si>
  <si>
    <t>Westminster</t>
  </si>
  <si>
    <t>City of Woolwich</t>
  </si>
  <si>
    <t>78.0</t>
  </si>
  <si>
    <t>52.6</t>
  </si>
  <si>
    <t>53.7</t>
  </si>
  <si>
    <t>98.2</t>
  </si>
  <si>
    <t>90.8</t>
  </si>
  <si>
    <t>Barnsley</t>
  </si>
  <si>
    <t>Barrow-in-Furness</t>
  </si>
  <si>
    <t>Bath</t>
  </si>
  <si>
    <t>Birkinhead</t>
  </si>
  <si>
    <t>Birmingham</t>
  </si>
  <si>
    <t>Blackburn</t>
  </si>
  <si>
    <t>Blackpool</t>
  </si>
  <si>
    <t>Bolton</t>
  </si>
  <si>
    <t>Bootle</t>
  </si>
  <si>
    <t>Bournemouth</t>
  </si>
  <si>
    <t>Bradford</t>
  </si>
  <si>
    <t>Brighton</t>
  </si>
  <si>
    <t>Bristol</t>
  </si>
  <si>
    <t>Burnley</t>
  </si>
  <si>
    <t>Burton-upon-Trent</t>
  </si>
  <si>
    <t>Bury</t>
  </si>
  <si>
    <t>Canterbury</t>
  </si>
  <si>
    <t>Carlisle</t>
  </si>
  <si>
    <t>Chester</t>
  </si>
  <si>
    <t>Coventry</t>
  </si>
  <si>
    <t>Croydon</t>
  </si>
  <si>
    <t>Darlington</t>
  </si>
  <si>
    <t>Derby</t>
  </si>
  <si>
    <t>Dewsbury</t>
  </si>
  <si>
    <t>Doncaster</t>
  </si>
  <si>
    <t>Dudley</t>
  </si>
  <si>
    <t>Eastbourne</t>
  </si>
  <si>
    <t>East Ham</t>
  </si>
  <si>
    <t>Exeter</t>
  </si>
  <si>
    <t>Gateshead</t>
  </si>
  <si>
    <t>Gloucester</t>
  </si>
  <si>
    <t>Great Yarmouth</t>
  </si>
  <si>
    <t>Grimsby</t>
  </si>
  <si>
    <t>Halifax</t>
  </si>
  <si>
    <t>Hastings</t>
  </si>
  <si>
    <t>Huddersfield</t>
  </si>
  <si>
    <t>Ipswich</t>
  </si>
  <si>
    <t>Kingston-upon-Hull</t>
  </si>
  <si>
    <t>Leeds</t>
  </si>
  <si>
    <t>Leicester</t>
  </si>
  <si>
    <t>Lincoln</t>
  </si>
  <si>
    <t>Liverpool</t>
  </si>
  <si>
    <t>Manchester</t>
  </si>
  <si>
    <t>Middlesbrough</t>
  </si>
  <si>
    <t>Newcastle upon Tyne</t>
  </si>
  <si>
    <t>Northampton</t>
  </si>
  <si>
    <t>Norwich</t>
  </si>
  <si>
    <t>Nottingham</t>
  </si>
  <si>
    <t>Oldham</t>
  </si>
  <si>
    <t>Oxford</t>
  </si>
  <si>
    <t>Plymouth</t>
  </si>
  <si>
    <t>Portsmouth</t>
  </si>
  <si>
    <t>Preston</t>
  </si>
  <si>
    <t>Reading</t>
  </si>
  <si>
    <t>Rochdale</t>
  </si>
  <si>
    <t>Rotherham</t>
  </si>
  <si>
    <t>St. Helens</t>
  </si>
  <si>
    <t>Salford</t>
  </si>
  <si>
    <t>Sheffield</t>
  </si>
  <si>
    <t>Smethwick</t>
  </si>
  <si>
    <t>Southampton</t>
  </si>
  <si>
    <t>Southend-on-Sea</t>
  </si>
  <si>
    <t>Southport</t>
  </si>
  <si>
    <t>South Shields</t>
  </si>
  <si>
    <t>Stockport</t>
  </si>
  <si>
    <t>Stoke-on-Trent</t>
  </si>
  <si>
    <t>Sunderland</t>
  </si>
  <si>
    <t>Tynemouth</t>
  </si>
  <si>
    <t>Wakefield</t>
  </si>
  <si>
    <t>Wallasey</t>
  </si>
  <si>
    <t>Walsall</t>
  </si>
  <si>
    <t>Warrington</t>
  </si>
  <si>
    <t>West Bromwich</t>
  </si>
  <si>
    <t>West Ham</t>
  </si>
  <si>
    <t>West Hartlepool</t>
  </si>
  <si>
    <t>Wigan</t>
  </si>
  <si>
    <t>Wolverhampton</t>
  </si>
  <si>
    <t>Worcester</t>
  </si>
  <si>
    <t>York</t>
  </si>
  <si>
    <t>BEDFORD:</t>
  </si>
  <si>
    <t>Non-County Boroughs-</t>
  </si>
  <si>
    <t>Dunstable</t>
  </si>
  <si>
    <t>Luton</t>
  </si>
  <si>
    <t>Ampthill</t>
  </si>
  <si>
    <t>Urban Districts-</t>
  </si>
  <si>
    <t>Biggleswade</t>
  </si>
  <si>
    <t>Kempston</t>
  </si>
  <si>
    <t>Leighton Buzzard</t>
  </si>
  <si>
    <t>Sandy</t>
  </si>
  <si>
    <t>BERKS:</t>
  </si>
  <si>
    <t>Abingdon</t>
  </si>
  <si>
    <t>Maidenhead</t>
  </si>
  <si>
    <t>Newburry</t>
  </si>
  <si>
    <t>New Windsor</t>
  </si>
  <si>
    <t>Wallingford</t>
  </si>
  <si>
    <t>Wokingham</t>
  </si>
  <si>
    <t>Wantage</t>
  </si>
  <si>
    <t>BUCKINGHAM:</t>
  </si>
  <si>
    <t>Ayelesbury</t>
  </si>
  <si>
    <t>Buckingham</t>
  </si>
  <si>
    <t>High Wycombe</t>
  </si>
  <si>
    <t>Slough</t>
  </si>
  <si>
    <t>Beaconsfield</t>
  </si>
  <si>
    <t>Bletchley</t>
  </si>
  <si>
    <t>Chesham</t>
  </si>
  <si>
    <t>Eton</t>
  </si>
  <si>
    <t>Linslade</t>
  </si>
  <si>
    <t>Marlow</t>
  </si>
  <si>
    <t>Newport Pagnell</t>
  </si>
  <si>
    <t>Wolverton</t>
  </si>
  <si>
    <t>CAMBRIDGE:</t>
  </si>
  <si>
    <t>Cambridge</t>
  </si>
  <si>
    <t>CHESTER:</t>
  </si>
  <si>
    <t>Altrincham</t>
  </si>
  <si>
    <t>Bebington</t>
  </si>
  <si>
    <t>Congleton</t>
  </si>
  <si>
    <t>Crewe</t>
  </si>
  <si>
    <t>Dukinfield</t>
  </si>
  <si>
    <t>Ellesmere Port</t>
  </si>
  <si>
    <t>Hyde</t>
  </si>
  <si>
    <t>Macclesfield</t>
  </si>
  <si>
    <t>Sale</t>
  </si>
  <si>
    <t>Stalybridge</t>
  </si>
  <si>
    <t>Alderley Edge</t>
  </si>
  <si>
    <t>Alsager</t>
  </si>
  <si>
    <t>Bollington</t>
  </si>
  <si>
    <t>Bowdon</t>
  </si>
  <si>
    <t>Bredbury and Romiley</t>
  </si>
  <si>
    <t>Cheadle and Gatley</t>
  </si>
  <si>
    <t>Hale</t>
  </si>
  <si>
    <t>Hazel Grove and Bramhall</t>
  </si>
  <si>
    <t>Hoylake</t>
  </si>
  <si>
    <t>Knutsford</t>
  </si>
  <si>
    <t>Longdendale</t>
  </si>
  <si>
    <t>Lymm</t>
  </si>
  <si>
    <t>Marple</t>
  </si>
  <si>
    <t>Middlewich</t>
  </si>
  <si>
    <t>Nantwich</t>
  </si>
  <si>
    <t>Neston</t>
  </si>
  <si>
    <t>Northwich</t>
  </si>
  <si>
    <t>Runcorn</t>
  </si>
  <si>
    <t>Sandbach</t>
  </si>
  <si>
    <t>Wilmslow</t>
  </si>
  <si>
    <t>Winsford</t>
  </si>
  <si>
    <t>Wirral</t>
  </si>
  <si>
    <t>CORNWALL:</t>
  </si>
  <si>
    <t>Bodmin</t>
  </si>
  <si>
    <t>Falmouth</t>
  </si>
  <si>
    <t>Fowey</t>
  </si>
  <si>
    <t>Helston</t>
  </si>
  <si>
    <t>Launceston(Dunheved)</t>
  </si>
  <si>
    <t>Liskeard</t>
  </si>
  <si>
    <t>Lostwithiel</t>
  </si>
  <si>
    <t>Penryn</t>
  </si>
  <si>
    <t>Penzance</t>
  </si>
  <si>
    <t>St. Ives</t>
  </si>
  <si>
    <t>Saltash</t>
  </si>
  <si>
    <t>Truro</t>
  </si>
  <si>
    <t xml:space="preserve">Bude-Stratton </t>
  </si>
  <si>
    <t>Camborne-Redruth</t>
  </si>
  <si>
    <t>Looe</t>
  </si>
  <si>
    <t>Newquay</t>
  </si>
  <si>
    <t>Padstow</t>
  </si>
  <si>
    <t>St. Austell</t>
  </si>
  <si>
    <t>St. Just</t>
  </si>
  <si>
    <t>Torpoint</t>
  </si>
  <si>
    <t>CUMBERLAND:</t>
  </si>
  <si>
    <t>Whitehaven</t>
  </si>
  <si>
    <t>Workington</t>
  </si>
  <si>
    <t>Cockermouth</t>
  </si>
  <si>
    <t>Keswick</t>
  </si>
  <si>
    <t>Maryport</t>
  </si>
  <si>
    <t>Penrith</t>
  </si>
  <si>
    <t>DERBY:</t>
  </si>
  <si>
    <t>Buxton</t>
  </si>
  <si>
    <t>Chesterfield</t>
  </si>
  <si>
    <t>Glossop</t>
  </si>
  <si>
    <t>Iikeston</t>
  </si>
  <si>
    <t>Alfreton</t>
  </si>
  <si>
    <t>Ashbourne</t>
  </si>
  <si>
    <t>Bakewell</t>
  </si>
  <si>
    <t>Belper</t>
  </si>
  <si>
    <t>Bolsover</t>
  </si>
  <si>
    <t>Clay Cross</t>
  </si>
  <si>
    <t>Dronfield</t>
  </si>
  <si>
    <t>Heanor</t>
  </si>
  <si>
    <t>Long Eaton</t>
  </si>
  <si>
    <t>Matlock</t>
  </si>
  <si>
    <t>New Mills</t>
  </si>
  <si>
    <t>Ripley</t>
  </si>
  <si>
    <t>Staveley</t>
  </si>
  <si>
    <t>Swadlincote</t>
  </si>
  <si>
    <t>Whaley Bridge</t>
  </si>
  <si>
    <t>Wirksworth</t>
  </si>
  <si>
    <t>DEVON:</t>
  </si>
  <si>
    <t>Barnstapple</t>
  </si>
  <si>
    <t>Bideford</t>
  </si>
  <si>
    <t xml:space="preserve">Dartmouth </t>
  </si>
  <si>
    <t>Great Torrington</t>
  </si>
  <si>
    <t>Honiton</t>
  </si>
  <si>
    <t>Okehampton</t>
  </si>
  <si>
    <t>South Malton</t>
  </si>
  <si>
    <t>Tiverton</t>
  </si>
  <si>
    <t>Torquay</t>
  </si>
  <si>
    <t>Totnes</t>
  </si>
  <si>
    <t>Ashburton</t>
  </si>
  <si>
    <t>Brixham</t>
  </si>
  <si>
    <t>Buckfastleigh</t>
  </si>
  <si>
    <t>Budleigh Salterton</t>
  </si>
  <si>
    <t>Crediton</t>
  </si>
  <si>
    <t>Dawlish</t>
  </si>
  <si>
    <t>Exmouth</t>
  </si>
  <si>
    <t>Holsworthy</t>
  </si>
  <si>
    <t>Ilfracombe</t>
  </si>
  <si>
    <t>Kingsbridge</t>
  </si>
  <si>
    <t>Lynton</t>
  </si>
  <si>
    <t>Newton Abbot</t>
  </si>
  <si>
    <t>Northam</t>
  </si>
  <si>
    <t>Ottery St. Mary</t>
  </si>
  <si>
    <t>Paignton</t>
  </si>
  <si>
    <t>Salcombe</t>
  </si>
  <si>
    <t>Seaton</t>
  </si>
  <si>
    <t>Sidmouth</t>
  </si>
  <si>
    <t>Tavistock</t>
  </si>
  <si>
    <t>Teignmouth</t>
  </si>
  <si>
    <t>Blandford Forum</t>
  </si>
  <si>
    <t>DORSET:</t>
  </si>
  <si>
    <t>Bridport</t>
  </si>
  <si>
    <t>Dorchester</t>
  </si>
  <si>
    <t>Lyme Regis</t>
  </si>
  <si>
    <t>Poole</t>
  </si>
  <si>
    <t>Shaftesbury</t>
  </si>
  <si>
    <t>Wareham</t>
  </si>
  <si>
    <t>Weymouth and Melcombe Regis</t>
  </si>
  <si>
    <t>Portland</t>
  </si>
  <si>
    <t>Sherborne</t>
  </si>
  <si>
    <t>Swanage</t>
  </si>
  <si>
    <t>Wimborne Minster</t>
  </si>
  <si>
    <t>DURHAM:</t>
  </si>
  <si>
    <t>Durham</t>
  </si>
  <si>
    <t>Hartlepool</t>
  </si>
  <si>
    <t>Jarrow</t>
  </si>
  <si>
    <t>Stockton-on-Tees</t>
  </si>
  <si>
    <t>Barnard Castle</t>
  </si>
  <si>
    <t>Billingham</t>
  </si>
  <si>
    <t>Bishop Auckland</t>
  </si>
  <si>
    <t>Blaydon</t>
  </si>
  <si>
    <t>Boldon</t>
  </si>
  <si>
    <t>Brandon and Byshottles</t>
  </si>
  <si>
    <t>Chester-le-Street</t>
  </si>
  <si>
    <t>Consett</t>
  </si>
  <si>
    <t>Crook and Willington</t>
  </si>
  <si>
    <t>Felling</t>
  </si>
  <si>
    <t>Hebburn</t>
  </si>
  <si>
    <t>Hetton</t>
  </si>
  <si>
    <t>Houghton-le-Spring</t>
  </si>
  <si>
    <t>Ryton</t>
  </si>
  <si>
    <t>Seaham</t>
  </si>
  <si>
    <t>Shildon</t>
  </si>
  <si>
    <t>Spennymoor</t>
  </si>
  <si>
    <t>Stanley</t>
  </si>
  <si>
    <t>Tow Law</t>
  </si>
  <si>
    <t>Washington</t>
  </si>
  <si>
    <t>Whickham</t>
  </si>
  <si>
    <t>ESSEX:</t>
  </si>
  <si>
    <t>Barking</t>
  </si>
  <si>
    <t>Chelmsford</t>
  </si>
  <si>
    <t>Chingford</t>
  </si>
  <si>
    <t>Colchester</t>
  </si>
  <si>
    <t>Dagenham</t>
  </si>
  <si>
    <t>Harwich</t>
  </si>
  <si>
    <t>Ilford</t>
  </si>
  <si>
    <t>Leyton</t>
  </si>
  <si>
    <t>Maldon</t>
  </si>
  <si>
    <t>Romford</t>
  </si>
  <si>
    <t>Saffron Walden</t>
  </si>
  <si>
    <t>Walthamstow</t>
  </si>
  <si>
    <t>Wanstead and Woodford</t>
  </si>
  <si>
    <t>Basildon</t>
  </si>
  <si>
    <t>Benfleet</t>
  </si>
  <si>
    <t>Braintree and Bocking</t>
  </si>
  <si>
    <t>Brentwood</t>
  </si>
  <si>
    <t>Brightlingsea</t>
  </si>
  <si>
    <t>Burnham-on-Crouch</t>
  </si>
  <si>
    <t>Canvey Island</t>
  </si>
  <si>
    <t>Chigwell</t>
  </si>
  <si>
    <t>Clacton</t>
  </si>
  <si>
    <t>Epping</t>
  </si>
  <si>
    <t>Frinton and Walton</t>
  </si>
  <si>
    <t>Halstead</t>
  </si>
  <si>
    <t>Harlow</t>
  </si>
  <si>
    <t>Hornchurch</t>
  </si>
  <si>
    <t>Rayleigh</t>
  </si>
  <si>
    <t>Thurrock</t>
  </si>
  <si>
    <t>Waltham Holy Cross</t>
  </si>
  <si>
    <t>West Mersea</t>
  </si>
  <si>
    <t>Witham</t>
  </si>
  <si>
    <t>Wivenhoe</t>
  </si>
  <si>
    <t>GLOUCESTER:</t>
  </si>
  <si>
    <t>Cheltenham</t>
  </si>
  <si>
    <t>Tewkesbury</t>
  </si>
  <si>
    <t>Charlton Kings</t>
  </si>
  <si>
    <t>Cirencester</t>
  </si>
  <si>
    <t>Kingswood</t>
  </si>
  <si>
    <t>Mangotsfield</t>
  </si>
  <si>
    <t>Nailsworth</t>
  </si>
  <si>
    <t>Stroud</t>
  </si>
  <si>
    <t>HEREFORD:</t>
  </si>
  <si>
    <t>Hereford</t>
  </si>
  <si>
    <t>Leominster</t>
  </si>
  <si>
    <t>Bromyard</t>
  </si>
  <si>
    <t>Kington</t>
  </si>
  <si>
    <t>Ledbury</t>
  </si>
  <si>
    <t>Ross-on-Wye</t>
  </si>
  <si>
    <t>HERTFORD:</t>
  </si>
  <si>
    <t>Hemel Hempstead</t>
  </si>
  <si>
    <t>Hertford</t>
  </si>
  <si>
    <t>St. Alban</t>
  </si>
  <si>
    <t>Watford</t>
  </si>
  <si>
    <t>Baldock</t>
  </si>
  <si>
    <t>Barnet</t>
  </si>
  <si>
    <t>Berkhamsted</t>
  </si>
  <si>
    <t>Bishop's Stortford</t>
  </si>
  <si>
    <t>Bushey</t>
  </si>
  <si>
    <t>Chestnut</t>
  </si>
  <si>
    <t>Chorleywood</t>
  </si>
  <si>
    <t>East Barnet</t>
  </si>
  <si>
    <t>Harpenden</t>
  </si>
  <si>
    <t>Hitchin</t>
  </si>
  <si>
    <t>Hoddesdon</t>
  </si>
  <si>
    <t>Letchworth</t>
  </si>
  <si>
    <t>Rickmansworth</t>
  </si>
  <si>
    <t>Royston</t>
  </si>
  <si>
    <t>Sawbridgeworth</t>
  </si>
  <si>
    <t>Stevenage</t>
  </si>
  <si>
    <t>Tring</t>
  </si>
  <si>
    <t>Ware</t>
  </si>
  <si>
    <t>Welwyn Garden City</t>
  </si>
  <si>
    <t>HUNTINGDON:</t>
  </si>
  <si>
    <t>Godmanchester</t>
  </si>
  <si>
    <t>Huntingdon</t>
  </si>
  <si>
    <t>Old Fletton</t>
  </si>
  <si>
    <t>Ramsey</t>
  </si>
  <si>
    <t>St. Neots</t>
  </si>
  <si>
    <t>ISLE OF ELY:</t>
  </si>
  <si>
    <t>Wisbech</t>
  </si>
  <si>
    <t>Chatteris</t>
  </si>
  <si>
    <t>Ely</t>
  </si>
  <si>
    <t>March</t>
  </si>
  <si>
    <t>Whittlesey</t>
  </si>
  <si>
    <t>ISLE OF WIGHT:</t>
  </si>
  <si>
    <t>Newport</t>
  </si>
  <si>
    <t>Ryde</t>
  </si>
  <si>
    <t>Cowes</t>
  </si>
  <si>
    <t>Sandown-Shanklin</t>
  </si>
  <si>
    <t>Ventnor</t>
  </si>
  <si>
    <t>KENT:</t>
  </si>
  <si>
    <t>Beckenham</t>
  </si>
  <si>
    <t>Bexley</t>
  </si>
  <si>
    <t>Bromley</t>
  </si>
  <si>
    <t>Chatham</t>
  </si>
  <si>
    <t>Dartford</t>
  </si>
  <si>
    <t>Deal</t>
  </si>
  <si>
    <t>Dover</t>
  </si>
  <si>
    <t>Erith</t>
  </si>
  <si>
    <t>Faversham</t>
  </si>
  <si>
    <t>Folkestone</t>
  </si>
  <si>
    <t>Gilingham</t>
  </si>
  <si>
    <t>Gravesend</t>
  </si>
  <si>
    <t>Hythe</t>
  </si>
  <si>
    <t>Lydd</t>
  </si>
  <si>
    <t>Maidstone</t>
  </si>
  <si>
    <t>Margate</t>
  </si>
  <si>
    <t>New Romney</t>
  </si>
  <si>
    <t>Queenborough</t>
  </si>
  <si>
    <t>Ramsgate</t>
  </si>
  <si>
    <t>Rochester</t>
  </si>
  <si>
    <t>Sandwich</t>
  </si>
  <si>
    <t>Tenterden</t>
  </si>
  <si>
    <t>Tunbridge Wells(Royal)</t>
  </si>
  <si>
    <t>Ashford</t>
  </si>
  <si>
    <t>Broadstairs and St. Peter's</t>
  </si>
  <si>
    <t>Chislehurst and Sidcup</t>
  </si>
  <si>
    <t>Crayford</t>
  </si>
  <si>
    <t>Herne Bay</t>
  </si>
  <si>
    <t>Northfleet</t>
  </si>
  <si>
    <t>Orpington</t>
  </si>
  <si>
    <t>Penge</t>
  </si>
  <si>
    <t>Sevenoaks</t>
  </si>
  <si>
    <t>Sheerness</t>
  </si>
  <si>
    <t>Sittingbourne and Milton</t>
  </si>
  <si>
    <t>Southborough</t>
  </si>
  <si>
    <t>Swanscombe</t>
  </si>
  <si>
    <t>Tonbridge</t>
  </si>
  <si>
    <t>Whitstable</t>
  </si>
  <si>
    <t>LANCASTER:</t>
  </si>
  <si>
    <t>Accrington</t>
  </si>
  <si>
    <t>Ashton-under-Lyne</t>
  </si>
  <si>
    <t>Bacup</t>
  </si>
  <si>
    <t>Chorley</t>
  </si>
  <si>
    <t>Clitheroe</t>
  </si>
  <si>
    <t>Colne</t>
  </si>
  <si>
    <t>Crosby</t>
  </si>
  <si>
    <t>Darwen</t>
  </si>
  <si>
    <t>Eccles</t>
  </si>
  <si>
    <t>Farnworth</t>
  </si>
  <si>
    <t>Fleetwood</t>
  </si>
  <si>
    <t>Haslingden</t>
  </si>
  <si>
    <t>Heywood</t>
  </si>
  <si>
    <t>Lancaster</t>
  </si>
  <si>
    <t>Leigh</t>
  </si>
  <si>
    <t>Lytham St. Anne's</t>
  </si>
  <si>
    <t>Middleton</t>
  </si>
  <si>
    <t>Morecambe and Heysham</t>
  </si>
  <si>
    <t>Mossley</t>
  </si>
  <si>
    <t>Nelson</t>
  </si>
  <si>
    <t>Prestwich</t>
  </si>
  <si>
    <t>Radcliffe</t>
  </si>
  <si>
    <t>Rawtenstall</t>
  </si>
  <si>
    <t>Stretford</t>
  </si>
  <si>
    <t>Swinton and Pendlebury</t>
  </si>
  <si>
    <t>Widnes</t>
  </si>
  <si>
    <t>Abram</t>
  </si>
  <si>
    <t>Adlington</t>
  </si>
  <si>
    <t>Ashton-in-Makerfield</t>
  </si>
  <si>
    <t>Aspull</t>
  </si>
  <si>
    <t>Atherton</t>
  </si>
  <si>
    <t>Audenshaw</t>
  </si>
  <si>
    <t>Barrowford</t>
  </si>
  <si>
    <t>Billinge and Winstanley</t>
  </si>
  <si>
    <t>Blackrod</t>
  </si>
  <si>
    <t>Brierfield</t>
  </si>
  <si>
    <t>Carnforth</t>
  </si>
  <si>
    <t>Chadderton</t>
  </si>
  <si>
    <t>Church</t>
  </si>
  <si>
    <t>Clayton-le-Moors</t>
  </si>
  <si>
    <t>Crompton</t>
  </si>
  <si>
    <t>Dalton-in-Furness</t>
  </si>
  <si>
    <t>Denton</t>
  </si>
  <si>
    <t>Droylsden</t>
  </si>
  <si>
    <t>Failsworth</t>
  </si>
  <si>
    <t>Formby</t>
  </si>
  <si>
    <t>Fulwood</t>
  </si>
  <si>
    <t>Golborne</t>
  </si>
  <si>
    <t>Grange</t>
  </si>
  <si>
    <t>Great Harwood</t>
  </si>
  <si>
    <t>Haydock</t>
  </si>
  <si>
    <t>Hindley</t>
  </si>
  <si>
    <t>Horwich</t>
  </si>
  <si>
    <t>Huyton-with-Roby</t>
  </si>
  <si>
    <t>Ince-in-Makerfield</t>
  </si>
  <si>
    <t>Irlam</t>
  </si>
  <si>
    <t>Kearsley</t>
  </si>
  <si>
    <t>Kirkham</t>
  </si>
  <si>
    <t>Lees</t>
  </si>
  <si>
    <t>Leyland</t>
  </si>
  <si>
    <t>Litherland</t>
  </si>
  <si>
    <t>Littleborough</t>
  </si>
  <si>
    <t>Little Lever</t>
  </si>
  <si>
    <t>Longridge</t>
  </si>
  <si>
    <t>Milnrow</t>
  </si>
  <si>
    <t>Newton-le-Willows</t>
  </si>
  <si>
    <t>Ormskirk</t>
  </si>
  <si>
    <t>Orrell</t>
  </si>
  <si>
    <t>Oswaldtwistle</t>
  </si>
  <si>
    <t>Padiham</t>
  </si>
  <si>
    <t>Poulton-le-Fylde</t>
  </si>
  <si>
    <t>Preesall</t>
  </si>
  <si>
    <t>Prescot</t>
  </si>
  <si>
    <t>Rainford</t>
  </si>
  <si>
    <t>Ramsbottom</t>
  </si>
  <si>
    <t>Rishton</t>
  </si>
  <si>
    <t>Royton</t>
  </si>
  <si>
    <t>Skelmersdale</t>
  </si>
  <si>
    <t>Standish-with-Langtree</t>
  </si>
  <si>
    <t>Thornton Cleveleys</t>
  </si>
  <si>
    <t>Tottington</t>
  </si>
  <si>
    <t>Trawden</t>
  </si>
  <si>
    <t>Turton</t>
  </si>
  <si>
    <t>Tyldesley</t>
  </si>
  <si>
    <t>Ulverston</t>
  </si>
  <si>
    <t>Upholland</t>
  </si>
  <si>
    <t>Urmston</t>
  </si>
  <si>
    <t>Walton-le-Dale</t>
  </si>
  <si>
    <t>Wardle</t>
  </si>
  <si>
    <t>Westhoughton</t>
  </si>
  <si>
    <t>Whitefield</t>
  </si>
  <si>
    <t>Whitworth</t>
  </si>
  <si>
    <t>Withnell</t>
  </si>
  <si>
    <t>Worsley</t>
  </si>
  <si>
    <t>LEICESTER:</t>
  </si>
  <si>
    <t>Loughborough</t>
  </si>
  <si>
    <t>Ashby-de-la-Zouch</t>
  </si>
  <si>
    <t>Ashby Woulds</t>
  </si>
  <si>
    <t>Coalville</t>
  </si>
  <si>
    <t>Hinckley</t>
  </si>
  <si>
    <t>Market Harborough</t>
  </si>
  <si>
    <t>Melton Mowbray</t>
  </si>
  <si>
    <t>Oadby</t>
  </si>
  <si>
    <t>Shepshed</t>
  </si>
  <si>
    <t>Wigston</t>
  </si>
  <si>
    <t>LINCOLN, PARTS OF HOLLAND:</t>
  </si>
  <si>
    <t>Boston</t>
  </si>
  <si>
    <t>Spalding</t>
  </si>
  <si>
    <t>LINCOLN, PARTS OF KESTEVEN:</t>
  </si>
  <si>
    <t>Grantham</t>
  </si>
  <si>
    <t>Stamford</t>
  </si>
  <si>
    <t>Bourne</t>
  </si>
  <si>
    <t>Sleaford</t>
  </si>
  <si>
    <t>LINCOLN, PARTS OF LINDSEY:</t>
  </si>
  <si>
    <t>Cleethorpes</t>
  </si>
  <si>
    <t>Louth</t>
  </si>
  <si>
    <t>Scunthorpe</t>
  </si>
  <si>
    <t>Alford</t>
  </si>
  <si>
    <t>Barton-upon-Humber</t>
  </si>
  <si>
    <t>Brigg</t>
  </si>
  <si>
    <t>Gainsborough</t>
  </si>
  <si>
    <t>Horncastle</t>
  </si>
  <si>
    <t>Mablethorpe and Sutton</t>
  </si>
  <si>
    <t>Market Rasen</t>
  </si>
  <si>
    <t>Skegness</t>
  </si>
  <si>
    <t>Woodhall Spa</t>
  </si>
  <si>
    <t>MIDDLESEX:</t>
  </si>
  <si>
    <t>Acton</t>
  </si>
  <si>
    <t>Brentford and Chiswick</t>
  </si>
  <si>
    <t>Ealing</t>
  </si>
  <si>
    <t>Edmonton</t>
  </si>
  <si>
    <t>Enfield</t>
  </si>
  <si>
    <t>Finchley</t>
  </si>
  <si>
    <t>Harrow</t>
  </si>
  <si>
    <t>Hendon</t>
  </si>
  <si>
    <t>Heston and Isleworth</t>
  </si>
  <si>
    <t>Hornsey</t>
  </si>
  <si>
    <t>Southall</t>
  </si>
  <si>
    <t>Southgate</t>
  </si>
  <si>
    <t>Tottenham</t>
  </si>
  <si>
    <t>Twickenham</t>
  </si>
  <si>
    <t>Uxbridge</t>
  </si>
  <si>
    <t>Wembley</t>
  </si>
  <si>
    <t>Willesden</t>
  </si>
  <si>
    <t>Wood Green</t>
  </si>
  <si>
    <t>Feltham</t>
  </si>
  <si>
    <t>Friern Barnet</t>
  </si>
  <si>
    <t>Hayes and Harlington</t>
  </si>
  <si>
    <t>Poters Bar</t>
  </si>
  <si>
    <t>Ruislip-Northwood</t>
  </si>
  <si>
    <t>Staines</t>
  </si>
  <si>
    <t>Sunbury-on-Thames</t>
  </si>
  <si>
    <t>Yiewsley and West Drayton</t>
  </si>
  <si>
    <t>King's Lynn</t>
  </si>
  <si>
    <t>Thetford</t>
  </si>
  <si>
    <t>Cromer</t>
  </si>
  <si>
    <t>Diss</t>
  </si>
  <si>
    <t>Downham Market</t>
  </si>
  <si>
    <t>East Dereham</t>
  </si>
  <si>
    <t>North Walsham</t>
  </si>
  <si>
    <t>Sheringham</t>
  </si>
  <si>
    <t>Swaffham</t>
  </si>
  <si>
    <t>Wells-next-the-Sea</t>
  </si>
  <si>
    <t>Wymondham</t>
  </si>
  <si>
    <t>NORTHAMPTON:</t>
  </si>
  <si>
    <t>Brackley</t>
  </si>
  <si>
    <t>Daventry</t>
  </si>
  <si>
    <t>Higham Ferrers</t>
  </si>
  <si>
    <t>Kettering</t>
  </si>
  <si>
    <t xml:space="preserve">Burton Latimer </t>
  </si>
  <si>
    <t>Corby</t>
  </si>
  <si>
    <t>Desborough</t>
  </si>
  <si>
    <t>Irthlingborough</t>
  </si>
  <si>
    <t>Oundle</t>
  </si>
  <si>
    <t>Raunds</t>
  </si>
  <si>
    <t>Rothwell</t>
  </si>
  <si>
    <t>Rushden</t>
  </si>
  <si>
    <t>Wellingborough</t>
  </si>
  <si>
    <t>NORTHUMBERLAND:</t>
  </si>
  <si>
    <t>Berwick-upon-Tweed</t>
  </si>
  <si>
    <t>Blyth</t>
  </si>
  <si>
    <t>Morpeth</t>
  </si>
  <si>
    <t>Wallsend</t>
  </si>
  <si>
    <t>Whitley Bay</t>
  </si>
  <si>
    <t>Alnwick</t>
  </si>
  <si>
    <t>Amble</t>
  </si>
  <si>
    <t>Ashington</t>
  </si>
  <si>
    <t>Bedlingtonshire</t>
  </si>
  <si>
    <t>Gosforth</t>
  </si>
  <si>
    <t>Hexham</t>
  </si>
  <si>
    <t>Longbenton</t>
  </si>
  <si>
    <t>Newbiggin-by-the-Sea</t>
  </si>
  <si>
    <t>Newburn</t>
  </si>
  <si>
    <t>Prudhoe</t>
  </si>
  <si>
    <t>Seaton Valley</t>
  </si>
  <si>
    <t>NOTTINGHAM:</t>
  </si>
  <si>
    <t>East Retford</t>
  </si>
  <si>
    <t>Mansfield</t>
  </si>
  <si>
    <t>Newark</t>
  </si>
  <si>
    <t>Worksop</t>
  </si>
  <si>
    <t>Arnold</t>
  </si>
  <si>
    <t>Beeston and Stapleford</t>
  </si>
  <si>
    <t>Carlton</t>
  </si>
  <si>
    <t>Eastwod</t>
  </si>
  <si>
    <t>Hucknall</t>
  </si>
  <si>
    <t>Kirkby-in-Ashfield</t>
  </si>
  <si>
    <t>Manshield Woodhouse</t>
  </si>
  <si>
    <t>Sutton-in-Ashfield</t>
  </si>
  <si>
    <t>Warsop</t>
  </si>
  <si>
    <t>West Bridgford</t>
  </si>
  <si>
    <t>OXFORD:</t>
  </si>
  <si>
    <t>Banbury</t>
  </si>
  <si>
    <t>Chipping Norton</t>
  </si>
  <si>
    <t>Henley-upon-Thames</t>
  </si>
  <si>
    <t>Woodstock</t>
  </si>
  <si>
    <t>Bicester</t>
  </si>
  <si>
    <t>Thame</t>
  </si>
  <si>
    <t>Witney</t>
  </si>
  <si>
    <t>RUTLAND:</t>
  </si>
  <si>
    <t>Oakham</t>
  </si>
  <si>
    <t>Bishop's Castle</t>
  </si>
  <si>
    <t>SALOP:</t>
  </si>
  <si>
    <t>Bridgnorth</t>
  </si>
  <si>
    <t>Ludlow</t>
  </si>
  <si>
    <t>Oswestry</t>
  </si>
  <si>
    <t>Shrewsbury</t>
  </si>
  <si>
    <t>Wenlock</t>
  </si>
  <si>
    <t>Church Stretton</t>
  </si>
  <si>
    <t>Dawley</t>
  </si>
  <si>
    <t>Ellesmere</t>
  </si>
  <si>
    <t>Market Drayton</t>
  </si>
  <si>
    <t>Oakengates</t>
  </si>
  <si>
    <t>Wellington</t>
  </si>
  <si>
    <t>Whitchurch</t>
  </si>
  <si>
    <t>SOKE OF PETERBOROUGH:</t>
  </si>
  <si>
    <t>Peterborough</t>
  </si>
  <si>
    <t>SOMERSET:</t>
  </si>
  <si>
    <t>Bridgwater</t>
  </si>
  <si>
    <t>Chard</t>
  </si>
  <si>
    <t>Glastonbury</t>
  </si>
  <si>
    <t>Taunton</t>
  </si>
  <si>
    <t>Wells</t>
  </si>
  <si>
    <t>Weston-super-Mare</t>
  </si>
  <si>
    <t>Yeovil</t>
  </si>
  <si>
    <t>Burnham-on-Sea</t>
  </si>
  <si>
    <t>Clevedon</t>
  </si>
  <si>
    <t>Crewkerne</t>
  </si>
  <si>
    <t>Frome</t>
  </si>
  <si>
    <t>Ilminster</t>
  </si>
  <si>
    <t>Keynsham</t>
  </si>
  <si>
    <t>Minehead</t>
  </si>
  <si>
    <t>Norton-Radstock</t>
  </si>
  <si>
    <t>Portishead</t>
  </si>
  <si>
    <t>Shepton Mallet</t>
  </si>
  <si>
    <t>Street</t>
  </si>
  <si>
    <t>Watchet</t>
  </si>
  <si>
    <t>SOUTHAMPTON:</t>
  </si>
  <si>
    <t>Aldershot</t>
  </si>
  <si>
    <t>Andover</t>
  </si>
  <si>
    <t>Basingstoke</t>
  </si>
  <si>
    <t>Christchurch</t>
  </si>
  <si>
    <t>Eastleigh</t>
  </si>
  <si>
    <t>Gosport</t>
  </si>
  <si>
    <t>Lymington</t>
  </si>
  <si>
    <t>Romsey</t>
  </si>
  <si>
    <t>Winchester</t>
  </si>
  <si>
    <t>Alton</t>
  </si>
  <si>
    <t>Fareham</t>
  </si>
  <si>
    <t>Farnborough</t>
  </si>
  <si>
    <t>Fleet</t>
  </si>
  <si>
    <t>Havant and Waterloo</t>
  </si>
  <si>
    <t>Petersfield</t>
  </si>
  <si>
    <t>STAFFORD:</t>
  </si>
  <si>
    <t>Bliston</t>
  </si>
  <si>
    <t>Lichfield</t>
  </si>
  <si>
    <t>Newcastle-under-Lyme</t>
  </si>
  <si>
    <t>Rowley Regis</t>
  </si>
  <si>
    <t>Stafford</t>
  </si>
  <si>
    <t>Tamworth</t>
  </si>
  <si>
    <t>Tipton</t>
  </si>
  <si>
    <t>Wednesbury</t>
  </si>
  <si>
    <t>Aldridge</t>
  </si>
  <si>
    <t>Amblecote</t>
  </si>
  <si>
    <t>Biddulph</t>
  </si>
  <si>
    <t>Brierley Hill</t>
  </si>
  <si>
    <t>Brownhills</t>
  </si>
  <si>
    <t>Cannock</t>
  </si>
  <si>
    <t>Coseley</t>
  </si>
  <si>
    <t>Darlaston</t>
  </si>
  <si>
    <t>Kidsgrove</t>
  </si>
  <si>
    <t>Leek</t>
  </si>
  <si>
    <t>Rugeley</t>
  </si>
  <si>
    <t>Sedgley</t>
  </si>
  <si>
    <t>Stone</t>
  </si>
  <si>
    <t>Tettenhall</t>
  </si>
  <si>
    <t>Uttoxeter</t>
  </si>
  <si>
    <t>Wednesfield</t>
  </si>
  <si>
    <t>Willenhall</t>
  </si>
  <si>
    <t>SUFFOLK, EAST:</t>
  </si>
  <si>
    <t>Aldeburgh</t>
  </si>
  <si>
    <t>Beccles</t>
  </si>
  <si>
    <t>Eye</t>
  </si>
  <si>
    <t>Lowestoft</t>
  </si>
  <si>
    <t>Southwold</t>
  </si>
  <si>
    <t>Bungay</t>
  </si>
  <si>
    <t>Felixstowe</t>
  </si>
  <si>
    <t>Halesworth</t>
  </si>
  <si>
    <t>Leiston-cum-Sizewell</t>
  </si>
  <si>
    <t>Saxmundham</t>
  </si>
  <si>
    <t>Stowmarket</t>
  </si>
  <si>
    <t>Woodbridge</t>
  </si>
  <si>
    <t>SUFFOLK, WEST:</t>
  </si>
  <si>
    <t>Bury St. Edmunds</t>
  </si>
  <si>
    <t>Sudbury</t>
  </si>
  <si>
    <t>Hadleigh</t>
  </si>
  <si>
    <t>Haverhill</t>
  </si>
  <si>
    <t>Newmarket</t>
  </si>
  <si>
    <t>SURREY:</t>
  </si>
  <si>
    <t>Barnes</t>
  </si>
  <si>
    <t>Beddington and Wallington</t>
  </si>
  <si>
    <t>Epsom and Ewell</t>
  </si>
  <si>
    <t>Godalming</t>
  </si>
  <si>
    <t>Guildford</t>
  </si>
  <si>
    <t>Kingston-upon-Thames</t>
  </si>
  <si>
    <t>Malden and Coombe</t>
  </si>
  <si>
    <t>Mitcham</t>
  </si>
  <si>
    <t>Reigate</t>
  </si>
  <si>
    <t>Richmond</t>
  </si>
  <si>
    <t>Surbiton</t>
  </si>
  <si>
    <t>Sutton and Cheam</t>
  </si>
  <si>
    <t>Wimbledon</t>
  </si>
  <si>
    <t>Banstead</t>
  </si>
  <si>
    <t>Carshalton</t>
  </si>
  <si>
    <t>Caterham and Warlingham</t>
  </si>
  <si>
    <t>Chertsey</t>
  </si>
  <si>
    <t>Coulsdon and Purley</t>
  </si>
  <si>
    <t>Dorking</t>
  </si>
  <si>
    <t>Egham</t>
  </si>
  <si>
    <t>Esher</t>
  </si>
  <si>
    <t>Farnham</t>
  </si>
  <si>
    <t>Frimley and Camberley</t>
  </si>
  <si>
    <t>Haslemere</t>
  </si>
  <si>
    <t>Leatherhead</t>
  </si>
  <si>
    <t>Merton and Morden</t>
  </si>
  <si>
    <t>Walton and Weybridge</t>
  </si>
  <si>
    <t>Woking</t>
  </si>
  <si>
    <t>SUSSEX, EAST:</t>
  </si>
  <si>
    <t>Bexhill</t>
  </si>
  <si>
    <t>Hove</t>
  </si>
  <si>
    <t>Lewes</t>
  </si>
  <si>
    <t>Rye</t>
  </si>
  <si>
    <t>Burgess Hill</t>
  </si>
  <si>
    <t>Cuckfield</t>
  </si>
  <si>
    <t>East Grinstead</t>
  </si>
  <si>
    <t>Newhaven</t>
  </si>
  <si>
    <t>Portslade-by-Sea</t>
  </si>
  <si>
    <t>Seaford</t>
  </si>
  <si>
    <t>SUSSEX, WEST:</t>
  </si>
  <si>
    <t>Arundel</t>
  </si>
  <si>
    <t>Chichester</t>
  </si>
  <si>
    <t>Worthing</t>
  </si>
  <si>
    <t>Bognor Regis</t>
  </si>
  <si>
    <t>Crawleyt</t>
  </si>
  <si>
    <t>Horsham</t>
  </si>
  <si>
    <t>Littlehampton</t>
  </si>
  <si>
    <t>Shoreham-by-Sea</t>
  </si>
  <si>
    <t>Southwick</t>
  </si>
  <si>
    <t>WARWICK:</t>
  </si>
  <si>
    <t>Leamington (Royal Leamington Spa)</t>
  </si>
  <si>
    <t>Nuneaton</t>
  </si>
  <si>
    <t>Rugby</t>
  </si>
  <si>
    <t>Solihull</t>
  </si>
  <si>
    <t>Stratford-upon-Avon</t>
  </si>
  <si>
    <t>Sutton Coldfield</t>
  </si>
  <si>
    <t>Warwick</t>
  </si>
  <si>
    <t>Bedworth</t>
  </si>
  <si>
    <t>Kenilworth</t>
  </si>
  <si>
    <t>WESTMORLAND:</t>
  </si>
  <si>
    <t>Appleby</t>
  </si>
  <si>
    <t>Kendal</t>
  </si>
  <si>
    <t>Lakes</t>
  </si>
  <si>
    <t>Windermere</t>
  </si>
  <si>
    <t>WILTS:</t>
  </si>
  <si>
    <t>Calne</t>
  </si>
  <si>
    <t>Chippenham</t>
  </si>
  <si>
    <t>Devizes</t>
  </si>
  <si>
    <t>Malmesbury</t>
  </si>
  <si>
    <t>Marlborough</t>
  </si>
  <si>
    <t>Salisbury (New Sarum)</t>
  </si>
  <si>
    <t>Swindon</t>
  </si>
  <si>
    <t>Wilton</t>
  </si>
  <si>
    <t>Bradford-on-Avon</t>
  </si>
  <si>
    <t>Melksham</t>
  </si>
  <si>
    <t>Trowbridge</t>
  </si>
  <si>
    <t>Warminster</t>
  </si>
  <si>
    <t>Westbury</t>
  </si>
  <si>
    <t>WORCESTER:</t>
  </si>
  <si>
    <t>Bewdley</t>
  </si>
  <si>
    <t>Droitwich</t>
  </si>
  <si>
    <t>Evesham</t>
  </si>
  <si>
    <t>Halesowen</t>
  </si>
  <si>
    <t>Kidderminster</t>
  </si>
  <si>
    <t>Oldbury</t>
  </si>
  <si>
    <t>Stourbridge</t>
  </si>
  <si>
    <t>Bromsgrove</t>
  </si>
  <si>
    <t>Malvern</t>
  </si>
  <si>
    <t>Redditch</t>
  </si>
  <si>
    <t>Stourport-on-Severn</t>
  </si>
  <si>
    <t>YORK, EAST RIDING:</t>
  </si>
  <si>
    <t>Beverley</t>
  </si>
  <si>
    <t>Bridlington</t>
  </si>
  <si>
    <t>Hedon</t>
  </si>
  <si>
    <t>Driffield</t>
  </si>
  <si>
    <t>Filey</t>
  </si>
  <si>
    <t>Haltemprice</t>
  </si>
  <si>
    <t>Hornsea</t>
  </si>
  <si>
    <t>Norton</t>
  </si>
  <si>
    <t>Withernsea</t>
  </si>
  <si>
    <t>YORK, NORTH RIDING:</t>
  </si>
  <si>
    <t>Redcar</t>
  </si>
  <si>
    <t>Scarborough</t>
  </si>
  <si>
    <t>Thornaby-on-Tees</t>
  </si>
  <si>
    <t>Eston</t>
  </si>
  <si>
    <t>Guisborough</t>
  </si>
  <si>
    <t>Loftus</t>
  </si>
  <si>
    <t>Malton</t>
  </si>
  <si>
    <t>Northallerton</t>
  </si>
  <si>
    <t>Pickering</t>
  </si>
  <si>
    <t>Saltburn and Marskeby-the-Sea</t>
  </si>
  <si>
    <t>Scalby</t>
  </si>
  <si>
    <t>Skelton and Brotton</t>
  </si>
  <si>
    <t>Whitby</t>
  </si>
  <si>
    <t>YORK, WEST RIDING:</t>
  </si>
  <si>
    <t>Batley</t>
  </si>
  <si>
    <t>Brighouse</t>
  </si>
  <si>
    <t>Castleford</t>
  </si>
  <si>
    <t>Goole</t>
  </si>
  <si>
    <t>Harrogate</t>
  </si>
  <si>
    <t>Keighley</t>
  </si>
  <si>
    <t>Morley</t>
  </si>
  <si>
    <t>Ossett</t>
  </si>
  <si>
    <t>Pontefract</t>
  </si>
  <si>
    <t>Pudsey</t>
  </si>
  <si>
    <t>Ripon</t>
  </si>
  <si>
    <t>Spenborough</t>
  </si>
  <si>
    <t>Todmorden</t>
  </si>
  <si>
    <t>Adwick-le-Street</t>
  </si>
  <si>
    <t>Aireborough</t>
  </si>
  <si>
    <t>Baildon</t>
  </si>
  <si>
    <t>Barnoldswick</t>
  </si>
  <si>
    <t>Bentley-with-Arksey</t>
  </si>
  <si>
    <t>Bingley</t>
  </si>
  <si>
    <t>Colne Valley</t>
  </si>
  <si>
    <t>Conisbrough</t>
  </si>
  <si>
    <t>Cudworth</t>
  </si>
  <si>
    <t>Darfield</t>
  </si>
  <si>
    <t>Darton</t>
  </si>
  <si>
    <t>Dearne</t>
  </si>
  <si>
    <t>Denby Dale</t>
  </si>
  <si>
    <t>Denholme</t>
  </si>
  <si>
    <t>Dodworth</t>
  </si>
  <si>
    <t>Earby</t>
  </si>
  <si>
    <t>Elland</t>
  </si>
  <si>
    <t>Featherstone</t>
  </si>
  <si>
    <t>Garforth</t>
  </si>
  <si>
    <t>Hebden Royd</t>
  </si>
  <si>
    <t>Heckmondwike</t>
  </si>
  <si>
    <t>Hemsworth</t>
  </si>
  <si>
    <t>Holmfirth</t>
  </si>
  <si>
    <t>Horbury</t>
  </si>
  <si>
    <t>Horsforth</t>
  </si>
  <si>
    <t>Hoyland Nether</t>
  </si>
  <si>
    <t>Ilkley</t>
  </si>
  <si>
    <t>Kirkburton</t>
  </si>
  <si>
    <t>Knaresborough</t>
  </si>
  <si>
    <t>Knottingley</t>
  </si>
  <si>
    <t>Maltby</t>
  </si>
  <si>
    <t>Meltham</t>
  </si>
  <si>
    <t>Mexborough</t>
  </si>
  <si>
    <t>Mirfield</t>
  </si>
  <si>
    <t>Normanton</t>
  </si>
  <si>
    <t>Otley</t>
  </si>
  <si>
    <t>Penistone</t>
  </si>
  <si>
    <t>Queensbury and Shelf</t>
  </si>
  <si>
    <t>Rawmarsh</t>
  </si>
  <si>
    <t>Ripponden</t>
  </si>
  <si>
    <t>Saddleworth</t>
  </si>
  <si>
    <t>Selby</t>
  </si>
  <si>
    <t>Shipley</t>
  </si>
  <si>
    <t>Silsden</t>
  </si>
  <si>
    <t>Skipton</t>
  </si>
  <si>
    <t>Sowerby Bridge</t>
  </si>
  <si>
    <t>Stocksbridge</t>
  </si>
  <si>
    <t>Swinton</t>
  </si>
  <si>
    <t>Tickhill</t>
  </si>
  <si>
    <t>Wath-upon-Dearne</t>
  </si>
  <si>
    <t>Wombwell</t>
  </si>
  <si>
    <t>Worsbrough</t>
  </si>
  <si>
    <t>Bedford</t>
  </si>
  <si>
    <t>Bradfield</t>
  </si>
  <si>
    <t>Cookham</t>
  </si>
  <si>
    <t>Easthampstead</t>
  </si>
  <si>
    <t>Faringdon</t>
  </si>
  <si>
    <t>Hungerford</t>
  </si>
  <si>
    <t>Newbury</t>
  </si>
  <si>
    <t>Windsor</t>
  </si>
  <si>
    <t>Wokinghom</t>
  </si>
  <si>
    <t>Amersham</t>
  </si>
  <si>
    <t>Aylesbury</t>
  </si>
  <si>
    <t>Wing</t>
  </si>
  <si>
    <t>Winslow</t>
  </si>
  <si>
    <t>Wycombe</t>
  </si>
  <si>
    <t>Chesterton</t>
  </si>
  <si>
    <t>South Cambridgeshire</t>
  </si>
  <si>
    <t>Bucklow</t>
  </si>
  <si>
    <t>Disley</t>
  </si>
  <si>
    <t>Tarvin</t>
  </si>
  <si>
    <t>Tintwistle</t>
  </si>
  <si>
    <t>Camelford</t>
  </si>
  <si>
    <t>Kerrier</t>
  </si>
  <si>
    <t>Launceston</t>
  </si>
  <si>
    <t>St. Germans</t>
  </si>
  <si>
    <t>Stratton</t>
  </si>
  <si>
    <t>Wadebridge</t>
  </si>
  <si>
    <t>West Penwith</t>
  </si>
  <si>
    <t>ISLES OF SCILLY</t>
  </si>
  <si>
    <t>Alston with Garrigill</t>
  </si>
  <si>
    <t>Border</t>
  </si>
  <si>
    <t>Ennerdale</t>
  </si>
  <si>
    <t>Millom</t>
  </si>
  <si>
    <t>Wigton</t>
  </si>
  <si>
    <t>Blackwell</t>
  </si>
  <si>
    <t>Chapel-en-le-Frith</t>
  </si>
  <si>
    <t>Clowne</t>
  </si>
  <si>
    <t>Repton</t>
  </si>
  <si>
    <t>Shardlow</t>
  </si>
  <si>
    <t>Axminster</t>
  </si>
  <si>
    <t>Barnstaple</t>
  </si>
  <si>
    <t>Broadwoodwidger</t>
  </si>
  <si>
    <t>Plympton St. Mary</t>
  </si>
  <si>
    <t>St. Thomas</t>
  </si>
  <si>
    <t>South Molton</t>
  </si>
  <si>
    <t>Torrington</t>
  </si>
  <si>
    <t>Beaminster</t>
  </si>
  <si>
    <t>Blandford</t>
  </si>
  <si>
    <t>Sturminster</t>
  </si>
  <si>
    <t>Wareham and Purbeck</t>
  </si>
  <si>
    <t>Wimborne and Cranborne</t>
  </si>
  <si>
    <t>Easington</t>
  </si>
  <si>
    <t>Lanchester</t>
  </si>
  <si>
    <t>Sedgefield</t>
  </si>
  <si>
    <t>Stockton</t>
  </si>
  <si>
    <t>Weardale</t>
  </si>
  <si>
    <t>Braintree</t>
  </si>
  <si>
    <t>Dunmow</t>
  </si>
  <si>
    <t>Epping and Ongar</t>
  </si>
  <si>
    <t>Lexden and Winstree</t>
  </si>
  <si>
    <t>Rochford</t>
  </si>
  <si>
    <t>Tendring</t>
  </si>
  <si>
    <t>Dursley</t>
  </si>
  <si>
    <t>East Dean</t>
  </si>
  <si>
    <t>Lydney</t>
  </si>
  <si>
    <t>Newent</t>
  </si>
  <si>
    <t>North Cotswold</t>
  </si>
  <si>
    <t>Northleach</t>
  </si>
  <si>
    <t>Sodbury</t>
  </si>
  <si>
    <t>Tetbury</t>
  </si>
  <si>
    <t>Thornbury</t>
  </si>
  <si>
    <t>Warmley</t>
  </si>
  <si>
    <t>West Dean</t>
  </si>
  <si>
    <t>Dore and Bredwardine</t>
  </si>
  <si>
    <t>Leominster and Wigmore</t>
  </si>
  <si>
    <t>Ross and Whitchurch</t>
  </si>
  <si>
    <t>Weobley</t>
  </si>
  <si>
    <t>Braughing</t>
  </si>
  <si>
    <t>Elstree</t>
  </si>
  <si>
    <t>St. Albans</t>
  </si>
  <si>
    <t>Welwyn</t>
  </si>
  <si>
    <t>Norman Cross</t>
  </si>
  <si>
    <t>North Witchford</t>
  </si>
  <si>
    <t>Thorney</t>
  </si>
  <si>
    <t>The Isle of Wight</t>
  </si>
  <si>
    <t>Bridge-Blean</t>
  </si>
  <si>
    <t>Cranbook</t>
  </si>
  <si>
    <t>East Ashford</t>
  </si>
  <si>
    <t>Eastry</t>
  </si>
  <si>
    <t>Elham</t>
  </si>
  <si>
    <t>Hollingbourn</t>
  </si>
  <si>
    <t>Romney Marsh</t>
  </si>
  <si>
    <t>Sheppey</t>
  </si>
  <si>
    <t>Strood</t>
  </si>
  <si>
    <t>Swale</t>
  </si>
  <si>
    <t>West Ashford</t>
  </si>
  <si>
    <t>Fylde</t>
  </si>
  <si>
    <t>Garstang</t>
  </si>
  <si>
    <t>Lunesdale</t>
  </si>
  <si>
    <t>West Lancashire</t>
  </si>
  <si>
    <t>Whiston</t>
  </si>
  <si>
    <t>Barrow-upon-Soar</t>
  </si>
  <si>
    <t>Billesdon</t>
  </si>
  <si>
    <t>Blaby</t>
  </si>
  <si>
    <t>Castle Donington</t>
  </si>
  <si>
    <t>Lutterworth</t>
  </si>
  <si>
    <t>Market Bosworth</t>
  </si>
  <si>
    <t>Melton and Belvoir</t>
  </si>
  <si>
    <t>East Elloe</t>
  </si>
  <si>
    <t xml:space="preserve"> LINCOLN, PARTS OF KESTEVEN:</t>
  </si>
  <si>
    <t>East Kesteven</t>
  </si>
  <si>
    <t>North Kesteven</t>
  </si>
  <si>
    <t>South Kesteven</t>
  </si>
  <si>
    <t>West Kesteven</t>
  </si>
  <si>
    <t>LICOLN, PARTS OF LINDSEY:</t>
  </si>
  <si>
    <t>Caistor</t>
  </si>
  <si>
    <t>Glanford Brigg</t>
  </si>
  <si>
    <t>Isle of Axholme</t>
  </si>
  <si>
    <t>Spilsby</t>
  </si>
  <si>
    <t>Welton</t>
  </si>
  <si>
    <t>NORFOLK:</t>
  </si>
  <si>
    <t>Blofield and Flegg</t>
  </si>
  <si>
    <t>Depwade</t>
  </si>
  <si>
    <t>Docking</t>
  </si>
  <si>
    <t>Downham</t>
  </si>
  <si>
    <t>Erpingham</t>
  </si>
  <si>
    <t>Forehoe and Henstead</t>
  </si>
  <si>
    <t>Freebridge Lynn</t>
  </si>
  <si>
    <t>Loddon</t>
  </si>
  <si>
    <t>Marshland</t>
  </si>
  <si>
    <t>Mitford and Launditch</t>
  </si>
  <si>
    <t>St. Faith's and Aylsham</t>
  </si>
  <si>
    <t>Smallburgh</t>
  </si>
  <si>
    <t>Walsingham</t>
  </si>
  <si>
    <t>Wayland</t>
  </si>
  <si>
    <t>Brixworth</t>
  </si>
  <si>
    <t>Towcester</t>
  </si>
  <si>
    <t>Belford</t>
  </si>
  <si>
    <t>Bellingham</t>
  </si>
  <si>
    <t>Castle Ward</t>
  </si>
  <si>
    <t>Glendale</t>
  </si>
  <si>
    <t>Haltwhistle</t>
  </si>
  <si>
    <t>Norham and Islandshires</t>
  </si>
  <si>
    <t>Rothbury</t>
  </si>
  <si>
    <t>Basford</t>
  </si>
  <si>
    <t>Bingham</t>
  </si>
  <si>
    <t>Southwell</t>
  </si>
  <si>
    <t>Bullingdon</t>
  </si>
  <si>
    <t>Henley</t>
  </si>
  <si>
    <t>Ploughley</t>
  </si>
  <si>
    <t>Ketton</t>
  </si>
  <si>
    <t>Uppingham</t>
  </si>
  <si>
    <t>Atcham</t>
  </si>
  <si>
    <t>Clun</t>
  </si>
  <si>
    <t>Drayton</t>
  </si>
  <si>
    <t>Shifnal</t>
  </si>
  <si>
    <t>Wem</t>
  </si>
  <si>
    <t>Barnack</t>
  </si>
  <si>
    <t>Axbridge</t>
  </si>
  <si>
    <t>Bathavon</t>
  </si>
  <si>
    <t>Clutton</t>
  </si>
  <si>
    <t>Dulverton</t>
  </si>
  <si>
    <t>Langport</t>
  </si>
  <si>
    <t>Long Ashton</t>
  </si>
  <si>
    <t>Williton</t>
  </si>
  <si>
    <t>Wincanton</t>
  </si>
  <si>
    <t>Droxford</t>
  </si>
  <si>
    <t>Hartley Wintney</t>
  </si>
  <si>
    <t>Kingsclere and Whitchurch</t>
  </si>
  <si>
    <t>New Forest</t>
  </si>
  <si>
    <t>Ringwood and Foodingbridge</t>
  </si>
  <si>
    <t>Romsey and Stockbridge</t>
  </si>
  <si>
    <t>Cheadle</t>
  </si>
  <si>
    <t>Seisdon</t>
  </si>
  <si>
    <t>Tutbury</t>
  </si>
  <si>
    <t>Deben</t>
  </si>
  <si>
    <t>Gipping</t>
  </si>
  <si>
    <t>Hartismere</t>
  </si>
  <si>
    <t>Lothingland</t>
  </si>
  <si>
    <t>Samford</t>
  </si>
  <si>
    <t>Wainford</t>
  </si>
  <si>
    <t>Clare</t>
  </si>
  <si>
    <t>Cosford</t>
  </si>
  <si>
    <t>Melford</t>
  </si>
  <si>
    <t>Mildenhall</t>
  </si>
  <si>
    <t>Thedwastre</t>
  </si>
  <si>
    <t>Thingoe</t>
  </si>
  <si>
    <t>Bagshot</t>
  </si>
  <si>
    <t>Dorking and Horley</t>
  </si>
  <si>
    <t>Godstone</t>
  </si>
  <si>
    <t>Hambledon</t>
  </si>
  <si>
    <t>Battle</t>
  </si>
  <si>
    <t>Chailey</t>
  </si>
  <si>
    <t>Hailsham</t>
  </si>
  <si>
    <t>Uckfield</t>
  </si>
  <si>
    <t>Chanctonbury</t>
  </si>
  <si>
    <t>Midhurst</t>
  </si>
  <si>
    <t>Petworth</t>
  </si>
  <si>
    <t>Alcester</t>
  </si>
  <si>
    <t>Atherstone</t>
  </si>
  <si>
    <t>Meriden</t>
  </si>
  <si>
    <t>Shipston-on-Stour</t>
  </si>
  <si>
    <t>Southam</t>
  </si>
  <si>
    <t>Stratford-on-Avon</t>
  </si>
  <si>
    <t>North Westmorland</t>
  </si>
  <si>
    <t>South Westmorland</t>
  </si>
  <si>
    <t>Amesbury</t>
  </si>
  <si>
    <t>Bradford and Melksham</t>
  </si>
  <si>
    <t>Calne and Chippenham</t>
  </si>
  <si>
    <t>Cricklade and Wootton Bassett</t>
  </si>
  <si>
    <t>Highworth</t>
  </si>
  <si>
    <t>Marlborough and Ramsbury</t>
  </si>
  <si>
    <t>Mere and Tisbury</t>
  </si>
  <si>
    <t>Pewsey</t>
  </si>
  <si>
    <t>Salisbury and Wilton</t>
  </si>
  <si>
    <t xml:space="preserve">Warminster and Westbury </t>
  </si>
  <si>
    <t>Martley</t>
  </si>
  <si>
    <t>Pershore</t>
  </si>
  <si>
    <t>Tenbury</t>
  </si>
  <si>
    <t>Upton-upon-Severn</t>
  </si>
  <si>
    <t>Derwent</t>
  </si>
  <si>
    <t>Holderness</t>
  </si>
  <si>
    <t>Howden</t>
  </si>
  <si>
    <t>Pocklington</t>
  </si>
  <si>
    <t>Aysgarth</t>
  </si>
  <si>
    <t>Bedale</t>
  </si>
  <si>
    <t>Croft</t>
  </si>
  <si>
    <t>Easingwold</t>
  </si>
  <si>
    <t>Flaxton</t>
  </si>
  <si>
    <t>Helmsley</t>
  </si>
  <si>
    <t>Kirkbymoorside</t>
  </si>
  <si>
    <t>Leyburn</t>
  </si>
  <si>
    <t>Masham</t>
  </si>
  <si>
    <t>Reeth</t>
  </si>
  <si>
    <t>Startforth</t>
  </si>
  <si>
    <t>Stokesley</t>
  </si>
  <si>
    <t>Thirsk</t>
  </si>
  <si>
    <t>Wath</t>
  </si>
  <si>
    <t>Bowland</t>
  </si>
  <si>
    <t>Dancaster</t>
  </si>
  <si>
    <t>Hepton</t>
  </si>
  <si>
    <t>Kiveton Park</t>
  </si>
  <si>
    <t>Nidderdale</t>
  </si>
  <si>
    <t>Osgoldcross</t>
  </si>
  <si>
    <t>Ripon and Pateley Bridge</t>
  </si>
  <si>
    <t>Sedbergh</t>
  </si>
  <si>
    <t>Settle</t>
  </si>
  <si>
    <t>Tadcaster</t>
  </si>
  <si>
    <t>Thorne</t>
  </si>
  <si>
    <t>Wetherby</t>
  </si>
  <si>
    <t>Wharfedale</t>
  </si>
  <si>
    <t>Wortley</t>
  </si>
  <si>
    <t>Devon</t>
  </si>
  <si>
    <t>Dorset</t>
  </si>
  <si>
    <t>Essex</t>
  </si>
  <si>
    <t>Isle of Wight</t>
  </si>
  <si>
    <t>Kent</t>
  </si>
  <si>
    <t>London</t>
  </si>
  <si>
    <t>Norfolk</t>
  </si>
  <si>
    <t>Northumberland</t>
  </si>
  <si>
    <t>Somerset</t>
  </si>
  <si>
    <t>Surrey</t>
  </si>
  <si>
    <t xml:space="preserve">Urban Districts </t>
  </si>
  <si>
    <t>Birkenhead</t>
  </si>
  <si>
    <t>LA61CD</t>
  </si>
  <si>
    <t>LA61NM</t>
  </si>
  <si>
    <t>cty_1981</t>
  </si>
  <si>
    <t>rgn</t>
  </si>
  <si>
    <t>srgn</t>
  </si>
  <si>
    <t>equiv_1971_cd</t>
  </si>
  <si>
    <t>equiv_1971_nm</t>
  </si>
  <si>
    <t>equiv_2001_nm</t>
  </si>
  <si>
    <t>notes</t>
  </si>
  <si>
    <t>J04000063</t>
  </si>
  <si>
    <t>Axbridge RD</t>
  </si>
  <si>
    <t>Avon</t>
  </si>
  <si>
    <t>South West</t>
  </si>
  <si>
    <t>Rest of England</t>
  </si>
  <si>
    <t>e320923</t>
  </si>
  <si>
    <t>J04000099</t>
  </si>
  <si>
    <t>Bath, City of CB</t>
  </si>
  <si>
    <t>e320902</t>
  </si>
  <si>
    <t>J04000100</t>
  </si>
  <si>
    <t>Bathavon RD</t>
  </si>
  <si>
    <t>e320925</t>
  </si>
  <si>
    <t>J04000213</t>
  </si>
  <si>
    <t>Bristol, City and County of CB</t>
  </si>
  <si>
    <t>e130345</t>
  </si>
  <si>
    <t>J04000327</t>
  </si>
  <si>
    <t>Clevedon UD</t>
  </si>
  <si>
    <t>e320906</t>
  </si>
  <si>
    <t>J04000332</t>
  </si>
  <si>
    <t>Clutton RD</t>
  </si>
  <si>
    <t>e320928</t>
  </si>
  <si>
    <t>J04000690</t>
  </si>
  <si>
    <t>Keynsham UD</t>
  </si>
  <si>
    <t>e320911</t>
  </si>
  <si>
    <t>J04000701</t>
  </si>
  <si>
    <t>Kingswood UD</t>
  </si>
  <si>
    <t>e130350</t>
  </si>
  <si>
    <t>J04000775</t>
  </si>
  <si>
    <t>Long Ashton RD</t>
  </si>
  <si>
    <t>e320932</t>
  </si>
  <si>
    <t>J04000822</t>
  </si>
  <si>
    <t>Mangotsfield UD</t>
  </si>
  <si>
    <t>e130351</t>
  </si>
  <si>
    <t>J04000938</t>
  </si>
  <si>
    <t>Norton Radstock UD</t>
  </si>
  <si>
    <t>e320913</t>
  </si>
  <si>
    <t>J04001008</t>
  </si>
  <si>
    <t>Portishead UD</t>
  </si>
  <si>
    <t>e320914</t>
  </si>
  <si>
    <t>J04001153</t>
  </si>
  <si>
    <t>Sodbury RD</t>
  </si>
  <si>
    <t>e130364</t>
  </si>
  <si>
    <t>J04001271</t>
  </si>
  <si>
    <t>Thornbury RD</t>
  </si>
  <si>
    <t>e130367</t>
  </si>
  <si>
    <t>J04001345</t>
  </si>
  <si>
    <t>Warmley RD</t>
  </si>
  <si>
    <t>e130368</t>
  </si>
  <si>
    <t>J04001392</t>
  </si>
  <si>
    <t>Weston-super-Mare MB</t>
  </si>
  <si>
    <t>e320921</t>
  </si>
  <si>
    <t>J04000041</t>
  </si>
  <si>
    <t>Ampthill RD</t>
  </si>
  <si>
    <t>Bedfordshire</t>
  </si>
  <si>
    <t>East of England</t>
  </si>
  <si>
    <t>Greater South East</t>
  </si>
  <si>
    <t>e010008</t>
  </si>
  <si>
    <t>J04000042</t>
  </si>
  <si>
    <t>Ampthill UD</t>
  </si>
  <si>
    <t>e010001</t>
  </si>
  <si>
    <t>J04000112</t>
  </si>
  <si>
    <t>Bedford MB</t>
  </si>
  <si>
    <t>e010002</t>
  </si>
  <si>
    <t>J04000113</t>
  </si>
  <si>
    <t>Bedford RD</t>
  </si>
  <si>
    <t>e010009</t>
  </si>
  <si>
    <t>J04000141</t>
  </si>
  <si>
    <t>Biggleswade RD</t>
  </si>
  <si>
    <t>e010010</t>
  </si>
  <si>
    <t>J04000142</t>
  </si>
  <si>
    <t>Biggleswade UD</t>
  </si>
  <si>
    <t>e010003</t>
  </si>
  <si>
    <t>J04000437</t>
  </si>
  <si>
    <t>Dunstable MB</t>
  </si>
  <si>
    <t>J04000681</t>
  </si>
  <si>
    <t>Kempston UD</t>
  </si>
  <si>
    <t>e010005</t>
  </si>
  <si>
    <t>J04000733</t>
  </si>
  <si>
    <t>Leighton Buzzard UD</t>
  </si>
  <si>
    <t>e010006</t>
  </si>
  <si>
    <t>Merged into Leighton-Linslade in 1965</t>
  </si>
  <si>
    <t>J04000747</t>
  </si>
  <si>
    <t>Linslade UD</t>
  </si>
  <si>
    <t>J04000790</t>
  </si>
  <si>
    <t>Luton MB</t>
  </si>
  <si>
    <t>e010000</t>
  </si>
  <si>
    <t>J04000791</t>
  </si>
  <si>
    <t>Luton RD</t>
  </si>
  <si>
    <t>J04001103</t>
  </si>
  <si>
    <t>Sandy UD</t>
  </si>
  <si>
    <t>e010007</t>
  </si>
  <si>
    <t>J04000184</t>
  </si>
  <si>
    <t>Bradfield RD</t>
  </si>
  <si>
    <t>Berkshire</t>
  </si>
  <si>
    <t>South East</t>
  </si>
  <si>
    <t>e020021</t>
  </si>
  <si>
    <t>J04000347</t>
  </si>
  <si>
    <t>Cookham RD</t>
  </si>
  <si>
    <t>e020022</t>
  </si>
  <si>
    <t>Windsor and Maidenhead UA</t>
  </si>
  <si>
    <t>J04000456</t>
  </si>
  <si>
    <t>Easthampstead RD</t>
  </si>
  <si>
    <t>e020023</t>
  </si>
  <si>
    <t>Bracknell Forest UA</t>
  </si>
  <si>
    <t>J04000483</t>
  </si>
  <si>
    <t>Eton UD</t>
  </si>
  <si>
    <t>e030038</t>
  </si>
  <si>
    <t>J04000658</t>
  </si>
  <si>
    <t>Hungerford RD</t>
  </si>
  <si>
    <t>e020026</t>
  </si>
  <si>
    <t>J04000808</t>
  </si>
  <si>
    <t>Maidenhead MB</t>
  </si>
  <si>
    <t>e020014</t>
  </si>
  <si>
    <t>J04000891</t>
  </si>
  <si>
    <t>New Windsor MB</t>
  </si>
  <si>
    <t>e020016</t>
  </si>
  <si>
    <t>J04000896</t>
  </si>
  <si>
    <t>Newbury MB</t>
  </si>
  <si>
    <t>e020015</t>
  </si>
  <si>
    <t>J04000897</t>
  </si>
  <si>
    <t>Newbury RD</t>
  </si>
  <si>
    <t>e020027</t>
  </si>
  <si>
    <t>J04001036</t>
  </si>
  <si>
    <t>Reading CB</t>
  </si>
  <si>
    <t>e020012</t>
  </si>
  <si>
    <t>Reading UA</t>
  </si>
  <si>
    <t>J04001150</t>
  </si>
  <si>
    <t>Slough MB</t>
  </si>
  <si>
    <t>e030043</t>
  </si>
  <si>
    <t>Slough UA</t>
  </si>
  <si>
    <t>J04001425</t>
  </si>
  <si>
    <t>Windsor RD</t>
  </si>
  <si>
    <t>e020031</t>
  </si>
  <si>
    <t>J04001440</t>
  </si>
  <si>
    <t>Wokingham MB</t>
  </si>
  <si>
    <t>e020019</t>
  </si>
  <si>
    <t>J04001441</t>
  </si>
  <si>
    <t>Wokingham RD</t>
  </si>
  <si>
    <t>e020032</t>
  </si>
  <si>
    <t>J04000037</t>
  </si>
  <si>
    <t>Amersham RD</t>
  </si>
  <si>
    <t>Buckinghamshire</t>
  </si>
  <si>
    <t>e030046</t>
  </si>
  <si>
    <t>Chiltern</t>
  </si>
  <si>
    <t>J04000065</t>
  </si>
  <si>
    <t>Aylesbury MB</t>
  </si>
  <si>
    <t>e030033</t>
  </si>
  <si>
    <t>J04000066</t>
  </si>
  <si>
    <t>Aylesbury RD</t>
  </si>
  <si>
    <t>e030047</t>
  </si>
  <si>
    <t>J04000104</t>
  </si>
  <si>
    <t>Beaconsfield UD</t>
  </si>
  <si>
    <t>e030034</t>
  </si>
  <si>
    <t>South Bucks</t>
  </si>
  <si>
    <t>J04000164</t>
  </si>
  <si>
    <t>Bletchley UD</t>
  </si>
  <si>
    <t>e030035</t>
  </si>
  <si>
    <t>J04000226</t>
  </si>
  <si>
    <t>Buckingham MB</t>
  </si>
  <si>
    <t>e030036</t>
  </si>
  <si>
    <t>J04000227</t>
  </si>
  <si>
    <t>Buckingham RD</t>
  </si>
  <si>
    <t>e030048</t>
  </si>
  <si>
    <t>J04000296</t>
  </si>
  <si>
    <t>Chesham UD</t>
  </si>
  <si>
    <t>e030037</t>
  </si>
  <si>
    <t>J04000482</t>
  </si>
  <si>
    <t>Eton RD</t>
  </si>
  <si>
    <t>e030049</t>
  </si>
  <si>
    <t>J04000621</t>
  </si>
  <si>
    <t>High Wycombe MB</t>
  </si>
  <si>
    <t>e030039</t>
  </si>
  <si>
    <t>J04000834</t>
  </si>
  <si>
    <t>Marlow UD</t>
  </si>
  <si>
    <t>e030040</t>
  </si>
  <si>
    <t>J04000909</t>
  </si>
  <si>
    <t>Newport Pagnell RD</t>
  </si>
  <si>
    <t>e030050</t>
  </si>
  <si>
    <t>J04000910</t>
  </si>
  <si>
    <t>Newport Pagnell UD</t>
  </si>
  <si>
    <t>e030041</t>
  </si>
  <si>
    <t>J04001426</t>
  </si>
  <si>
    <t>Wing RD</t>
  </si>
  <si>
    <t>e030052</t>
  </si>
  <si>
    <t>J04001428</t>
  </si>
  <si>
    <t>Winslow RD</t>
  </si>
  <si>
    <t>e030053</t>
  </si>
  <si>
    <t>J04001443</t>
  </si>
  <si>
    <t>Wolverton UD</t>
  </si>
  <si>
    <t>e030044</t>
  </si>
  <si>
    <t>J04001461</t>
  </si>
  <si>
    <t>Wycombe RD</t>
  </si>
  <si>
    <t>e030055</t>
  </si>
  <si>
    <t>J04000081</t>
  </si>
  <si>
    <t>Barnack RD</t>
  </si>
  <si>
    <t>Cambridgeshire</t>
  </si>
  <si>
    <t>e180503</t>
  </si>
  <si>
    <t>J04000256</t>
  </si>
  <si>
    <t>Cambridge, City of MB</t>
  </si>
  <si>
    <t>e040056</t>
  </si>
  <si>
    <t>J04000285</t>
  </si>
  <si>
    <t>Chatteris UD</t>
  </si>
  <si>
    <t>e040057</t>
  </si>
  <si>
    <t>J04000304</t>
  </si>
  <si>
    <t>Chesterton RD</t>
  </si>
  <si>
    <t>e040062</t>
  </si>
  <si>
    <t>J04000471</t>
  </si>
  <si>
    <t>Ely RD</t>
  </si>
  <si>
    <t>e040063</t>
  </si>
  <si>
    <t>East Cambridgeshire</t>
  </si>
  <si>
    <t>J04000472</t>
  </si>
  <si>
    <t>Ely UD</t>
  </si>
  <si>
    <t>e040058</t>
  </si>
  <si>
    <t>J04000660</t>
  </si>
  <si>
    <t>Huntingdon and Godmanchester MB</t>
  </si>
  <si>
    <t>e180495</t>
  </si>
  <si>
    <t>J04000661</t>
  </si>
  <si>
    <t>Huntingdon RD</t>
  </si>
  <si>
    <t>e180504</t>
  </si>
  <si>
    <t>J04000825</t>
  </si>
  <si>
    <t>March UD</t>
  </si>
  <si>
    <t>e040059</t>
  </si>
  <si>
    <t>J04000905</t>
  </si>
  <si>
    <t>Newmarket RD</t>
  </si>
  <si>
    <t>e040064</t>
  </si>
  <si>
    <t>J04000921</t>
  </si>
  <si>
    <t>Norman Cross RD</t>
  </si>
  <si>
    <t>e180505</t>
  </si>
  <si>
    <t>J04000928</t>
  </si>
  <si>
    <t>North Witchford RD</t>
  </si>
  <si>
    <t>e040065</t>
  </si>
  <si>
    <t>J04000952</t>
  </si>
  <si>
    <t>Old Fletton UD</t>
  </si>
  <si>
    <t>e180496</t>
  </si>
  <si>
    <t>J04000987</t>
  </si>
  <si>
    <t>Peterborough RD</t>
  </si>
  <si>
    <t>e180507</t>
  </si>
  <si>
    <t>J04000988</t>
  </si>
  <si>
    <t>Peterborough, City of MB</t>
  </si>
  <si>
    <t>e180498</t>
  </si>
  <si>
    <t>J04001030</t>
  </si>
  <si>
    <t>Ramsey UD</t>
  </si>
  <si>
    <t>e180500</t>
  </si>
  <si>
    <t>J04001155</t>
  </si>
  <si>
    <t>South Cambridgeshire RD</t>
  </si>
  <si>
    <t>e040066</t>
  </si>
  <si>
    <t>J04001188</t>
  </si>
  <si>
    <t>St. Ives MB</t>
  </si>
  <si>
    <t>e180501</t>
  </si>
  <si>
    <t>J04001189</t>
  </si>
  <si>
    <t>St. Ives RD</t>
  </si>
  <si>
    <t>e180509</t>
  </si>
  <si>
    <t>J04001192</t>
  </si>
  <si>
    <t>St. Neots RD</t>
  </si>
  <si>
    <t>e180510</t>
  </si>
  <si>
    <t>J04001193</t>
  </si>
  <si>
    <t>St. Neots UD</t>
  </si>
  <si>
    <t>e180502</t>
  </si>
  <si>
    <t>J04001273</t>
  </si>
  <si>
    <t>Thorney RD</t>
  </si>
  <si>
    <t>e180511</t>
  </si>
  <si>
    <t>J04001406</t>
  </si>
  <si>
    <t>Whittlesey UD</t>
  </si>
  <si>
    <t>e040060</t>
  </si>
  <si>
    <t>J04001431</t>
  </si>
  <si>
    <t>Wisbech MB</t>
  </si>
  <si>
    <t>e040061</t>
  </si>
  <si>
    <t>J04001432</t>
  </si>
  <si>
    <t>Wisbech RD</t>
  </si>
  <si>
    <t>e040067</t>
  </si>
  <si>
    <t>J04000022</t>
  </si>
  <si>
    <t>Alderley Edge UD</t>
  </si>
  <si>
    <t>Cheshire</t>
  </si>
  <si>
    <t>North West</t>
  </si>
  <si>
    <t>e050072</t>
  </si>
  <si>
    <t>J04000030</t>
  </si>
  <si>
    <t>Alsager UD</t>
  </si>
  <si>
    <t>e050073</t>
  </si>
  <si>
    <t>J04000171</t>
  </si>
  <si>
    <t>Bollington UD</t>
  </si>
  <si>
    <t>e050076</t>
  </si>
  <si>
    <t>J04000229</t>
  </si>
  <si>
    <t>Bucklow RD</t>
  </si>
  <si>
    <t>e050106</t>
  </si>
  <si>
    <t>J04000300</t>
  </si>
  <si>
    <t>Chester RD</t>
  </si>
  <si>
    <t>e050109</t>
  </si>
  <si>
    <t>J04000301</t>
  </si>
  <si>
    <t>Chester, City and County of CB</t>
  </si>
  <si>
    <t>e050069</t>
  </si>
  <si>
    <t>J04000341</t>
  </si>
  <si>
    <t>Congleton MB</t>
  </si>
  <si>
    <t>e050080</t>
  </si>
  <si>
    <t>J04000342</t>
  </si>
  <si>
    <t>Congleton RD</t>
  </si>
  <si>
    <t>e050111</t>
  </si>
  <si>
    <t>J04000361</t>
  </si>
  <si>
    <t>Crewe MB</t>
  </si>
  <si>
    <t>e050081</t>
  </si>
  <si>
    <t>Crewe and Nantwich</t>
  </si>
  <si>
    <t>J04000408</t>
  </si>
  <si>
    <t>Disley RD</t>
  </si>
  <si>
    <t>e050112</t>
  </si>
  <si>
    <t>J04000467</t>
  </si>
  <si>
    <t>Ellesmere Port MB</t>
  </si>
  <si>
    <t>e050083</t>
  </si>
  <si>
    <t>Ellesmere Port &amp; Neston</t>
  </si>
  <si>
    <t>J04000714</t>
  </si>
  <si>
    <t>Knutsford UD</t>
  </si>
  <si>
    <t>e050088</t>
  </si>
  <si>
    <t>J04000797</t>
  </si>
  <si>
    <t>Lymm UD</t>
  </si>
  <si>
    <t>e050090</t>
  </si>
  <si>
    <t>J04000801</t>
  </si>
  <si>
    <t>Macclesfield MB</t>
  </si>
  <si>
    <t>e050091</t>
  </si>
  <si>
    <t>J04000802</t>
  </si>
  <si>
    <t>Macclesfield RD</t>
  </si>
  <si>
    <t>e050113</t>
  </si>
  <si>
    <t>J04000854</t>
  </si>
  <si>
    <t>Middlewich UD</t>
  </si>
  <si>
    <t>e050093</t>
  </si>
  <si>
    <t>J04000877</t>
  </si>
  <si>
    <t>Nantwich RD</t>
  </si>
  <si>
    <t>e050115</t>
  </si>
  <si>
    <t>J04000878</t>
  </si>
  <si>
    <t>Nantwich UD</t>
  </si>
  <si>
    <t>e050094</t>
  </si>
  <si>
    <t>J04000885</t>
  </si>
  <si>
    <t>Neston UD</t>
  </si>
  <si>
    <t>e050095</t>
  </si>
  <si>
    <t>J04000936</t>
  </si>
  <si>
    <t>Northwich RD</t>
  </si>
  <si>
    <t>e050116</t>
  </si>
  <si>
    <t>J04000937</t>
  </si>
  <si>
    <t>Northwich UD</t>
  </si>
  <si>
    <t>e050096</t>
  </si>
  <si>
    <t>J04001081</t>
  </si>
  <si>
    <t>Runcorn RD</t>
  </si>
  <si>
    <t>e050117</t>
  </si>
  <si>
    <t>J04001082</t>
  </si>
  <si>
    <t>Runcorn UD</t>
  </si>
  <si>
    <t>e050097</t>
  </si>
  <si>
    <t>J04001100</t>
  </si>
  <si>
    <t>Sandbach UD</t>
  </si>
  <si>
    <t>e050101</t>
  </si>
  <si>
    <t>J04001250</t>
  </si>
  <si>
    <t>Tarvin RD</t>
  </si>
  <si>
    <t>e050119</t>
  </si>
  <si>
    <t>J04001346</t>
  </si>
  <si>
    <t>Warrington CB</t>
  </si>
  <si>
    <t>e200577</t>
  </si>
  <si>
    <t>J04001347</t>
  </si>
  <si>
    <t>Warrington RD</t>
  </si>
  <si>
    <t>e200693</t>
  </si>
  <si>
    <t>J04001408</t>
  </si>
  <si>
    <t>Widnes MB</t>
  </si>
  <si>
    <t>e200678</t>
  </si>
  <si>
    <t>J04001416</t>
  </si>
  <si>
    <t>Wilmslow UD</t>
  </si>
  <si>
    <t>e050103</t>
  </si>
  <si>
    <t>J04001427</t>
  </si>
  <si>
    <t>Winsford UD</t>
  </si>
  <si>
    <t>e050104</t>
  </si>
  <si>
    <t>J04000145</t>
  </si>
  <si>
    <t>Billingham UD</t>
  </si>
  <si>
    <t>Cleveland</t>
  </si>
  <si>
    <t>North East</t>
  </si>
  <si>
    <t>e451167</t>
  </si>
  <si>
    <t>Merged into Teeside CB in 1968</t>
  </si>
  <si>
    <t>J04000481</t>
  </si>
  <si>
    <t>Eston UD</t>
  </si>
  <si>
    <t>J04000558</t>
  </si>
  <si>
    <t>Guisborough UD</t>
  </si>
  <si>
    <t>e451168</t>
  </si>
  <si>
    <t>J04000579</t>
  </si>
  <si>
    <t>Hartlepool MB</t>
  </si>
  <si>
    <t>e110262</t>
  </si>
  <si>
    <t>Merged into Hartlepool</t>
  </si>
  <si>
    <t>J04000774</t>
  </si>
  <si>
    <t>Loftus UD</t>
  </si>
  <si>
    <t>e451169</t>
  </si>
  <si>
    <t>J04000852</t>
  </si>
  <si>
    <t>Middlesbrough CB</t>
  </si>
  <si>
    <t>J04001037</t>
  </si>
  <si>
    <t>Redcar MB</t>
  </si>
  <si>
    <t>J04001098</t>
  </si>
  <si>
    <t>Saltburn and Marske-by-the-Sea UD</t>
  </si>
  <si>
    <t>e451174</t>
  </si>
  <si>
    <t>J04001146</t>
  </si>
  <si>
    <t>Skelton and Brotton UD</t>
  </si>
  <si>
    <t>e451177</t>
  </si>
  <si>
    <t>J04001210</t>
  </si>
  <si>
    <t>Stockton on Tees MB</t>
  </si>
  <si>
    <t>J04001211</t>
  </si>
  <si>
    <t>Stockton RD</t>
  </si>
  <si>
    <t>e110305</t>
  </si>
  <si>
    <t>Alignment is a bit rough 1961-1971</t>
  </si>
  <si>
    <t>J04001214</t>
  </si>
  <si>
    <t>Stokesley RD</t>
  </si>
  <si>
    <t>e451195</t>
  </si>
  <si>
    <t>North Yorkshire</t>
  </si>
  <si>
    <t>Cross-border in 1961, Cleveland areas merged into Teeside CB in 1968, Stokesley (e451195) then in North Yorkshire</t>
  </si>
  <si>
    <t>J04001270</t>
  </si>
  <si>
    <t>Thornaby on Tees MB</t>
  </si>
  <si>
    <t>J04001384</t>
  </si>
  <si>
    <t>West Hartlepool CB</t>
  </si>
  <si>
    <t>J04000168</t>
  </si>
  <si>
    <t>Bodmin MB</t>
  </si>
  <si>
    <t>Cornwall And Isles Of Scilly</t>
  </si>
  <si>
    <t>e060121</t>
  </si>
  <si>
    <t>North Cornwall</t>
  </si>
  <si>
    <t>J04000230</t>
  </si>
  <si>
    <t>Bude-Stratton UD</t>
  </si>
  <si>
    <t>e060122</t>
  </si>
  <si>
    <t>J04000255</t>
  </si>
  <si>
    <t>Camborne-Redruth UD</t>
  </si>
  <si>
    <t>e060123</t>
  </si>
  <si>
    <t>J04000257</t>
  </si>
  <si>
    <t>Camelford RD</t>
  </si>
  <si>
    <t>e060138</t>
  </si>
  <si>
    <t>J04000490</t>
  </si>
  <si>
    <t>Falmouth MB</t>
  </si>
  <si>
    <t>e060124</t>
  </si>
  <si>
    <t>Carrick</t>
  </si>
  <si>
    <t>J04000514</t>
  </si>
  <si>
    <t>Fowey MB</t>
  </si>
  <si>
    <t>e060132</t>
  </si>
  <si>
    <t>Restormel</t>
  </si>
  <si>
    <t>Merged with St Austell in 1968 UD</t>
  </si>
  <si>
    <t>J04000602</t>
  </si>
  <si>
    <t>Helston MB</t>
  </si>
  <si>
    <t>e060125</t>
  </si>
  <si>
    <t>J04000676</t>
  </si>
  <si>
    <t>Isles of Scilly RD</t>
  </si>
  <si>
    <t>e060148</t>
  </si>
  <si>
    <t>J04000685</t>
  </si>
  <si>
    <t>Kerrier RD</t>
  </si>
  <si>
    <t>e060139</t>
  </si>
  <si>
    <t>J04000722</t>
  </si>
  <si>
    <t>Launceston MB</t>
  </si>
  <si>
    <t>e060126</t>
  </si>
  <si>
    <t>J04000723</t>
  </si>
  <si>
    <t>Launceston RD</t>
  </si>
  <si>
    <t>e060140</t>
  </si>
  <si>
    <t>J04000748</t>
  </si>
  <si>
    <t>Liskeard MB</t>
  </si>
  <si>
    <t>e060127</t>
  </si>
  <si>
    <t>Caradon</t>
  </si>
  <si>
    <t>J04000749</t>
  </si>
  <si>
    <t>Liskeard RD</t>
  </si>
  <si>
    <t>e060141</t>
  </si>
  <si>
    <t>J04000780</t>
  </si>
  <si>
    <t>Looe UD</t>
  </si>
  <si>
    <t>e060128</t>
  </si>
  <si>
    <t>J04000781</t>
  </si>
  <si>
    <t>Lostwithiel MB</t>
  </si>
  <si>
    <t>e060142</t>
  </si>
  <si>
    <t>Merged into St Austell RD</t>
  </si>
  <si>
    <t>J04000912</t>
  </si>
  <si>
    <t>Newquay UD</t>
  </si>
  <si>
    <t>e060129</t>
  </si>
  <si>
    <t>J04000970</t>
  </si>
  <si>
    <t>Padstow UD</t>
  </si>
  <si>
    <t>e060146</t>
  </si>
  <si>
    <t>Merged into Wadebridge and Padstow in 1968</t>
  </si>
  <si>
    <t>J04000983</t>
  </si>
  <si>
    <t>Penryn MB</t>
  </si>
  <si>
    <t>e060130</t>
  </si>
  <si>
    <t>J04000985</t>
  </si>
  <si>
    <t>Penzance MB</t>
  </si>
  <si>
    <t>e060131</t>
  </si>
  <si>
    <t>Penwith</t>
  </si>
  <si>
    <t>J04001097</t>
  </si>
  <si>
    <t>Saltash MB</t>
  </si>
  <si>
    <t>e060135</t>
  </si>
  <si>
    <t>J04001182</t>
  </si>
  <si>
    <t>St. Austell RD</t>
  </si>
  <si>
    <t>J04001183</t>
  </si>
  <si>
    <t>St. Austell UD</t>
  </si>
  <si>
    <t>J04001185</t>
  </si>
  <si>
    <t>St. Germans RD</t>
  </si>
  <si>
    <t>e060143</t>
  </si>
  <si>
    <t>J04001187</t>
  </si>
  <si>
    <t>e060133</t>
  </si>
  <si>
    <t>J04001190</t>
  </si>
  <si>
    <t>St. Just UD</t>
  </si>
  <si>
    <t>e060134</t>
  </si>
  <si>
    <t>J04001222</t>
  </si>
  <si>
    <t>Stratton RD</t>
  </si>
  <si>
    <t>e060144</t>
  </si>
  <si>
    <t>J04001284</t>
  </si>
  <si>
    <t>Torpoint UD</t>
  </si>
  <si>
    <t>e060136</t>
  </si>
  <si>
    <t>J04001299</t>
  </si>
  <si>
    <t>Truro RD</t>
  </si>
  <si>
    <t>e060145</t>
  </si>
  <si>
    <t>J04001300</t>
  </si>
  <si>
    <t>Truro, City of MB</t>
  </si>
  <si>
    <t>e060137</t>
  </si>
  <si>
    <t>J04001320</t>
  </si>
  <si>
    <t>Wadebridge RD</t>
  </si>
  <si>
    <t>J04001388</t>
  </si>
  <si>
    <t>West Penwith RD</t>
  </si>
  <si>
    <t>e060147</t>
  </si>
  <si>
    <t>J04000031</t>
  </si>
  <si>
    <t>Alston with Garrigill RD</t>
  </si>
  <si>
    <t>Cumbria</t>
  </si>
  <si>
    <t>e070156</t>
  </si>
  <si>
    <t>Eden</t>
  </si>
  <si>
    <t>J04000045</t>
  </si>
  <si>
    <t>Appleby MB</t>
  </si>
  <si>
    <t>e401090</t>
  </si>
  <si>
    <t>J04000092</t>
  </si>
  <si>
    <t>Barrow-in-Furness CB</t>
  </si>
  <si>
    <t>e200560</t>
  </si>
  <si>
    <t>J04000175</t>
  </si>
  <si>
    <t>Border RD</t>
  </si>
  <si>
    <t>e070157</t>
  </si>
  <si>
    <t>J04000265</t>
  </si>
  <si>
    <t>Carlisle, City of CB</t>
  </si>
  <si>
    <t>e070149</t>
  </si>
  <si>
    <t>J04000334</t>
  </si>
  <si>
    <t>Cockermouth RD</t>
  </si>
  <si>
    <t>e070158</t>
  </si>
  <si>
    <t>Allerdale</t>
  </si>
  <si>
    <t>J04000335</t>
  </si>
  <si>
    <t>Cockermouth UD</t>
  </si>
  <si>
    <t>e070150</t>
  </si>
  <si>
    <t>J04000378</t>
  </si>
  <si>
    <t>Dalton in Furness UD</t>
  </si>
  <si>
    <t>e200604</t>
  </si>
  <si>
    <t>J04000474</t>
  </si>
  <si>
    <t>Ennerdale RD</t>
  </si>
  <si>
    <t>e070159</t>
  </si>
  <si>
    <t>Copeland</t>
  </si>
  <si>
    <t>J04000547</t>
  </si>
  <si>
    <t>Grange UD</t>
  </si>
  <si>
    <t>e200617</t>
  </si>
  <si>
    <t>South Lakeland</t>
  </si>
  <si>
    <t>J04000682</t>
  </si>
  <si>
    <t>Kendal MB</t>
  </si>
  <si>
    <t>e401091</t>
  </si>
  <si>
    <t>J04000686</t>
  </si>
  <si>
    <t>Keswick UD</t>
  </si>
  <si>
    <t>e070151</t>
  </si>
  <si>
    <t>J04000715</t>
  </si>
  <si>
    <t>Lakes UD</t>
  </si>
  <si>
    <t>e401092</t>
  </si>
  <si>
    <t>J04000838</t>
  </si>
  <si>
    <t>Maryport UD</t>
  </si>
  <si>
    <t>e070152</t>
  </si>
  <si>
    <t>J04000858</t>
  </si>
  <si>
    <t>Millom RD</t>
  </si>
  <si>
    <t>e070160</t>
  </si>
  <si>
    <t>J04000925</t>
  </si>
  <si>
    <t>North Lonsdale RD</t>
  </si>
  <si>
    <t>e200690</t>
  </si>
  <si>
    <t>J04000927</t>
  </si>
  <si>
    <t>North Westmorland RD</t>
  </si>
  <si>
    <t>e401094</t>
  </si>
  <si>
    <t>J04000981</t>
  </si>
  <si>
    <t>Penrith RD</t>
  </si>
  <si>
    <t>e070161</t>
  </si>
  <si>
    <t>J04000982</t>
  </si>
  <si>
    <t>Penrith UD</t>
  </si>
  <si>
    <t>e070153</t>
  </si>
  <si>
    <t>J04001114</t>
  </si>
  <si>
    <t>Sedbergh RD</t>
  </si>
  <si>
    <t>e461291</t>
  </si>
  <si>
    <t>J04001161</t>
  </si>
  <si>
    <t>South Westmorland RD</t>
  </si>
  <si>
    <t>e401095</t>
  </si>
  <si>
    <t>J04001308</t>
  </si>
  <si>
    <t>Ulverston UD</t>
  </si>
  <si>
    <t>e200670</t>
  </si>
  <si>
    <t>J04001403</t>
  </si>
  <si>
    <t>Whitehaven MB</t>
  </si>
  <si>
    <t>e070154</t>
  </si>
  <si>
    <t>J04001412</t>
  </si>
  <si>
    <t>Wigton RD</t>
  </si>
  <si>
    <t>e070162</t>
  </si>
  <si>
    <t>J04001424</t>
  </si>
  <si>
    <t>Windermere UD</t>
  </si>
  <si>
    <t>e401093</t>
  </si>
  <si>
    <t>J04001451</t>
  </si>
  <si>
    <t>Workington MB</t>
  </si>
  <si>
    <t>e070155</t>
  </si>
  <si>
    <t>J04000027</t>
  </si>
  <si>
    <t>Alfreton UD</t>
  </si>
  <si>
    <t>Derbyshire</t>
  </si>
  <si>
    <t>East Midlands</t>
  </si>
  <si>
    <t>e080164</t>
  </si>
  <si>
    <t>J04000048</t>
  </si>
  <si>
    <t>Ashbourne RD</t>
  </si>
  <si>
    <t>e080184</t>
  </si>
  <si>
    <t>Derbyshire Dales</t>
  </si>
  <si>
    <t>J04000049</t>
  </si>
  <si>
    <t>Ashbourne UD</t>
  </si>
  <si>
    <t>e080165</t>
  </si>
  <si>
    <t>J04000071</t>
  </si>
  <si>
    <t>Bakewell RD</t>
  </si>
  <si>
    <t>e080185</t>
  </si>
  <si>
    <t>J04000072</t>
  </si>
  <si>
    <t>Bakewell UD</t>
  </si>
  <si>
    <t>e080166</t>
  </si>
  <si>
    <t>J04000121</t>
  </si>
  <si>
    <t>Belper RD</t>
  </si>
  <si>
    <t>J04000122</t>
  </si>
  <si>
    <t>Belper UD</t>
  </si>
  <si>
    <t>e080167</t>
  </si>
  <si>
    <t>J04000159</t>
  </si>
  <si>
    <t>Blackwell RD</t>
  </si>
  <si>
    <t>e080187</t>
  </si>
  <si>
    <t>J04000172</t>
  </si>
  <si>
    <t>Bolsover UD</t>
  </si>
  <si>
    <t>e080168</t>
  </si>
  <si>
    <t>J04000247</t>
  </si>
  <si>
    <t>Buxton MB</t>
  </si>
  <si>
    <t>e080169</t>
  </si>
  <si>
    <t>High Peak</t>
  </si>
  <si>
    <t>J04000280</t>
  </si>
  <si>
    <t>Chapel en le Frith RD</t>
  </si>
  <si>
    <t>e080188</t>
  </si>
  <si>
    <t>J04000302</t>
  </si>
  <si>
    <t>Chesterfield MB</t>
  </si>
  <si>
    <t>e080170</t>
  </si>
  <si>
    <t>J04000303</t>
  </si>
  <si>
    <t>Chesterfield RD</t>
  </si>
  <si>
    <t>e080190</t>
  </si>
  <si>
    <t>J04000324</t>
  </si>
  <si>
    <t>Clay Cross UD</t>
  </si>
  <si>
    <t>e080171</t>
  </si>
  <si>
    <t>J04000330</t>
  </si>
  <si>
    <t>Clowne RD</t>
  </si>
  <si>
    <t>e080192</t>
  </si>
  <si>
    <t>J04000401</t>
  </si>
  <si>
    <t>Derby CB</t>
  </si>
  <si>
    <t>e080163</t>
  </si>
  <si>
    <t>J04000430</t>
  </si>
  <si>
    <t>Dronfield UD</t>
  </si>
  <si>
    <t>e080172</t>
  </si>
  <si>
    <t>J04000535</t>
  </si>
  <si>
    <t>Glossop MB</t>
  </si>
  <si>
    <t>e080173</t>
  </si>
  <si>
    <t>J04000596</t>
  </si>
  <si>
    <t>Heanor UD</t>
  </si>
  <si>
    <t>e080174</t>
  </si>
  <si>
    <t>J04000667</t>
  </si>
  <si>
    <t>Ilkeston MB</t>
  </si>
  <si>
    <t>e080175</t>
  </si>
  <si>
    <t>J04000776</t>
  </si>
  <si>
    <t>Long Eaton UD</t>
  </si>
  <si>
    <t>e080176</t>
  </si>
  <si>
    <t>J04000840</t>
  </si>
  <si>
    <t>Matlock UD</t>
  </si>
  <si>
    <t>e080177</t>
  </si>
  <si>
    <t>J04000887</t>
  </si>
  <si>
    <t>New Mills UD</t>
  </si>
  <si>
    <t>e080178</t>
  </si>
  <si>
    <t>J04001041</t>
  </si>
  <si>
    <t>Repton RD</t>
  </si>
  <si>
    <t>J04001051</t>
  </si>
  <si>
    <t>Ripley UD</t>
  </si>
  <si>
    <t>e080179</t>
  </si>
  <si>
    <t>J04001156</t>
  </si>
  <si>
    <t>South East Derbyshire RD</t>
  </si>
  <si>
    <t>J04001205</t>
  </si>
  <si>
    <t>Staveley UD</t>
  </si>
  <si>
    <t>e080180</t>
  </si>
  <si>
    <t>J04001237</t>
  </si>
  <si>
    <t>Swadlincote UD</t>
  </si>
  <si>
    <t>e080181</t>
  </si>
  <si>
    <t>J04001277</t>
  </si>
  <si>
    <t>Tintwistle RD</t>
  </si>
  <si>
    <t>e050120</t>
  </si>
  <si>
    <t>J04001395</t>
  </si>
  <si>
    <t>Whaley Bridge UD</t>
  </si>
  <si>
    <t>e080182</t>
  </si>
  <si>
    <t>J04001429</t>
  </si>
  <si>
    <t>Wirksworth UD</t>
  </si>
  <si>
    <t>e080183</t>
  </si>
  <si>
    <t>J04000050</t>
  </si>
  <si>
    <t>Ashburton UD</t>
  </si>
  <si>
    <t>e090199</t>
  </si>
  <si>
    <t>J04000064</t>
  </si>
  <si>
    <t>Axminster RD</t>
  </si>
  <si>
    <t>e090223</t>
  </si>
  <si>
    <t>J04000088</t>
  </si>
  <si>
    <t>Barnstaple MB</t>
  </si>
  <si>
    <t>e090200</t>
  </si>
  <si>
    <t>North Devon</t>
  </si>
  <si>
    <t>J04000089</t>
  </si>
  <si>
    <t>Barnstaple RD</t>
  </si>
  <si>
    <t>e090224</t>
  </si>
  <si>
    <t>J04000139</t>
  </si>
  <si>
    <t>Bideford MB</t>
  </si>
  <si>
    <t>e090201</t>
  </si>
  <si>
    <t>Torridge</t>
  </si>
  <si>
    <t>J04000140</t>
  </si>
  <si>
    <t>Bideford RD</t>
  </si>
  <si>
    <t>e090225</t>
  </si>
  <si>
    <t>J04000214</t>
  </si>
  <si>
    <t>Brixham UD</t>
  </si>
  <si>
    <t>e090198</t>
  </si>
  <si>
    <t>Merged into Torbay CB in 1968</t>
  </si>
  <si>
    <t>J04000217</t>
  </si>
  <si>
    <t>Broadwoodwidger RD</t>
  </si>
  <si>
    <t>e090227</t>
  </si>
  <si>
    <t>County boundary was moved in 1966; mostly into Holsworthy RD</t>
  </si>
  <si>
    <t>J04000225</t>
  </si>
  <si>
    <t>Buckfastleigh UD</t>
  </si>
  <si>
    <t>e090202</t>
  </si>
  <si>
    <t>J04000231</t>
  </si>
  <si>
    <t>Budleigh Salterton UD</t>
  </si>
  <si>
    <t>e090203</t>
  </si>
  <si>
    <t>J04000359</t>
  </si>
  <si>
    <t>Crediton RD</t>
  </si>
  <si>
    <t>e090226</t>
  </si>
  <si>
    <t>Mid Devon</t>
  </si>
  <si>
    <t>J04000360</t>
  </si>
  <si>
    <t>Crediton UD</t>
  </si>
  <si>
    <t>e090204</t>
  </si>
  <si>
    <t>J04000385</t>
  </si>
  <si>
    <t>Dartmouth MB</t>
  </si>
  <si>
    <t>e090205</t>
  </si>
  <si>
    <t>J04000391</t>
  </si>
  <si>
    <t>Dawlish UD</t>
  </si>
  <si>
    <t>e090206</t>
  </si>
  <si>
    <t>J04000486</t>
  </si>
  <si>
    <t>Exeter, City and County of CB</t>
  </si>
  <si>
    <t>e090196</t>
  </si>
  <si>
    <t>J04000487</t>
  </si>
  <si>
    <t>Exmouth UD</t>
  </si>
  <si>
    <t>e090207</t>
  </si>
  <si>
    <t>J04000551</t>
  </si>
  <si>
    <t>Great Torrington MB</t>
  </si>
  <si>
    <t>e090208</t>
  </si>
  <si>
    <t>J04000634</t>
  </si>
  <si>
    <t>Holsworthy RD</t>
  </si>
  <si>
    <t>J04000635</t>
  </si>
  <si>
    <t>Holsworthy UD</t>
  </si>
  <si>
    <t>Merged into Holsworthy RD</t>
  </si>
  <si>
    <t>J04000639</t>
  </si>
  <si>
    <t>Honiton MB</t>
  </si>
  <si>
    <t>e090209</t>
  </si>
  <si>
    <t>J04000640</t>
  </si>
  <si>
    <t>Honiton RD</t>
  </si>
  <si>
    <t>e090228</t>
  </si>
  <si>
    <t>J04000666</t>
  </si>
  <si>
    <t>Ilfracombe UD</t>
  </si>
  <si>
    <t>e090210</t>
  </si>
  <si>
    <t>J04000696</t>
  </si>
  <si>
    <t>Kingsbridge RD</t>
  </si>
  <si>
    <t>e090229</t>
  </si>
  <si>
    <t>J04000697</t>
  </si>
  <si>
    <t>Kingsbridge UD</t>
  </si>
  <si>
    <t>e090211</t>
  </si>
  <si>
    <t>J04000798</t>
  </si>
  <si>
    <t>Lynton UD</t>
  </si>
  <si>
    <t>e090212</t>
  </si>
  <si>
    <t>J04000913</t>
  </si>
  <si>
    <t>Newton Abbot RD</t>
  </si>
  <si>
    <t>e090230</t>
  </si>
  <si>
    <t>J04000914</t>
  </si>
  <si>
    <t>Newton Abbot UD</t>
  </si>
  <si>
    <t>e090213</t>
  </si>
  <si>
    <t>J04000931</t>
  </si>
  <si>
    <t>Northam UD</t>
  </si>
  <si>
    <t>e090214</t>
  </si>
  <si>
    <t>J04000950</t>
  </si>
  <si>
    <t>Okehampton MB</t>
  </si>
  <si>
    <t>e090215</t>
  </si>
  <si>
    <t>West Devon</t>
  </si>
  <si>
    <t>J04000951</t>
  </si>
  <si>
    <t>Okehampton RD</t>
  </si>
  <si>
    <t>e090231</t>
  </si>
  <si>
    <t>J04000964</t>
  </si>
  <si>
    <t>Ottery St. Mary UD</t>
  </si>
  <si>
    <t>e090216</t>
  </si>
  <si>
    <t>J04000971</t>
  </si>
  <si>
    <t>Paignton UD</t>
  </si>
  <si>
    <t>J04000996</t>
  </si>
  <si>
    <t>Plymouth, City of CB</t>
  </si>
  <si>
    <t>e090197</t>
  </si>
  <si>
    <t>J04000997</t>
  </si>
  <si>
    <t>Plympton St. Mary RD</t>
  </si>
  <si>
    <t>J04001092</t>
  </si>
  <si>
    <t>Salcombe UD</t>
  </si>
  <si>
    <t>e090217</t>
  </si>
  <si>
    <t>J04001112</t>
  </si>
  <si>
    <t>Seaton UD</t>
  </si>
  <si>
    <t>e090218</t>
  </si>
  <si>
    <t>J04001141</t>
  </si>
  <si>
    <t>Sidmouth UD</t>
  </si>
  <si>
    <t>e090219</t>
  </si>
  <si>
    <t>J04001158</t>
  </si>
  <si>
    <t>South Molton MB</t>
  </si>
  <si>
    <t>e090234</t>
  </si>
  <si>
    <t>Merged into South Molton RD in 1967</t>
  </si>
  <si>
    <t>J04001159</t>
  </si>
  <si>
    <t>South Molton RD</t>
  </si>
  <si>
    <t>J04001195</t>
  </si>
  <si>
    <t>St. Thomas RD</t>
  </si>
  <si>
    <t>e090233</t>
  </si>
  <si>
    <t>J04001253</t>
  </si>
  <si>
    <t>Tavistock RD</t>
  </si>
  <si>
    <t>e090235</t>
  </si>
  <si>
    <t>J04001254</t>
  </si>
  <si>
    <t>Tavistock UD</t>
  </si>
  <si>
    <t>Merged into Tavistock RD in 1966</t>
  </si>
  <si>
    <t>J04001256</t>
  </si>
  <si>
    <t>Teignmouth UD</t>
  </si>
  <si>
    <t>e090220</t>
  </si>
  <si>
    <t>J04001279</t>
  </si>
  <si>
    <t>Tiverton MB</t>
  </si>
  <si>
    <t>e090221</t>
  </si>
  <si>
    <t>J04001280</t>
  </si>
  <si>
    <t>Tiverton RD</t>
  </si>
  <si>
    <t>e090236</t>
  </si>
  <si>
    <t>J04001285</t>
  </si>
  <si>
    <t>Torquay MB</t>
  </si>
  <si>
    <t>J04001286</t>
  </si>
  <si>
    <t>Torrington RD</t>
  </si>
  <si>
    <t>e090237</t>
  </si>
  <si>
    <t>J04001287</t>
  </si>
  <si>
    <t>Totnes MB</t>
  </si>
  <si>
    <t>e090222</t>
  </si>
  <si>
    <t>J04001288</t>
  </si>
  <si>
    <t>Totnes RD</t>
  </si>
  <si>
    <t>e090238</t>
  </si>
  <si>
    <t>J04000105</t>
  </si>
  <si>
    <t>Beaminster RD</t>
  </si>
  <si>
    <t>e100251</t>
  </si>
  <si>
    <t>West Dorset</t>
  </si>
  <si>
    <t>J04000161</t>
  </si>
  <si>
    <t>Blandford Forum MB</t>
  </si>
  <si>
    <t>e100239</t>
  </si>
  <si>
    <t>North Dorset</t>
  </si>
  <si>
    <t>J04000162</t>
  </si>
  <si>
    <t>Blandford RD</t>
  </si>
  <si>
    <t>e100252</t>
  </si>
  <si>
    <t>J04000179</t>
  </si>
  <si>
    <t>Bournemouth CB</t>
  </si>
  <si>
    <t>e150411</t>
  </si>
  <si>
    <t>J04000205</t>
  </si>
  <si>
    <t>Bridport MB</t>
  </si>
  <si>
    <t>e100240</t>
  </si>
  <si>
    <t>J04000206</t>
  </si>
  <si>
    <t>Bridport RD</t>
  </si>
  <si>
    <t>e100253</t>
  </si>
  <si>
    <t>J04000316</t>
  </si>
  <si>
    <t>Christchurch MB</t>
  </si>
  <si>
    <t>e150418</t>
  </si>
  <si>
    <t>J04000416</t>
  </si>
  <si>
    <t>Dorchester MB</t>
  </si>
  <si>
    <t>e100241</t>
  </si>
  <si>
    <t>J04000417</t>
  </si>
  <si>
    <t>Dorchester RD</t>
  </si>
  <si>
    <t>e100254</t>
  </si>
  <si>
    <t>J04000795</t>
  </si>
  <si>
    <t>Lyme Regis MB</t>
  </si>
  <si>
    <t>e100242</t>
  </si>
  <si>
    <t>J04001004</t>
  </si>
  <si>
    <t>Poole, County of a Town MB</t>
  </si>
  <si>
    <t>e100243</t>
  </si>
  <si>
    <t>J04001009</t>
  </si>
  <si>
    <t>Portland UD</t>
  </si>
  <si>
    <t>e100244</t>
  </si>
  <si>
    <t>Weymouth and Portland</t>
  </si>
  <si>
    <t>J04001123</t>
  </si>
  <si>
    <t>Shaftesbury MB</t>
  </si>
  <si>
    <t>e100245</t>
  </si>
  <si>
    <t>J04001124</t>
  </si>
  <si>
    <t>Shaftesbury RD</t>
  </si>
  <si>
    <t>e100255</t>
  </si>
  <si>
    <t>J04001131</t>
  </si>
  <si>
    <t>Sherborne RD</t>
  </si>
  <si>
    <t>e100256</t>
  </si>
  <si>
    <t>J04001132</t>
  </si>
  <si>
    <t>Sherborne UD</t>
  </si>
  <si>
    <t>e100246</t>
  </si>
  <si>
    <t>J04001228</t>
  </si>
  <si>
    <t>Sturminster RD</t>
  </si>
  <si>
    <t>e100257</t>
  </si>
  <si>
    <t>J04001241</t>
  </si>
  <si>
    <t>Swanage UD</t>
  </si>
  <si>
    <t>e100247</t>
  </si>
  <si>
    <t>Purbeck</t>
  </si>
  <si>
    <t>J04001341</t>
  </si>
  <si>
    <t>Wareham and Purbeck RD</t>
  </si>
  <si>
    <t>e100258</t>
  </si>
  <si>
    <t>J04001342</t>
  </si>
  <si>
    <t>Wareham MB</t>
  </si>
  <si>
    <t>e100248</t>
  </si>
  <si>
    <t>J04001394</t>
  </si>
  <si>
    <t>Weymouth and Melcombe Regis MB</t>
  </si>
  <si>
    <t>e100249</t>
  </si>
  <si>
    <t>J04001419</t>
  </si>
  <si>
    <t>Wimborne and Cranborne RD</t>
  </si>
  <si>
    <t>e100259</t>
  </si>
  <si>
    <t>J04001420</t>
  </si>
  <si>
    <t>Wimborne Minster UD</t>
  </si>
  <si>
    <t>e100250</t>
  </si>
  <si>
    <t>J04000082</t>
  </si>
  <si>
    <t>Barnard Castle RD</t>
  </si>
  <si>
    <t>e110290</t>
  </si>
  <si>
    <t>Teesdale</t>
  </si>
  <si>
    <t>J04000083</t>
  </si>
  <si>
    <t>Barnard Castle UD</t>
  </si>
  <si>
    <t>e110265</t>
  </si>
  <si>
    <t>J04000151</t>
  </si>
  <si>
    <t>Bishop Auckland UD</t>
  </si>
  <si>
    <t>e110266</t>
  </si>
  <si>
    <t>Wear Valley</t>
  </si>
  <si>
    <t>J04000190</t>
  </si>
  <si>
    <t>Brandon and Byshottles UD</t>
  </si>
  <si>
    <t>e110269</t>
  </si>
  <si>
    <t>J04000298</t>
  </si>
  <si>
    <t>Chester le Street RD</t>
  </si>
  <si>
    <t>e110291</t>
  </si>
  <si>
    <t>J04000299</t>
  </si>
  <si>
    <t>Chester le Street UD</t>
  </si>
  <si>
    <t>e110270</t>
  </si>
  <si>
    <t>J04000345</t>
  </si>
  <si>
    <t>Consett UD</t>
  </si>
  <si>
    <t>e110271</t>
  </si>
  <si>
    <t>Derwentside</t>
  </si>
  <si>
    <t>J04000369</t>
  </si>
  <si>
    <t>Crook and Willington UD</t>
  </si>
  <si>
    <t>e110272</t>
  </si>
  <si>
    <t>J04000381</t>
  </si>
  <si>
    <t>Darlington CB</t>
  </si>
  <si>
    <t>e110260</t>
  </si>
  <si>
    <t>J04000382</t>
  </si>
  <si>
    <t>Darlington RD</t>
  </si>
  <si>
    <t>e110296</t>
  </si>
  <si>
    <t>J04000438</t>
  </si>
  <si>
    <t>Durham RD</t>
  </si>
  <si>
    <t>e110298</t>
  </si>
  <si>
    <t>J04000439</t>
  </si>
  <si>
    <t>Durham, City of MB</t>
  </si>
  <si>
    <t>e110273</t>
  </si>
  <si>
    <t>J04000443</t>
  </si>
  <si>
    <t>Easington RD</t>
  </si>
  <si>
    <t>e110299</t>
  </si>
  <si>
    <t>J04000720</t>
  </si>
  <si>
    <t>Lanchester RD</t>
  </si>
  <si>
    <t>e110302</t>
  </si>
  <si>
    <t>J04001111</t>
  </si>
  <si>
    <t>Seaham UD</t>
  </si>
  <si>
    <t>e110281</t>
  </si>
  <si>
    <t>J04001115</t>
  </si>
  <si>
    <t>Sedgefield RD</t>
  </si>
  <si>
    <t>e110303</t>
  </si>
  <si>
    <t>J04001135</t>
  </si>
  <si>
    <t>Shildon UD</t>
  </si>
  <si>
    <t>e110282</t>
  </si>
  <si>
    <t>J04001177</t>
  </si>
  <si>
    <t>Spennymoor UD</t>
  </si>
  <si>
    <t>e110284</t>
  </si>
  <si>
    <t>J04001202</t>
  </si>
  <si>
    <t>Stanley UD</t>
  </si>
  <si>
    <t>e110285</t>
  </si>
  <si>
    <t>J04001204</t>
  </si>
  <si>
    <t>Startforth RD</t>
  </si>
  <si>
    <t>e451194</t>
  </si>
  <si>
    <t>J04001291</t>
  </si>
  <si>
    <t>Tow Law UD</t>
  </si>
  <si>
    <t>e110286</t>
  </si>
  <si>
    <t>J04001358</t>
  </si>
  <si>
    <t>Weardale RD</t>
  </si>
  <si>
    <t>e110306</t>
  </si>
  <si>
    <t>J04000103</t>
  </si>
  <si>
    <t>Battle RD</t>
  </si>
  <si>
    <t>East Sussex</t>
  </si>
  <si>
    <t>e371042</t>
  </si>
  <si>
    <t>Rother</t>
  </si>
  <si>
    <t>J04000135</t>
  </si>
  <si>
    <t>Bexhill MB</t>
  </si>
  <si>
    <t>e371032</t>
  </si>
  <si>
    <t>J04000212</t>
  </si>
  <si>
    <t>Brighton CB</t>
  </si>
  <si>
    <t>e371029</t>
  </si>
  <si>
    <t>Brighton and Hove</t>
  </si>
  <si>
    <t>J04000278</t>
  </si>
  <si>
    <t>Chailey RD</t>
  </si>
  <si>
    <t>e371043</t>
  </si>
  <si>
    <t>J04000455</t>
  </si>
  <si>
    <t>Eastbourne CB</t>
  </si>
  <si>
    <t>e371030</t>
  </si>
  <si>
    <t>J04000562</t>
  </si>
  <si>
    <t>Hailsham RD</t>
  </si>
  <si>
    <t>e371047</t>
  </si>
  <si>
    <t>Wealden</t>
  </si>
  <si>
    <t>J04000584</t>
  </si>
  <si>
    <t>Hastings CB</t>
  </si>
  <si>
    <t>e371031</t>
  </si>
  <si>
    <t>J04000652</t>
  </si>
  <si>
    <t>Hove MB</t>
  </si>
  <si>
    <t>e371036</t>
  </si>
  <si>
    <t>J04000738</t>
  </si>
  <si>
    <t>Lewes MB</t>
  </si>
  <si>
    <t>e371037</t>
  </si>
  <si>
    <t>J04000904</t>
  </si>
  <si>
    <t>Newhaven UD</t>
  </si>
  <si>
    <t>e371038</t>
  </si>
  <si>
    <t>J04001011</t>
  </si>
  <si>
    <t>Portslade-by-Sea UD</t>
  </si>
  <si>
    <t>e371039</t>
  </si>
  <si>
    <t>J04001087</t>
  </si>
  <si>
    <t>Rye MB</t>
  </si>
  <si>
    <t>e371040</t>
  </si>
  <si>
    <t>J04001110</t>
  </si>
  <si>
    <t>Seaford UD</t>
  </si>
  <si>
    <t>e371041</t>
  </si>
  <si>
    <t>J04001307</t>
  </si>
  <si>
    <t>Uckfield RD</t>
  </si>
  <si>
    <t>e371048</t>
  </si>
  <si>
    <t>J04000096</t>
  </si>
  <si>
    <t>Basildon UD</t>
  </si>
  <si>
    <t>e120308</t>
  </si>
  <si>
    <t>J04000123</t>
  </si>
  <si>
    <t>Benfleet UD</t>
  </si>
  <si>
    <t>e120310</t>
  </si>
  <si>
    <t>Castle Point</t>
  </si>
  <si>
    <t>J04000188</t>
  </si>
  <si>
    <t>Braintree and Bocking UD</t>
  </si>
  <si>
    <t>e120311</t>
  </si>
  <si>
    <t>J04000189</t>
  </si>
  <si>
    <t>Braintree RD</t>
  </si>
  <si>
    <t>e120335</t>
  </si>
  <si>
    <t>J04000196</t>
  </si>
  <si>
    <t>Brentwood UD</t>
  </si>
  <si>
    <t>e120312</t>
  </si>
  <si>
    <t>J04000211</t>
  </si>
  <si>
    <t>Brightlingsea UD</t>
  </si>
  <si>
    <t>e120313</t>
  </si>
  <si>
    <t>J04000237</t>
  </si>
  <si>
    <t>Burnham on Crouch UD</t>
  </si>
  <si>
    <t>e120314</t>
  </si>
  <si>
    <t>J04000261</t>
  </si>
  <si>
    <t>Canvey Island UD</t>
  </si>
  <si>
    <t>e120315</t>
  </si>
  <si>
    <t>Thurrock UA</t>
  </si>
  <si>
    <t>J04000288</t>
  </si>
  <si>
    <t>Chelmsford MB</t>
  </si>
  <si>
    <t>e120316</t>
  </si>
  <si>
    <t>J04000289</t>
  </si>
  <si>
    <t>Chelmsford RD</t>
  </si>
  <si>
    <t>e120336</t>
  </si>
  <si>
    <t>J04000307</t>
  </si>
  <si>
    <t>Chigwell UD</t>
  </si>
  <si>
    <t>e120317</t>
  </si>
  <si>
    <t>J04000322</t>
  </si>
  <si>
    <t>Clacton UD</t>
  </si>
  <si>
    <t>e120318</t>
  </si>
  <si>
    <t>J04000336</t>
  </si>
  <si>
    <t>Colchester MB</t>
  </si>
  <si>
    <t>e120319</t>
  </si>
  <si>
    <t>J04000436</t>
  </si>
  <si>
    <t>Dunmow RD</t>
  </si>
  <si>
    <t>e120337</t>
  </si>
  <si>
    <t>Uttlesford</t>
  </si>
  <si>
    <t>J04000475</t>
  </si>
  <si>
    <t>Epping and Ongar RD</t>
  </si>
  <si>
    <t>This needs to be merged with Harlow UD for consistency</t>
  </si>
  <si>
    <t>J04000476</t>
  </si>
  <si>
    <t>Epping UD</t>
  </si>
  <si>
    <t>e120320</t>
  </si>
  <si>
    <t>J04000518</t>
  </si>
  <si>
    <t>Frinton and Walton UD</t>
  </si>
  <si>
    <t>e120321</t>
  </si>
  <si>
    <t>J04000567</t>
  </si>
  <si>
    <t>Halstead RD</t>
  </si>
  <si>
    <t>e120339</t>
  </si>
  <si>
    <t>J04000568</t>
  </si>
  <si>
    <t>Halstead UD</t>
  </si>
  <si>
    <t>e120322</t>
  </si>
  <si>
    <t>J04000574</t>
  </si>
  <si>
    <t>Harlow UD</t>
  </si>
  <si>
    <t>e120323</t>
  </si>
  <si>
    <t>This needs to be merged with Epping and Ongar RD for consistency</t>
  </si>
  <si>
    <t>J04000581</t>
  </si>
  <si>
    <t>Harwich MB</t>
  </si>
  <si>
    <t>e120325</t>
  </si>
  <si>
    <t>J04000740</t>
  </si>
  <si>
    <t>Lexden and Winstree RD</t>
  </si>
  <si>
    <t>e120340</t>
  </si>
  <si>
    <t>J04000812</t>
  </si>
  <si>
    <t>Maldon MB</t>
  </si>
  <si>
    <t>e120326</t>
  </si>
  <si>
    <t>J04000813</t>
  </si>
  <si>
    <t>Maldon RD</t>
  </si>
  <si>
    <t>e120341</t>
  </si>
  <si>
    <t>J04001035</t>
  </si>
  <si>
    <t>Rayleigh UD</t>
  </si>
  <si>
    <t>e120327</t>
  </si>
  <si>
    <t>J04001059</t>
  </si>
  <si>
    <t>Rochford RD</t>
  </si>
  <si>
    <t>e120342</t>
  </si>
  <si>
    <t>J04001090</t>
  </si>
  <si>
    <t>Saffron Walden MB</t>
  </si>
  <si>
    <t>e120328</t>
  </si>
  <si>
    <t>J04001091</t>
  </si>
  <si>
    <t>Saffron Walden RD</t>
  </si>
  <si>
    <t>e120343</t>
  </si>
  <si>
    <t>J04001166</t>
  </si>
  <si>
    <t>Southend-on-Sea CB</t>
  </si>
  <si>
    <t>e120307</t>
  </si>
  <si>
    <t>Southend-on-Sea UA</t>
  </si>
  <si>
    <t>J04001259</t>
  </si>
  <si>
    <t>Tendring RD</t>
  </si>
  <si>
    <t>e120344</t>
  </si>
  <si>
    <t>J04001275</t>
  </si>
  <si>
    <t>Thurrock UD</t>
  </si>
  <si>
    <t>e120329</t>
  </si>
  <si>
    <t>J04001330</t>
  </si>
  <si>
    <t>Waltham Holy Cross UD</t>
  </si>
  <si>
    <t>e120331</t>
  </si>
  <si>
    <t>J04001387</t>
  </si>
  <si>
    <t>West Mersea UD</t>
  </si>
  <si>
    <t>e120332</t>
  </si>
  <si>
    <t>J04001433</t>
  </si>
  <si>
    <t>Witham UD</t>
  </si>
  <si>
    <t>e120333</t>
  </si>
  <si>
    <t>J04001438</t>
  </si>
  <si>
    <t>Wivenhoe UD</t>
  </si>
  <si>
    <t>e120334</t>
  </si>
  <si>
    <t>J04000283</t>
  </si>
  <si>
    <t>Charlton Kings UD</t>
  </si>
  <si>
    <t>Gloucestershire</t>
  </si>
  <si>
    <t>e130347</t>
  </si>
  <si>
    <t>J04000291</t>
  </si>
  <si>
    <t>Cheltenham MB</t>
  </si>
  <si>
    <t>e130348</t>
  </si>
  <si>
    <t>J04000292</t>
  </si>
  <si>
    <t>Cheltenham RD</t>
  </si>
  <si>
    <t>e130355</t>
  </si>
  <si>
    <t>J04000319</t>
  </si>
  <si>
    <t>Cirencester RD</t>
  </si>
  <si>
    <t>e130356</t>
  </si>
  <si>
    <t>J04000320</t>
  </si>
  <si>
    <t>Cirencester UD</t>
  </si>
  <si>
    <t>e130349</t>
  </si>
  <si>
    <t>J04000440</t>
  </si>
  <si>
    <t>Dursley RD</t>
  </si>
  <si>
    <t>e130357</t>
  </si>
  <si>
    <t>J04000447</t>
  </si>
  <si>
    <t>East Dean RD</t>
  </si>
  <si>
    <t>e130358</t>
  </si>
  <si>
    <t>J04000536</t>
  </si>
  <si>
    <t>Gloucester RD</t>
  </si>
  <si>
    <t>J04000537</t>
  </si>
  <si>
    <t>Gloucester, City and County of CB</t>
  </si>
  <si>
    <t>e130346</t>
  </si>
  <si>
    <t>J04000794</t>
  </si>
  <si>
    <t>Lydney RD</t>
  </si>
  <si>
    <t>e130360</t>
  </si>
  <si>
    <t>J04000875</t>
  </si>
  <si>
    <t>Nailsworth UD</t>
  </si>
  <si>
    <t>e130352</t>
  </si>
  <si>
    <t>J04000903</t>
  </si>
  <si>
    <t>Newent RD</t>
  </si>
  <si>
    <t>e130361</t>
  </si>
  <si>
    <t>J04000923</t>
  </si>
  <si>
    <t>North Cotswold RD</t>
  </si>
  <si>
    <t>e130362</t>
  </si>
  <si>
    <t>J04000935</t>
  </si>
  <si>
    <t>Northleach RD</t>
  </si>
  <si>
    <t>e130363</t>
  </si>
  <si>
    <t>J04001226</t>
  </si>
  <si>
    <t>Stroud RD</t>
  </si>
  <si>
    <t>e130365</t>
  </si>
  <si>
    <t>J04001227</t>
  </si>
  <si>
    <t>Stroud UD</t>
  </si>
  <si>
    <t>e130353</t>
  </si>
  <si>
    <t>J04001262</t>
  </si>
  <si>
    <t>Tetbury RD</t>
  </si>
  <si>
    <t>e130366</t>
  </si>
  <si>
    <t>J04001264</t>
  </si>
  <si>
    <t>Tewkesbury MB</t>
  </si>
  <si>
    <t>e130354</t>
  </si>
  <si>
    <t>J04001382</t>
  </si>
  <si>
    <t>West Dean RD</t>
  </si>
  <si>
    <t>e130369</t>
  </si>
  <si>
    <t>J04000013</t>
  </si>
  <si>
    <t>Abram UD</t>
  </si>
  <si>
    <t>Greater Manchester</t>
  </si>
  <si>
    <t>e200579</t>
  </si>
  <si>
    <t>J04000034</t>
  </si>
  <si>
    <t>Altrincham MB</t>
  </si>
  <si>
    <t>e050074</t>
  </si>
  <si>
    <t>J04000056</t>
  </si>
  <si>
    <t>Ashton in Makerfield UD</t>
  </si>
  <si>
    <t>e200582</t>
  </si>
  <si>
    <t>J04000057</t>
  </si>
  <si>
    <t>Ashton under Lyne MB</t>
  </si>
  <si>
    <t>e200584</t>
  </si>
  <si>
    <t>Tameside</t>
  </si>
  <si>
    <t>J04000058</t>
  </si>
  <si>
    <t>Aspull UD</t>
  </si>
  <si>
    <t>e200585</t>
  </si>
  <si>
    <t>J04000061</t>
  </si>
  <si>
    <t>Atherton UD</t>
  </si>
  <si>
    <t>e200586</t>
  </si>
  <si>
    <t>J04000062</t>
  </si>
  <si>
    <t>Audenshaw UD</t>
  </si>
  <si>
    <t>e200587</t>
  </si>
  <si>
    <t>J04000144</t>
  </si>
  <si>
    <t>Billinge and Winstanley UD</t>
  </si>
  <si>
    <t>e200590</t>
  </si>
  <si>
    <t>J04000158</t>
  </si>
  <si>
    <t>Blackrod UD</t>
  </si>
  <si>
    <t>e200592</t>
  </si>
  <si>
    <t>J04000173</t>
  </si>
  <si>
    <t>Bolton CB</t>
  </si>
  <si>
    <t>e200563</t>
  </si>
  <si>
    <t>J04000180</t>
  </si>
  <si>
    <t>Bowdon UD</t>
  </si>
  <si>
    <t>e050077</t>
  </si>
  <si>
    <t>J04000194</t>
  </si>
  <si>
    <t>Bredbury and Romiley UD</t>
  </si>
  <si>
    <t>e050078</t>
  </si>
  <si>
    <t>J04000244</t>
  </si>
  <si>
    <t>Bury CB</t>
  </si>
  <si>
    <t>e200566</t>
  </si>
  <si>
    <t>J04000277</t>
  </si>
  <si>
    <t>Chadderton UD</t>
  </si>
  <si>
    <t>e200595</t>
  </si>
  <si>
    <t>J04000286</t>
  </si>
  <si>
    <t>Cheadle and Gatley UD</t>
  </si>
  <si>
    <t>e050079</t>
  </si>
  <si>
    <t>J04000368</t>
  </si>
  <si>
    <t>Crompton UD</t>
  </si>
  <si>
    <t>e200602</t>
  </si>
  <si>
    <t>J04000398</t>
  </si>
  <si>
    <t>Denton UD</t>
  </si>
  <si>
    <t>e200606</t>
  </si>
  <si>
    <t>J04000432</t>
  </si>
  <si>
    <t>Droylsden UD</t>
  </si>
  <si>
    <t>e200607</t>
  </si>
  <si>
    <t>J04000434</t>
  </si>
  <si>
    <t>Dukinfield MB</t>
  </si>
  <si>
    <t>e050082</t>
  </si>
  <si>
    <t>J04000461</t>
  </si>
  <si>
    <t>Eccles MB</t>
  </si>
  <si>
    <t>e200608</t>
  </si>
  <si>
    <t>J04000489</t>
  </si>
  <si>
    <t>Failsworth UD</t>
  </si>
  <si>
    <t>e200609</t>
  </si>
  <si>
    <t>J04000495</t>
  </si>
  <si>
    <t>Farnworth MB</t>
  </si>
  <si>
    <t>e200610</t>
  </si>
  <si>
    <t>J04000541</t>
  </si>
  <si>
    <t>Golborne UD</t>
  </si>
  <si>
    <t>e200615</t>
  </si>
  <si>
    <t>J04000563</t>
  </si>
  <si>
    <t>Hale UD</t>
  </si>
  <si>
    <t>e050084</t>
  </si>
  <si>
    <t>J04000595</t>
  </si>
  <si>
    <t>Hazel Grove and Bramhall UD</t>
  </si>
  <si>
    <t>e050085</t>
  </si>
  <si>
    <t>J04000620</t>
  </si>
  <si>
    <t>Heywood MB</t>
  </si>
  <si>
    <t>e200621</t>
  </si>
  <si>
    <t>J04000625</t>
  </si>
  <si>
    <t>Hindley UD</t>
  </si>
  <si>
    <t>e200622</t>
  </si>
  <si>
    <t>J04000650</t>
  </si>
  <si>
    <t>Horwich UD</t>
  </si>
  <si>
    <t>e200623</t>
  </si>
  <si>
    <t>J04000663</t>
  </si>
  <si>
    <t>Hyde MB</t>
  </si>
  <si>
    <t>e050087</t>
  </si>
  <si>
    <t>J04000670</t>
  </si>
  <si>
    <t>Ince in Makerfield UD</t>
  </si>
  <si>
    <t>e200625</t>
  </si>
  <si>
    <t>J04000672</t>
  </si>
  <si>
    <t>Irlam UD</t>
  </si>
  <si>
    <t>e200626</t>
  </si>
  <si>
    <t>J04000679</t>
  </si>
  <si>
    <t>Kearsley UD</t>
  </si>
  <si>
    <t>e200627</t>
  </si>
  <si>
    <t>J04000730</t>
  </si>
  <si>
    <t>Lees UD</t>
  </si>
  <si>
    <t>e200631</t>
  </si>
  <si>
    <t>J04000732</t>
  </si>
  <si>
    <t>Leigh MB</t>
  </si>
  <si>
    <t>e200632</t>
  </si>
  <si>
    <t>J04000751</t>
  </si>
  <si>
    <t>Little Lever UD</t>
  </si>
  <si>
    <t>e200637</t>
  </si>
  <si>
    <t>J04000752</t>
  </si>
  <si>
    <t>Littleborough UD</t>
  </si>
  <si>
    <t>e200636</t>
  </si>
  <si>
    <t>J04000778</t>
  </si>
  <si>
    <t>Longdendale UD</t>
  </si>
  <si>
    <t>e050089</t>
  </si>
  <si>
    <t>J04000821</t>
  </si>
  <si>
    <t>Manchester, City of CB</t>
  </si>
  <si>
    <t>e200569</t>
  </si>
  <si>
    <t>J04000835</t>
  </si>
  <si>
    <t>Marple UD</t>
  </si>
  <si>
    <t>e050092</t>
  </si>
  <si>
    <t>J04000853</t>
  </si>
  <si>
    <t>Middleton MB</t>
  </si>
  <si>
    <t>e200640</t>
  </si>
  <si>
    <t>J04000859</t>
  </si>
  <si>
    <t>Milnrow UD</t>
  </si>
  <si>
    <t>e200641</t>
  </si>
  <si>
    <t>J04000872</t>
  </si>
  <si>
    <t>Mossley MB</t>
  </si>
  <si>
    <t>e200643</t>
  </si>
  <si>
    <t>J04000954</t>
  </si>
  <si>
    <t>Oldham CB</t>
  </si>
  <si>
    <t>e200571</t>
  </si>
  <si>
    <t>J04000957</t>
  </si>
  <si>
    <t>Orrell UD</t>
  </si>
  <si>
    <t>e200647</t>
  </si>
  <si>
    <t>J04001021</t>
  </si>
  <si>
    <t>Prestwich MB</t>
  </si>
  <si>
    <t>e200653</t>
  </si>
  <si>
    <t>J04001027</t>
  </si>
  <si>
    <t>Radcliffe MB</t>
  </si>
  <si>
    <t>e200654</t>
  </si>
  <si>
    <t>J04001029</t>
  </si>
  <si>
    <t>Ramsbottom UD</t>
  </si>
  <si>
    <t>e200656</t>
  </si>
  <si>
    <t>J04001057</t>
  </si>
  <si>
    <t>Rochdale CB</t>
  </si>
  <si>
    <t>e200573</t>
  </si>
  <si>
    <t>J04001076</t>
  </si>
  <si>
    <t>Royton UD</t>
  </si>
  <si>
    <t>e200659</t>
  </si>
  <si>
    <t>J04001089</t>
  </si>
  <si>
    <t>Saddleworth UD</t>
  </si>
  <si>
    <t>e461263</t>
  </si>
  <si>
    <t>J04001093</t>
  </si>
  <si>
    <t>Sale MB</t>
  </si>
  <si>
    <t>e050100</t>
  </si>
  <si>
    <t>J04001094</t>
  </si>
  <si>
    <t>Salford, City of CB</t>
  </si>
  <si>
    <t>e200575</t>
  </si>
  <si>
    <t>J04001199</t>
  </si>
  <si>
    <t>Stalybridge MB</t>
  </si>
  <si>
    <t>e050102</t>
  </si>
  <si>
    <t>J04001201</t>
  </si>
  <si>
    <t>Standish with Langtree UD</t>
  </si>
  <si>
    <t>e200662</t>
  </si>
  <si>
    <t>J04001208</t>
  </si>
  <si>
    <t>Stockport CB</t>
  </si>
  <si>
    <t>e050070</t>
  </si>
  <si>
    <t>J04001224</t>
  </si>
  <si>
    <t>Stretford MB</t>
  </si>
  <si>
    <t>e200663</t>
  </si>
  <si>
    <t>J04001245</t>
  </si>
  <si>
    <t>Swinton and Pendlebury MB</t>
  </si>
  <si>
    <t>e200664</t>
  </si>
  <si>
    <t>J04001290</t>
  </si>
  <si>
    <t>Tottington UD</t>
  </si>
  <si>
    <t>e200666</t>
  </si>
  <si>
    <t>J04001301</t>
  </si>
  <si>
    <t>Turton UD</t>
  </si>
  <si>
    <t>e200668</t>
  </si>
  <si>
    <t>J04001305</t>
  </si>
  <si>
    <t>Tyldesley UD</t>
  </si>
  <si>
    <t>e200669</t>
  </si>
  <si>
    <t>J04001312</t>
  </si>
  <si>
    <t>Urmston UD</t>
  </si>
  <si>
    <t>e200671</t>
  </si>
  <si>
    <t>J04001338</t>
  </si>
  <si>
    <t>Wardle UD</t>
  </si>
  <si>
    <t>e200674</t>
  </si>
  <si>
    <t>J04001390</t>
  </si>
  <si>
    <t>Westhoughton UD</t>
  </si>
  <si>
    <t>e200675</t>
  </si>
  <si>
    <t>J04001402</t>
  </si>
  <si>
    <t>Whitefield UD</t>
  </si>
  <si>
    <t>e200676</t>
  </si>
  <si>
    <t>J04001409</t>
  </si>
  <si>
    <t>Wigan CB</t>
  </si>
  <si>
    <t>e200578</t>
  </si>
  <si>
    <t>J04001455</t>
  </si>
  <si>
    <t>Worsley UD</t>
  </si>
  <si>
    <t>e200680</t>
  </si>
  <si>
    <t>J04000023</t>
  </si>
  <si>
    <t>Aldershot MB</t>
  </si>
  <si>
    <t>Hampshire</t>
  </si>
  <si>
    <t>e150414</t>
  </si>
  <si>
    <t>J04000032</t>
  </si>
  <si>
    <t>Alton RD</t>
  </si>
  <si>
    <t>e150429</t>
  </si>
  <si>
    <t>East Hampshire</t>
  </si>
  <si>
    <t>J04000033</t>
  </si>
  <si>
    <t>Alton UD</t>
  </si>
  <si>
    <t>e150415</t>
  </si>
  <si>
    <t>J04000043</t>
  </si>
  <si>
    <t>Andover MB</t>
  </si>
  <si>
    <t>e150416</t>
  </si>
  <si>
    <t>J04000044</t>
  </si>
  <si>
    <t>Andover RD</t>
  </si>
  <si>
    <t>e150430</t>
  </si>
  <si>
    <t>J04000097</t>
  </si>
  <si>
    <t>Basingstoke MB</t>
  </si>
  <si>
    <t>e150417</t>
  </si>
  <si>
    <t>Basingstoke and Dean</t>
  </si>
  <si>
    <t>J04000098</t>
  </si>
  <si>
    <t>Basingstoke RD</t>
  </si>
  <si>
    <t>e150431</t>
  </si>
  <si>
    <t>J04000431</t>
  </si>
  <si>
    <t>Droxford RD</t>
  </si>
  <si>
    <t>e150432</t>
  </si>
  <si>
    <t>J04000457</t>
  </si>
  <si>
    <t>Eastleigh MB</t>
  </si>
  <si>
    <t>e150419</t>
  </si>
  <si>
    <t>J04000491</t>
  </si>
  <si>
    <t>Fareham UD</t>
  </si>
  <si>
    <t>e150420</t>
  </si>
  <si>
    <t>J04000493</t>
  </si>
  <si>
    <t>Farnborough UD</t>
  </si>
  <si>
    <t>e150421</t>
  </si>
  <si>
    <t>J04000507</t>
  </si>
  <si>
    <t>Fleet UD</t>
  </si>
  <si>
    <t>e150422</t>
  </si>
  <si>
    <t>J04000545</t>
  </si>
  <si>
    <t>Gosport MB</t>
  </si>
  <si>
    <t>e150423</t>
  </si>
  <si>
    <t>J04000580</t>
  </si>
  <si>
    <t>Hartley Wintney RD</t>
  </si>
  <si>
    <t>e150433</t>
  </si>
  <si>
    <t>J04000586</t>
  </si>
  <si>
    <t>Havant and Waterloo UD</t>
  </si>
  <si>
    <t>e150424</t>
  </si>
  <si>
    <t>Havant</t>
  </si>
  <si>
    <t>J04000698</t>
  </si>
  <si>
    <t>Kingsclere and Whitchurch RD</t>
  </si>
  <si>
    <t>e150435</t>
  </si>
  <si>
    <t>J04000796</t>
  </si>
  <si>
    <t>Lymington MB</t>
  </si>
  <si>
    <t>e150425</t>
  </si>
  <si>
    <t>J04000886</t>
  </si>
  <si>
    <t>New Forest RD</t>
  </si>
  <si>
    <t>e150436</t>
  </si>
  <si>
    <t>J04000989</t>
  </si>
  <si>
    <t>Petersfield RD</t>
  </si>
  <si>
    <t>e150437</t>
  </si>
  <si>
    <t>J04000990</t>
  </si>
  <si>
    <t>Petersfield UD</t>
  </si>
  <si>
    <t>e150426</t>
  </si>
  <si>
    <t>J04001012</t>
  </si>
  <si>
    <t>Portsmouth, City of CB</t>
  </si>
  <si>
    <t>e150412</t>
  </si>
  <si>
    <t>Portsmouth UA</t>
  </si>
  <si>
    <t>J04001050</t>
  </si>
  <si>
    <t>Ringwood and Fordingbridge RD</t>
  </si>
  <si>
    <t>e150438</t>
  </si>
  <si>
    <t>J04001062</t>
  </si>
  <si>
    <t>Romsey and Stockbridge RD</t>
  </si>
  <si>
    <t>e150440</t>
  </si>
  <si>
    <t>J04001063</t>
  </si>
  <si>
    <t>Romsey MB</t>
  </si>
  <si>
    <t>e150427</t>
  </si>
  <si>
    <t>J04001164</t>
  </si>
  <si>
    <t>Southampton, City of CB</t>
  </si>
  <si>
    <t>e150413</t>
  </si>
  <si>
    <t>J04001422</t>
  </si>
  <si>
    <t>Winchester RD</t>
  </si>
  <si>
    <t>e150441</t>
  </si>
  <si>
    <t>J04001423</t>
  </si>
  <si>
    <t>Winchester, City of MB</t>
  </si>
  <si>
    <t>e150428</t>
  </si>
  <si>
    <t>J04000134</t>
  </si>
  <si>
    <t>Bewdley MB</t>
  </si>
  <si>
    <t>Hereford And Worcs</t>
  </si>
  <si>
    <t>West Midlands</t>
  </si>
  <si>
    <t>e431129</t>
  </si>
  <si>
    <t>Wyre Forest</t>
  </si>
  <si>
    <t>J04000219</t>
  </si>
  <si>
    <t>Bromsgrove RD</t>
  </si>
  <si>
    <t>e431140</t>
  </si>
  <si>
    <t>J04000220</t>
  </si>
  <si>
    <t>Bromsgrove UD</t>
  </si>
  <si>
    <t>e431130</t>
  </si>
  <si>
    <t>J04000221</t>
  </si>
  <si>
    <t>Bromyard RD</t>
  </si>
  <si>
    <t>e160446</t>
  </si>
  <si>
    <t>County of Herefordshire</t>
  </si>
  <si>
    <t>J04000222</t>
  </si>
  <si>
    <t>Bromyard UD</t>
  </si>
  <si>
    <t>Merged into Bromyard RD</t>
  </si>
  <si>
    <t>J04000418</t>
  </si>
  <si>
    <t>Dore and Bredwardine RD</t>
  </si>
  <si>
    <t>e160447</t>
  </si>
  <si>
    <t>J04000428</t>
  </si>
  <si>
    <t>Droitwich MB</t>
  </si>
  <si>
    <t>e431131</t>
  </si>
  <si>
    <t>J04000429</t>
  </si>
  <si>
    <t>Droitwich RD</t>
  </si>
  <si>
    <t>e431141</t>
  </si>
  <si>
    <t>J04000484</t>
  </si>
  <si>
    <t>Evesham MB</t>
  </si>
  <si>
    <t>e431132</t>
  </si>
  <si>
    <t>J04000485</t>
  </si>
  <si>
    <t>Evesham RD</t>
  </si>
  <si>
    <t>e431142</t>
  </si>
  <si>
    <t>J04000611</t>
  </si>
  <si>
    <t>Hereford RD</t>
  </si>
  <si>
    <t>e160448</t>
  </si>
  <si>
    <t>J04000612</t>
  </si>
  <si>
    <t>Hereford, City of MB</t>
  </si>
  <si>
    <t>e160442</t>
  </si>
  <si>
    <t>J04000691</t>
  </si>
  <si>
    <t>Kidderminster MB</t>
  </si>
  <si>
    <t>e431134</t>
  </si>
  <si>
    <t>J04000692</t>
  </si>
  <si>
    <t>Kidderminster RD</t>
  </si>
  <si>
    <t>e431143</t>
  </si>
  <si>
    <t>J04000702</t>
  </si>
  <si>
    <t>Kington RD</t>
  </si>
  <si>
    <t>e160449</t>
  </si>
  <si>
    <t>J04000703</t>
  </si>
  <si>
    <t>Kington UD</t>
  </si>
  <si>
    <t>e160443</t>
  </si>
  <si>
    <t>J04000725</t>
  </si>
  <si>
    <t>Ledbury RD</t>
  </si>
  <si>
    <t>e160450</t>
  </si>
  <si>
    <t>J04000726</t>
  </si>
  <si>
    <t>Ledbury UD</t>
  </si>
  <si>
    <t>Merged into Ledbury RD</t>
  </si>
  <si>
    <t>J04000735</t>
  </si>
  <si>
    <t>Leominster and Wigmore RD</t>
  </si>
  <si>
    <t>e160451</t>
  </si>
  <si>
    <t>J04000736</t>
  </si>
  <si>
    <t>Leominster MB</t>
  </si>
  <si>
    <t>e160444</t>
  </si>
  <si>
    <t>J04000820</t>
  </si>
  <si>
    <t>Malvern UD</t>
  </si>
  <si>
    <t>e431135</t>
  </si>
  <si>
    <t>Malvern Hills</t>
  </si>
  <si>
    <t>J04000837</t>
  </si>
  <si>
    <t>Martley RD</t>
  </si>
  <si>
    <t>e431144</t>
  </si>
  <si>
    <t>J04000986</t>
  </si>
  <si>
    <t>Pershore RD</t>
  </si>
  <si>
    <t>e431145</t>
  </si>
  <si>
    <t>J04001038</t>
  </si>
  <si>
    <t>Redditch UD</t>
  </si>
  <si>
    <t>e431136</t>
  </si>
  <si>
    <t>J04001064</t>
  </si>
  <si>
    <t>Ross and Whitchurch RD</t>
  </si>
  <si>
    <t>e160452</t>
  </si>
  <si>
    <t>J04001065</t>
  </si>
  <si>
    <t>Ross on Wye UD</t>
  </si>
  <si>
    <t>e160445</t>
  </si>
  <si>
    <t>J04001218</t>
  </si>
  <si>
    <t>Stourport-on-Severn UD</t>
  </si>
  <si>
    <t>e431139</t>
  </si>
  <si>
    <t>J04001257</t>
  </si>
  <si>
    <t>Tenbury RD</t>
  </si>
  <si>
    <t>e431146</t>
  </si>
  <si>
    <t>J04001311</t>
  </si>
  <si>
    <t>Upton upon Severn RD</t>
  </si>
  <si>
    <t>e431147</t>
  </si>
  <si>
    <t>J04001378</t>
  </si>
  <si>
    <t>Weobley RD</t>
  </si>
  <si>
    <t>e160453</t>
  </si>
  <si>
    <t>J04001450</t>
  </si>
  <si>
    <t>Worcester, City and County of CB</t>
  </si>
  <si>
    <t>e431128</t>
  </si>
  <si>
    <t>J04000074</t>
  </si>
  <si>
    <t>Baldock UD</t>
  </si>
  <si>
    <t>Hertfordshire</t>
  </si>
  <si>
    <t>e170454</t>
  </si>
  <si>
    <t>J04000125</t>
  </si>
  <si>
    <t>Berkhamsted RD</t>
  </si>
  <si>
    <t>e170478</t>
  </si>
  <si>
    <t>Dacorum</t>
  </si>
  <si>
    <t>J04000126</t>
  </si>
  <si>
    <t>Berkhamsted UD</t>
  </si>
  <si>
    <t>e170455</t>
  </si>
  <si>
    <t>J04000153</t>
  </si>
  <si>
    <t>Bishops Stortford UD</t>
  </si>
  <si>
    <t>e170456</t>
  </si>
  <si>
    <t>J04000191</t>
  </si>
  <si>
    <t>Braughing RD</t>
  </si>
  <si>
    <t>e170479</t>
  </si>
  <si>
    <t>J04000246</t>
  </si>
  <si>
    <t>Bushey UD</t>
  </si>
  <si>
    <t>e170457</t>
  </si>
  <si>
    <t>J04000297</t>
  </si>
  <si>
    <t>Cheshunt UD</t>
  </si>
  <si>
    <t>e170458</t>
  </si>
  <si>
    <t>Broxbourne</t>
  </si>
  <si>
    <t>J04000315</t>
  </si>
  <si>
    <t>Chorleywood UD</t>
  </si>
  <si>
    <t>e170459</t>
  </si>
  <si>
    <t>J04000470</t>
  </si>
  <si>
    <t>Elstree RD</t>
  </si>
  <si>
    <t>e170480</t>
  </si>
  <si>
    <t>J04000575</t>
  </si>
  <si>
    <t>Harpenden UD</t>
  </si>
  <si>
    <t>e170460</t>
  </si>
  <si>
    <t>J04000585</t>
  </si>
  <si>
    <t>Hatfield RD</t>
  </si>
  <si>
    <t>e170481</t>
  </si>
  <si>
    <t>Welwyn Hatfield</t>
  </si>
  <si>
    <t>J04000603</t>
  </si>
  <si>
    <t>Hemel Hempstead MB</t>
  </si>
  <si>
    <t>e170461</t>
  </si>
  <si>
    <t>J04000604</t>
  </si>
  <si>
    <t>Hemel Hempstead RD</t>
  </si>
  <si>
    <t>e170483</t>
  </si>
  <si>
    <t>J04000614</t>
  </si>
  <si>
    <t>Hertford MB</t>
  </si>
  <si>
    <t>e170463</t>
  </si>
  <si>
    <t>J04000615</t>
  </si>
  <si>
    <t>Hertford RD</t>
  </si>
  <si>
    <t>e170485</t>
  </si>
  <si>
    <t>J04000627</t>
  </si>
  <si>
    <t>Hitchin RD</t>
  </si>
  <si>
    <t>e170487</t>
  </si>
  <si>
    <t>J04000628</t>
  </si>
  <si>
    <t>Hitchin UD</t>
  </si>
  <si>
    <t>e170464</t>
  </si>
  <si>
    <t>J04000629</t>
  </si>
  <si>
    <t>Hoddesdon UD</t>
  </si>
  <si>
    <t>e170465</t>
  </si>
  <si>
    <t>J04000737</t>
  </si>
  <si>
    <t>Letchworth UD</t>
  </si>
  <si>
    <t>e170466</t>
  </si>
  <si>
    <t>J04001013</t>
  </si>
  <si>
    <t>Potters Bar UD</t>
  </si>
  <si>
    <t>e170467</t>
  </si>
  <si>
    <t>J04001049</t>
  </si>
  <si>
    <t>Rickmansworth UD</t>
  </si>
  <si>
    <t>e170468</t>
  </si>
  <si>
    <t>J04001074</t>
  </si>
  <si>
    <t>Royston UD</t>
  </si>
  <si>
    <t>e170469</t>
  </si>
  <si>
    <t>J04001104</t>
  </si>
  <si>
    <t>Sawbridgeworth UD</t>
  </si>
  <si>
    <t>e170471</t>
  </si>
  <si>
    <t>J04001179</t>
  </si>
  <si>
    <t>St. Albans MB</t>
  </si>
  <si>
    <t>e170470</t>
  </si>
  <si>
    <t>J04001180</t>
  </si>
  <si>
    <t>St. Albans RD</t>
  </si>
  <si>
    <t>e170488</t>
  </si>
  <si>
    <t>J04001207</t>
  </si>
  <si>
    <t>Stevenage UD</t>
  </si>
  <si>
    <t>e170472</t>
  </si>
  <si>
    <t>J04001297</t>
  </si>
  <si>
    <t>Tring UD</t>
  </si>
  <si>
    <t>e170474</t>
  </si>
  <si>
    <t>J04001339</t>
  </si>
  <si>
    <t>Ware RD</t>
  </si>
  <si>
    <t>e170490</t>
  </si>
  <si>
    <t>J04001340</t>
  </si>
  <si>
    <t>Ware UD</t>
  </si>
  <si>
    <t>e170475</t>
  </si>
  <si>
    <t>J04001353</t>
  </si>
  <si>
    <t>Watford MB</t>
  </si>
  <si>
    <t>e170476</t>
  </si>
  <si>
    <t>J04001354</t>
  </si>
  <si>
    <t>Watford RD</t>
  </si>
  <si>
    <t>e170492</t>
  </si>
  <si>
    <t>J04001372</t>
  </si>
  <si>
    <t>Welwyn Garden City UD</t>
  </si>
  <si>
    <t>e170477</t>
  </si>
  <si>
    <t>J04001373</t>
  </si>
  <si>
    <t>Welwyn RD</t>
  </si>
  <si>
    <t>e170494</t>
  </si>
  <si>
    <t>J04000094</t>
  </si>
  <si>
    <t>Barton upon Humber UD</t>
  </si>
  <si>
    <t>Humberside</t>
  </si>
  <si>
    <t>Yorkshire and The Humber</t>
  </si>
  <si>
    <t>e240738</t>
  </si>
  <si>
    <t>North Lincolnshire UA</t>
  </si>
  <si>
    <t>J04000132</t>
  </si>
  <si>
    <t>Beverley MB</t>
  </si>
  <si>
    <t>e441149</t>
  </si>
  <si>
    <t>J04000133</t>
  </si>
  <si>
    <t>Beverley RD</t>
  </si>
  <si>
    <t>e441158</t>
  </si>
  <si>
    <t>J04000203</t>
  </si>
  <si>
    <t>Bridlington MB</t>
  </si>
  <si>
    <t>e441150</t>
  </si>
  <si>
    <t>J04000204</t>
  </si>
  <si>
    <t>Bridlington RD</t>
  </si>
  <si>
    <t>e441159</t>
  </si>
  <si>
    <t>J04000209</t>
  </si>
  <si>
    <t>Brigg UD</t>
  </si>
  <si>
    <t>e240739</t>
  </si>
  <si>
    <t>J04000326</t>
  </si>
  <si>
    <t>Cleethorpes MB</t>
  </si>
  <si>
    <t>e240740</t>
  </si>
  <si>
    <t>North East Lincolnshire</t>
  </si>
  <si>
    <t>J04000426</t>
  </si>
  <si>
    <t>Driffield RD</t>
  </si>
  <si>
    <t>e441161</t>
  </si>
  <si>
    <t>J04000427</t>
  </si>
  <si>
    <t>Driffield UD</t>
  </si>
  <si>
    <t>e441151</t>
  </si>
  <si>
    <t>J04000532</t>
  </si>
  <si>
    <t>Glanford Brigg RD</t>
  </si>
  <si>
    <t>e240751</t>
  </si>
  <si>
    <t>J04000542</t>
  </si>
  <si>
    <t>Goole MB</t>
  </si>
  <si>
    <t>e461232</t>
  </si>
  <si>
    <t>J04000543</t>
  </si>
  <si>
    <t>Goole RD</t>
  </si>
  <si>
    <t>e461280</t>
  </si>
  <si>
    <t>J04000554</t>
  </si>
  <si>
    <t>Grimsby CB</t>
  </si>
  <si>
    <t>e240736</t>
  </si>
  <si>
    <t>J04000555</t>
  </si>
  <si>
    <t>Grimsby RD</t>
  </si>
  <si>
    <t>e240752</t>
  </si>
  <si>
    <t>J04000569</t>
  </si>
  <si>
    <t>Haltemprice UD</t>
  </si>
  <si>
    <t>e441153</t>
  </si>
  <si>
    <t>J04000600</t>
  </si>
  <si>
    <t>Hedon MB</t>
  </si>
  <si>
    <t>e441154</t>
  </si>
  <si>
    <t>J04000631</t>
  </si>
  <si>
    <t>Holderness RD</t>
  </si>
  <si>
    <t>e441162</t>
  </si>
  <si>
    <t>J04000645</t>
  </si>
  <si>
    <t>Hornsea UD</t>
  </si>
  <si>
    <t>e441155</t>
  </si>
  <si>
    <t>J04000653</t>
  </si>
  <si>
    <t>Howden RD</t>
  </si>
  <si>
    <t>e441163</t>
  </si>
  <si>
    <t>J04000674</t>
  </si>
  <si>
    <t>Isle of Axholme RD</t>
  </si>
  <si>
    <t>e240754</t>
  </si>
  <si>
    <t>J04000699</t>
  </si>
  <si>
    <t>Kingston upon Hull, City and County of CB</t>
  </si>
  <si>
    <t>e441148</t>
  </si>
  <si>
    <t>J04000998</t>
  </si>
  <si>
    <t>Pocklington RD</t>
  </si>
  <si>
    <t>e441165</t>
  </si>
  <si>
    <t>J04001109</t>
  </si>
  <si>
    <t>Scunthorpe MB</t>
  </si>
  <si>
    <t>e240746</t>
  </si>
  <si>
    <t>J04001434</t>
  </si>
  <si>
    <t>Withernsea UD</t>
  </si>
  <si>
    <t>e441157</t>
  </si>
  <si>
    <t>J04000102</t>
  </si>
  <si>
    <t>Battersea MB</t>
  </si>
  <si>
    <t>Inner London</t>
  </si>
  <si>
    <t>e140408</t>
  </si>
  <si>
    <t>Wandsworth-Lambeth merger needed</t>
  </si>
  <si>
    <t>J04000127</t>
  </si>
  <si>
    <t>Bermondsey MB</t>
  </si>
  <si>
    <t>e140402</t>
  </si>
  <si>
    <t>Southwark</t>
  </si>
  <si>
    <t>J04000130</t>
  </si>
  <si>
    <t>Bethnal Green MB</t>
  </si>
  <si>
    <t>e140405</t>
  </si>
  <si>
    <t>Tower Hamlets</t>
  </si>
  <si>
    <t>J04000254</t>
  </si>
  <si>
    <t>Camberwell MB</t>
  </si>
  <si>
    <t>J04000290</t>
  </si>
  <si>
    <t>Chelsea MB</t>
  </si>
  <si>
    <t>e140392</t>
  </si>
  <si>
    <t>Kensington and Chelsea</t>
  </si>
  <si>
    <t>J04000321</t>
  </si>
  <si>
    <t>City of London (County Corporate) LCC</t>
  </si>
  <si>
    <t>e140370</t>
  </si>
  <si>
    <t>J04000399</t>
  </si>
  <si>
    <t>Deptford MB</t>
  </si>
  <si>
    <t>e140397</t>
  </si>
  <si>
    <t>J04000451</t>
  </si>
  <si>
    <t>East Ham CB</t>
  </si>
  <si>
    <t>Outer London</t>
  </si>
  <si>
    <t>e140399</t>
  </si>
  <si>
    <t>Barking-Newham merger? It would make a mess of inner-outer london</t>
  </si>
  <si>
    <t>J04000504</t>
  </si>
  <si>
    <t>Finsbury MB</t>
  </si>
  <si>
    <t>e140390</t>
  </si>
  <si>
    <t>J04000521</t>
  </si>
  <si>
    <t>Fulham MB</t>
  </si>
  <si>
    <t>e140384</t>
  </si>
  <si>
    <t>Hammersmith and Fulham</t>
  </si>
  <si>
    <t>J04000560</t>
  </si>
  <si>
    <t>Hackney MB</t>
  </si>
  <si>
    <t>e140382</t>
  </si>
  <si>
    <t>J04000572</t>
  </si>
  <si>
    <t>Hammersmith MB</t>
  </si>
  <si>
    <t>J04000573</t>
  </si>
  <si>
    <t>Hampstead MB</t>
  </si>
  <si>
    <t>e140376</t>
  </si>
  <si>
    <t>Camden</t>
  </si>
  <si>
    <t>J04000630</t>
  </si>
  <si>
    <t>Holborn MB</t>
  </si>
  <si>
    <t>J04000646</t>
  </si>
  <si>
    <t>Hornsey MB</t>
  </si>
  <si>
    <t>e140385</t>
  </si>
  <si>
    <t>Haringey</t>
  </si>
  <si>
    <t>J04000677</t>
  </si>
  <si>
    <t>Islington MB</t>
  </si>
  <si>
    <t>J04000684</t>
  </si>
  <si>
    <t>Kensington MB</t>
  </si>
  <si>
    <t>J04000716</t>
  </si>
  <si>
    <t>Lambeth MB</t>
  </si>
  <si>
    <t>e140395</t>
  </si>
  <si>
    <t>J04000739</t>
  </si>
  <si>
    <t>Lewisham MB</t>
  </si>
  <si>
    <t>J04000968</t>
  </si>
  <si>
    <t>Paddington MB</t>
  </si>
  <si>
    <t>e140409</t>
  </si>
  <si>
    <t>J04001005</t>
  </si>
  <si>
    <t>Poplar MB</t>
  </si>
  <si>
    <t>J04001138</t>
  </si>
  <si>
    <t>Shoreditch MB</t>
  </si>
  <si>
    <t>J04001169</t>
  </si>
  <si>
    <t>Southwark MB</t>
  </si>
  <si>
    <t>J04001191</t>
  </si>
  <si>
    <t>St. Marylebone MB</t>
  </si>
  <si>
    <t>J04001194</t>
  </si>
  <si>
    <t>St. Pancras MB</t>
  </si>
  <si>
    <t>J04001206</t>
  </si>
  <si>
    <t>Stepney MB</t>
  </si>
  <si>
    <t>J04001212</t>
  </si>
  <si>
    <t>Stoke Newington MB</t>
  </si>
  <si>
    <t>J04001289</t>
  </si>
  <si>
    <t>Tottenham MB</t>
  </si>
  <si>
    <t>J04001334</t>
  </si>
  <si>
    <t>Wandsworth MB</t>
  </si>
  <si>
    <t>J04001383</t>
  </si>
  <si>
    <t>West Ham CB</t>
  </si>
  <si>
    <t>J04001391</t>
  </si>
  <si>
    <t>Westminster MB</t>
  </si>
  <si>
    <t>J04001445</t>
  </si>
  <si>
    <t>Wood Green MB</t>
  </si>
  <si>
    <t>J04000355</t>
  </si>
  <si>
    <t>Cowes UD</t>
  </si>
  <si>
    <t>Isle Of Wight</t>
  </si>
  <si>
    <t>e411096</t>
  </si>
  <si>
    <t>Isle of Wight UA</t>
  </si>
  <si>
    <t>J04000675</t>
  </si>
  <si>
    <t>Isle of Wight RD</t>
  </si>
  <si>
    <t>e411101</t>
  </si>
  <si>
    <t>J04000908</t>
  </si>
  <si>
    <t>Newport MB</t>
  </si>
  <si>
    <t>e411097</t>
  </si>
  <si>
    <t>J04001086</t>
  </si>
  <si>
    <t>Ryde MB</t>
  </si>
  <si>
    <t>e411098</t>
  </si>
  <si>
    <t>J04001101</t>
  </si>
  <si>
    <t>Sandown Shanklin UD</t>
  </si>
  <si>
    <t>e411099</t>
  </si>
  <si>
    <t>J04001319</t>
  </si>
  <si>
    <t>Ventnor UD</t>
  </si>
  <si>
    <t>e411100</t>
  </si>
  <si>
    <t>J04000054</t>
  </si>
  <si>
    <t>Ashford UD</t>
  </si>
  <si>
    <t>e190514</t>
  </si>
  <si>
    <t>J04000197</t>
  </si>
  <si>
    <t>Bridge-Blean RD</t>
  </si>
  <si>
    <t>e190543</t>
  </si>
  <si>
    <t>J04000216</t>
  </si>
  <si>
    <t>Broadstairs and St. Peters UD</t>
  </si>
  <si>
    <t>e190515</t>
  </si>
  <si>
    <t>J04000260</t>
  </si>
  <si>
    <t>Canterbury, City and County of CB</t>
  </si>
  <si>
    <t>e190513</t>
  </si>
  <si>
    <t>J04000284</t>
  </si>
  <si>
    <t>Chatham MB</t>
  </si>
  <si>
    <t>e190516</t>
  </si>
  <si>
    <t>J04000356</t>
  </si>
  <si>
    <t>Cranbrook RD</t>
  </si>
  <si>
    <t>e190544</t>
  </si>
  <si>
    <t>J04000383</t>
  </si>
  <si>
    <t>Dartford MB</t>
  </si>
  <si>
    <t>e190517</t>
  </si>
  <si>
    <t>J04000384</t>
  </si>
  <si>
    <t>Dartford RD</t>
  </si>
  <si>
    <t>e190545</t>
  </si>
  <si>
    <t>J04000392</t>
  </si>
  <si>
    <t>Deal MB</t>
  </si>
  <si>
    <t>e190518</t>
  </si>
  <si>
    <t>J04000421</t>
  </si>
  <si>
    <t>Dover MB</t>
  </si>
  <si>
    <t>e190519</t>
  </si>
  <si>
    <t>J04000422</t>
  </si>
  <si>
    <t>Dover RD</t>
  </si>
  <si>
    <t>e190546</t>
  </si>
  <si>
    <t>J04000445</t>
  </si>
  <si>
    <t>East Ashford RD</t>
  </si>
  <si>
    <t>e190547</t>
  </si>
  <si>
    <t>J04000458</t>
  </si>
  <si>
    <t>Eastry RD</t>
  </si>
  <si>
    <t>e190548</t>
  </si>
  <si>
    <t>J04000465</t>
  </si>
  <si>
    <t>Elham RD</t>
  </si>
  <si>
    <t>e190549</t>
  </si>
  <si>
    <t>Shepway</t>
  </si>
  <si>
    <t>J04000496</t>
  </si>
  <si>
    <t>Faversham MB</t>
  </si>
  <si>
    <t>e190520</t>
  </si>
  <si>
    <t>J04000510</t>
  </si>
  <si>
    <t>Folkestone MB</t>
  </si>
  <si>
    <t>e190521</t>
  </si>
  <si>
    <t>J04000530</t>
  </si>
  <si>
    <t>Gillingham MB</t>
  </si>
  <si>
    <t>e190522</t>
  </si>
  <si>
    <t>J04000549</t>
  </si>
  <si>
    <t>Gravesend MB</t>
  </si>
  <si>
    <t>e190523</t>
  </si>
  <si>
    <t>J04000613</t>
  </si>
  <si>
    <t>Herne Bay UD</t>
  </si>
  <si>
    <t>e190524</t>
  </si>
  <si>
    <t>J04000632</t>
  </si>
  <si>
    <t>Hollingbourn RD</t>
  </si>
  <si>
    <t>e190550</t>
  </si>
  <si>
    <t>J04000664</t>
  </si>
  <si>
    <t>Hythe MB</t>
  </si>
  <si>
    <t>e190525</t>
  </si>
  <si>
    <t>J04000793</t>
  </si>
  <si>
    <t>Lydd MB</t>
  </si>
  <si>
    <t>e190526</t>
  </si>
  <si>
    <t>J04000809</t>
  </si>
  <si>
    <t>Maidstone MB</t>
  </si>
  <si>
    <t>e190527</t>
  </si>
  <si>
    <t>J04000810</t>
  </si>
  <si>
    <t>Maidstone RD</t>
  </si>
  <si>
    <t>e190551</t>
  </si>
  <si>
    <t>J04000814</t>
  </si>
  <si>
    <t>Malling RD</t>
  </si>
  <si>
    <t>e190552</t>
  </si>
  <si>
    <t>J04000826</t>
  </si>
  <si>
    <t>Margate MB</t>
  </si>
  <si>
    <t>e190528</t>
  </si>
  <si>
    <t>J04000890</t>
  </si>
  <si>
    <t>New Romney MB</t>
  </si>
  <si>
    <t>e190529</t>
  </si>
  <si>
    <t>J04000934</t>
  </si>
  <si>
    <t>Northfleet UD</t>
  </si>
  <si>
    <t>e190530</t>
  </si>
  <si>
    <t>J04001025</t>
  </si>
  <si>
    <t>Queenborough MB</t>
  </si>
  <si>
    <t>e190531</t>
  </si>
  <si>
    <t>Merged with Sheerness and Sheppey</t>
  </si>
  <si>
    <t>J04001031</t>
  </si>
  <si>
    <t>Ramsgate MB</t>
  </si>
  <si>
    <t>e190532</t>
  </si>
  <si>
    <t>J04001058</t>
  </si>
  <si>
    <t>Rochester, City of MB</t>
  </si>
  <si>
    <t>e190533</t>
  </si>
  <si>
    <t>J04001061</t>
  </si>
  <si>
    <t>Romney Marsh RD</t>
  </si>
  <si>
    <t>e190553</t>
  </si>
  <si>
    <t>J04001073</t>
  </si>
  <si>
    <t>Royal Tunbridge Wells MB</t>
  </si>
  <si>
    <t>e190534</t>
  </si>
  <si>
    <t>J04001102</t>
  </si>
  <si>
    <t>Sandwich MB</t>
  </si>
  <si>
    <t>e190535</t>
  </si>
  <si>
    <t>J04001121</t>
  </si>
  <si>
    <t>Sevenoaks RD</t>
  </si>
  <si>
    <t>e190554</t>
  </si>
  <si>
    <t>J04001122</t>
  </si>
  <si>
    <t>Sevenoaks UD</t>
  </si>
  <si>
    <t>e190536</t>
  </si>
  <si>
    <t>J04001125</t>
  </si>
  <si>
    <t>Sheerness UD</t>
  </si>
  <si>
    <t>J04001127</t>
  </si>
  <si>
    <t>Sheppey RD</t>
  </si>
  <si>
    <t>J04001143</t>
  </si>
  <si>
    <t>Sittingbourne and Milton UD</t>
  </si>
  <si>
    <t>e190537</t>
  </si>
  <si>
    <t>J04001165</t>
  </si>
  <si>
    <t>Southborough UD</t>
  </si>
  <si>
    <t>e190538</t>
  </si>
  <si>
    <t>J04001225</t>
  </si>
  <si>
    <t>Strood RD</t>
  </si>
  <si>
    <t>e190555</t>
  </si>
  <si>
    <t>J04001240</t>
  </si>
  <si>
    <t>Swale RD</t>
  </si>
  <si>
    <t>e190556</t>
  </si>
  <si>
    <t>J04001242</t>
  </si>
  <si>
    <t>Swanscombe UD</t>
  </si>
  <si>
    <t>e190539</t>
  </si>
  <si>
    <t>J04001260</t>
  </si>
  <si>
    <t>Tenterden MB</t>
  </si>
  <si>
    <t>e190540</t>
  </si>
  <si>
    <t>J04001261</t>
  </si>
  <si>
    <t>Tenterden RD</t>
  </si>
  <si>
    <t>e190557</t>
  </si>
  <si>
    <t>J04001282</t>
  </si>
  <si>
    <t>Tonbridge RD</t>
  </si>
  <si>
    <t>e190558</t>
  </si>
  <si>
    <t>J04001283</t>
  </si>
  <si>
    <t>Tonbridge UD</t>
  </si>
  <si>
    <t>e190541</t>
  </si>
  <si>
    <t>J04001379</t>
  </si>
  <si>
    <t>West Ashford RD</t>
  </si>
  <si>
    <t>e190559</t>
  </si>
  <si>
    <t>J04001405</t>
  </si>
  <si>
    <t>Whitstable UD</t>
  </si>
  <si>
    <t>e190542</t>
  </si>
  <si>
    <t>J04000014</t>
  </si>
  <si>
    <t>Accrington MB</t>
  </si>
  <si>
    <t>Lancashire</t>
  </si>
  <si>
    <t>e200580</t>
  </si>
  <si>
    <t>J04000016</t>
  </si>
  <si>
    <t>Adlington UD</t>
  </si>
  <si>
    <t>e200581</t>
  </si>
  <si>
    <t>J04000068</t>
  </si>
  <si>
    <t>Bacup MB</t>
  </si>
  <si>
    <t>e200588</t>
  </si>
  <si>
    <t>J04000086</t>
  </si>
  <si>
    <t>Barnoldswick UD</t>
  </si>
  <si>
    <t>e461213</t>
  </si>
  <si>
    <t>J04000091</t>
  </si>
  <si>
    <t>Barrowford UD</t>
  </si>
  <si>
    <t>e200589</t>
  </si>
  <si>
    <t>J04000155</t>
  </si>
  <si>
    <t>Blackburn CB</t>
  </si>
  <si>
    <t>e200561</t>
  </si>
  <si>
    <t>J04000156</t>
  </si>
  <si>
    <t>Blackburn RD</t>
  </si>
  <si>
    <t>e200681</t>
  </si>
  <si>
    <t>J04000157</t>
  </si>
  <si>
    <t>Blackpool CB</t>
  </si>
  <si>
    <t>e200562</t>
  </si>
  <si>
    <t>J04000181</t>
  </si>
  <si>
    <t>Bowland RD</t>
  </si>
  <si>
    <t>e461278</t>
  </si>
  <si>
    <t>J04000207</t>
  </si>
  <si>
    <t>Brierfield UD</t>
  </si>
  <si>
    <t>e200593</t>
  </si>
  <si>
    <t>J04000239</t>
  </si>
  <si>
    <t>Burnley CB</t>
  </si>
  <si>
    <t>e200565</t>
  </si>
  <si>
    <t>J04000240</t>
  </si>
  <si>
    <t>Burnley RD</t>
  </si>
  <si>
    <t>e200682</t>
  </si>
  <si>
    <t>J04000269</t>
  </si>
  <si>
    <t>Carnforth UD</t>
  </si>
  <si>
    <t>e200594</t>
  </si>
  <si>
    <t>J04000313</t>
  </si>
  <si>
    <t>Chorley MB</t>
  </si>
  <si>
    <t>e200596</t>
  </si>
  <si>
    <t>J04000314</t>
  </si>
  <si>
    <t>Chorley RD</t>
  </si>
  <si>
    <t>e200683</t>
  </si>
  <si>
    <t>J04000318</t>
  </si>
  <si>
    <t>Church UD</t>
  </si>
  <si>
    <t>e200598</t>
  </si>
  <si>
    <t>J04000325</t>
  </si>
  <si>
    <t>Clayton le Moors UD</t>
  </si>
  <si>
    <t>e200599</t>
  </si>
  <si>
    <t>J04000328</t>
  </si>
  <si>
    <t>Clitheroe MB</t>
  </si>
  <si>
    <t>e200600</t>
  </si>
  <si>
    <t>J04000329</t>
  </si>
  <si>
    <t>Clitheroe RD</t>
  </si>
  <si>
    <t>e200685</t>
  </si>
  <si>
    <t>J04000337</t>
  </si>
  <si>
    <t>Colne MB</t>
  </si>
  <si>
    <t>e200601</t>
  </si>
  <si>
    <t>J04000387</t>
  </si>
  <si>
    <t>Darwen MB</t>
  </si>
  <si>
    <t>e200605</t>
  </si>
  <si>
    <t>J04000442</t>
  </si>
  <si>
    <t>Earby UD</t>
  </si>
  <si>
    <t>e461228</t>
  </si>
  <si>
    <t>J04000508</t>
  </si>
  <si>
    <t>Fleetwood MB</t>
  </si>
  <si>
    <t>e200611</t>
  </si>
  <si>
    <t>Wyre</t>
  </si>
  <si>
    <t>J04000522</t>
  </si>
  <si>
    <t>Fulwood UD</t>
  </si>
  <si>
    <t>e200613</t>
  </si>
  <si>
    <t>J04000523</t>
  </si>
  <si>
    <t>Fylde RD</t>
  </si>
  <si>
    <t>e200686</t>
  </si>
  <si>
    <t>J04000527</t>
  </si>
  <si>
    <t>Garstang RD</t>
  </si>
  <si>
    <t>e200687</t>
  </si>
  <si>
    <t>J04000550</t>
  </si>
  <si>
    <t>Great Harwood UD</t>
  </si>
  <si>
    <t>e200618</t>
  </si>
  <si>
    <t>J04000583</t>
  </si>
  <si>
    <t>Haslingden MB</t>
  </si>
  <si>
    <t>e200619</t>
  </si>
  <si>
    <t>J04000708</t>
  </si>
  <si>
    <t>Kirkham UD</t>
  </si>
  <si>
    <t>e200629</t>
  </si>
  <si>
    <t>J04000718</t>
  </si>
  <si>
    <t>Lancaster RD</t>
  </si>
  <si>
    <t>e200688</t>
  </si>
  <si>
    <t>J04000719</t>
  </si>
  <si>
    <t>Lancaster, City of MB</t>
  </si>
  <si>
    <t>e200630</t>
  </si>
  <si>
    <t>J04000742</t>
  </si>
  <si>
    <t>Leyland UD</t>
  </si>
  <si>
    <t>e200633</t>
  </si>
  <si>
    <t>J04000779</t>
  </si>
  <si>
    <t>Longridge UD</t>
  </si>
  <si>
    <t>e200638</t>
  </si>
  <si>
    <t>J04000789</t>
  </si>
  <si>
    <t>Lunesdale RD</t>
  </si>
  <si>
    <t>e200689</t>
  </si>
  <si>
    <t>J04000799</t>
  </si>
  <si>
    <t>Lytham St. Annes MB</t>
  </si>
  <si>
    <t>e200639</t>
  </si>
  <si>
    <t>J04000868</t>
  </si>
  <si>
    <t>Morecambe and Heysham MB</t>
  </si>
  <si>
    <t>e200642</t>
  </si>
  <si>
    <t>J04000884</t>
  </si>
  <si>
    <t>Nelson MB</t>
  </si>
  <si>
    <t>e200644</t>
  </si>
  <si>
    <t>J04000955</t>
  </si>
  <si>
    <t>Ormskirk UD</t>
  </si>
  <si>
    <t>e200646</t>
  </si>
  <si>
    <t>Overlap problem with Upholland and Skelmersdale</t>
  </si>
  <si>
    <t>J04000960</t>
  </si>
  <si>
    <t>Oswaldtwistle UD</t>
  </si>
  <si>
    <t>e200648</t>
  </si>
  <si>
    <t>J04000969</t>
  </si>
  <si>
    <t>Padiham UD</t>
  </si>
  <si>
    <t>e200649</t>
  </si>
  <si>
    <t>J04001014</t>
  </si>
  <si>
    <t>Poulton le Fylde UD</t>
  </si>
  <si>
    <t>e200650</t>
  </si>
  <si>
    <t>J04001015</t>
  </si>
  <si>
    <t>Preesall UD</t>
  </si>
  <si>
    <t>e200651</t>
  </si>
  <si>
    <t>J04001019</t>
  </si>
  <si>
    <t>Preston CB</t>
  </si>
  <si>
    <t>e200572</t>
  </si>
  <si>
    <t>J04001020</t>
  </si>
  <si>
    <t>Preston RD</t>
  </si>
  <si>
    <t>e200691</t>
  </si>
  <si>
    <t>J04001034</t>
  </si>
  <si>
    <t>Rawtenstall MB</t>
  </si>
  <si>
    <t>e200657</t>
  </si>
  <si>
    <t>J04001056</t>
  </si>
  <si>
    <t>Rishton UD</t>
  </si>
  <si>
    <t>e200658</t>
  </si>
  <si>
    <t>J04001145</t>
  </si>
  <si>
    <t>Skelmersdale UD</t>
  </si>
  <si>
    <t>e200660</t>
  </si>
  <si>
    <t>Overlap problem with Ormskirk and Wigan RD</t>
  </si>
  <si>
    <t>J04001274</t>
  </si>
  <si>
    <t>Thornton Cleveleys UD</t>
  </si>
  <si>
    <t>e200665</t>
  </si>
  <si>
    <t>J04001294</t>
  </si>
  <si>
    <t>Trawden UD</t>
  </si>
  <si>
    <t>e200667</t>
  </si>
  <si>
    <t>J04001309</t>
  </si>
  <si>
    <t>Upholland UD</t>
  </si>
  <si>
    <t>Merged into Skelmersdale and Upholland; parts overlap with Ormskirk and Wigan RD too. Possible merge</t>
  </si>
  <si>
    <t>J04001333</t>
  </si>
  <si>
    <t>Walton le Dale UD</t>
  </si>
  <si>
    <t>e200672</t>
  </si>
  <si>
    <t>J04001386</t>
  </si>
  <si>
    <t>West Lancashire RD</t>
  </si>
  <si>
    <t>e200695</t>
  </si>
  <si>
    <t>J04001407</t>
  </si>
  <si>
    <t>Whitworth UD</t>
  </si>
  <si>
    <t>e200677</t>
  </si>
  <si>
    <t>J04001410</t>
  </si>
  <si>
    <t>Wigan RD</t>
  </si>
  <si>
    <t>e200701</t>
  </si>
  <si>
    <t>J04001435</t>
  </si>
  <si>
    <t>Withnell UD</t>
  </si>
  <si>
    <t>e200679</t>
  </si>
  <si>
    <t>J04000051</t>
  </si>
  <si>
    <t>Ashby de la Zouch RD</t>
  </si>
  <si>
    <t>Leicestershire</t>
  </si>
  <si>
    <t>e210713</t>
  </si>
  <si>
    <t>J04000052</t>
  </si>
  <si>
    <t>Ashby de la Zouch UD</t>
  </si>
  <si>
    <t>e210703</t>
  </si>
  <si>
    <t>J04000053</t>
  </si>
  <si>
    <t>Ashby Woulds UD</t>
  </si>
  <si>
    <t>e210704</t>
  </si>
  <si>
    <t>J04000090</t>
  </si>
  <si>
    <t>Barrow upon Soar RD</t>
  </si>
  <si>
    <t>e210714</t>
  </si>
  <si>
    <t>J04000143</t>
  </si>
  <si>
    <t>Billesdon RD</t>
  </si>
  <si>
    <t>Harborough</t>
  </si>
  <si>
    <t>J04000154</t>
  </si>
  <si>
    <t>Blaby RD</t>
  </si>
  <si>
    <t>e210716</t>
  </si>
  <si>
    <t>J04000271</t>
  </si>
  <si>
    <t>Castle Donington RD</t>
  </si>
  <si>
    <t>e210717</t>
  </si>
  <si>
    <t>J04000333</t>
  </si>
  <si>
    <t>Coalville UD</t>
  </si>
  <si>
    <t>e210705</t>
  </si>
  <si>
    <t>J04000624</t>
  </si>
  <si>
    <t>Hinckley UD</t>
  </si>
  <si>
    <t>e210706</t>
  </si>
  <si>
    <t>J04000689</t>
  </si>
  <si>
    <t>Ketton RD</t>
  </si>
  <si>
    <t>e300880</t>
  </si>
  <si>
    <t>Rutland UA</t>
  </si>
  <si>
    <t>J04000731</t>
  </si>
  <si>
    <t>Leicester, City of CB</t>
  </si>
  <si>
    <t>e210702</t>
  </si>
  <si>
    <t>J04000783</t>
  </si>
  <si>
    <t>Loughborough MB</t>
  </si>
  <si>
    <t>e210707</t>
  </si>
  <si>
    <t>J04000792</t>
  </si>
  <si>
    <t>Lutterworth RD</t>
  </si>
  <si>
    <t>e210718</t>
  </si>
  <si>
    <t>J04000827</t>
  </si>
  <si>
    <t>Market Bosworth RD</t>
  </si>
  <si>
    <t>e210719</t>
  </si>
  <si>
    <t>J04000829</t>
  </si>
  <si>
    <t>Market Harborough RD</t>
  </si>
  <si>
    <t>e210720</t>
  </si>
  <si>
    <t>J04000830</t>
  </si>
  <si>
    <t>Market Harborough UD</t>
  </si>
  <si>
    <t>e210708</t>
  </si>
  <si>
    <t>J04000844</t>
  </si>
  <si>
    <t>Melton and Belvoir RD</t>
  </si>
  <si>
    <t>e210721</t>
  </si>
  <si>
    <t>Melton</t>
  </si>
  <si>
    <t>J04000845</t>
  </si>
  <si>
    <t>Melton Mowbray UD</t>
  </si>
  <si>
    <t>e210709</t>
  </si>
  <si>
    <t>J04000944</t>
  </si>
  <si>
    <t>Oadby UD</t>
  </si>
  <si>
    <t>e210710</t>
  </si>
  <si>
    <t>Oadby and Wigston</t>
  </si>
  <si>
    <t>J04000946</t>
  </si>
  <si>
    <t>Oakham RD</t>
  </si>
  <si>
    <t>e300881</t>
  </si>
  <si>
    <t>J04000947</t>
  </si>
  <si>
    <t>Oakham UD</t>
  </si>
  <si>
    <t>e300879</t>
  </si>
  <si>
    <t>J04001128</t>
  </si>
  <si>
    <t>Shepshed UD</t>
  </si>
  <si>
    <t>e210711</t>
  </si>
  <si>
    <t>J04001310</t>
  </si>
  <si>
    <t>Uppingham RD</t>
  </si>
  <si>
    <t>e300882</t>
  </si>
  <si>
    <t>J04001411</t>
  </si>
  <si>
    <t>Wigston UD</t>
  </si>
  <si>
    <t>e210712</t>
  </si>
  <si>
    <t>J04000026</t>
  </si>
  <si>
    <t>Alford UD</t>
  </si>
  <si>
    <t>Lincolnshire</t>
  </si>
  <si>
    <t>e240737</t>
  </si>
  <si>
    <t>East Lindsey</t>
  </si>
  <si>
    <t>J04000176</t>
  </si>
  <si>
    <t>Boston MB</t>
  </si>
  <si>
    <t>e220722</t>
  </si>
  <si>
    <t>J04000177</t>
  </si>
  <si>
    <t>Boston RD</t>
  </si>
  <si>
    <t>e220724</t>
  </si>
  <si>
    <t>J04000178</t>
  </si>
  <si>
    <t>Bourne UD</t>
  </si>
  <si>
    <t>e230728</t>
  </si>
  <si>
    <t>J04000251</t>
  </si>
  <si>
    <t>Caistor RD</t>
  </si>
  <si>
    <t>e240749</t>
  </si>
  <si>
    <t>West Lindsey</t>
  </si>
  <si>
    <t>J04000449</t>
  </si>
  <si>
    <t>East Elloe RD</t>
  </si>
  <si>
    <t>e220725</t>
  </si>
  <si>
    <t>South Holland</t>
  </si>
  <si>
    <t>J04000452</t>
  </si>
  <si>
    <t>East Kesteven RD</t>
  </si>
  <si>
    <t>e230732</t>
  </si>
  <si>
    <t>J04000524</t>
  </si>
  <si>
    <t>Gainsborough RD</t>
  </si>
  <si>
    <t>e240750</t>
  </si>
  <si>
    <t>J04000525</t>
  </si>
  <si>
    <t>Gainsborough UD</t>
  </si>
  <si>
    <t>e240741</t>
  </si>
  <si>
    <t>J04000548</t>
  </si>
  <si>
    <t>Grantham MB</t>
  </si>
  <si>
    <t>e230729</t>
  </si>
  <si>
    <t>J04000642</t>
  </si>
  <si>
    <t>Horncastle RD</t>
  </si>
  <si>
    <t>e240753</t>
  </si>
  <si>
    <t>J04000643</t>
  </si>
  <si>
    <t>Horncastle UD</t>
  </si>
  <si>
    <t>e240742</t>
  </si>
  <si>
    <t>J04000746</t>
  </si>
  <si>
    <t>Lincoln, City and County of CB</t>
  </si>
  <si>
    <t>e230727</t>
  </si>
  <si>
    <t>J04000784</t>
  </si>
  <si>
    <t>Louth MB</t>
  </si>
  <si>
    <t>e240743</t>
  </si>
  <si>
    <t>J04000785</t>
  </si>
  <si>
    <t>Louth RD</t>
  </si>
  <si>
    <t>e240755</t>
  </si>
  <si>
    <t>J04000800</t>
  </si>
  <si>
    <t>Mablethorpe and Sutton UD</t>
  </si>
  <si>
    <t>e240744</t>
  </si>
  <si>
    <t>J04000831</t>
  </si>
  <si>
    <t>Market Rasen UD</t>
  </si>
  <si>
    <t>e240745</t>
  </si>
  <si>
    <t>J04000924</t>
  </si>
  <si>
    <t>North Kesteven RD</t>
  </si>
  <si>
    <t>e230733</t>
  </si>
  <si>
    <t>J04001144</t>
  </si>
  <si>
    <t>Skegness UD</t>
  </si>
  <si>
    <t>e240747</t>
  </si>
  <si>
    <t>J04001149</t>
  </si>
  <si>
    <t>Sleaford UD</t>
  </si>
  <si>
    <t>e230730</t>
  </si>
  <si>
    <t>J04001157</t>
  </si>
  <si>
    <t>South Kesteven RD</t>
  </si>
  <si>
    <t>e230734</t>
  </si>
  <si>
    <t>J04001174</t>
  </si>
  <si>
    <t>Spalding RD</t>
  </si>
  <si>
    <t>e220726</t>
  </si>
  <si>
    <t>J04001175</t>
  </si>
  <si>
    <t>Spalding UD</t>
  </si>
  <si>
    <t>e220723</t>
  </si>
  <si>
    <t>J04001178</t>
  </si>
  <si>
    <t>Spilsby RD</t>
  </si>
  <si>
    <t>e240756</t>
  </si>
  <si>
    <t>J04001200</t>
  </si>
  <si>
    <t>Stamford MB</t>
  </si>
  <si>
    <t>e230731</t>
  </si>
  <si>
    <t>J04001371</t>
  </si>
  <si>
    <t>Welton RD</t>
  </si>
  <si>
    <t>e240757</t>
  </si>
  <si>
    <t>J04001385</t>
  </si>
  <si>
    <t>West Kesteven RD</t>
  </si>
  <si>
    <t>e230735</t>
  </si>
  <si>
    <t>J04001447</t>
  </si>
  <si>
    <t>Woodhall Spa UD</t>
  </si>
  <si>
    <t>e240748</t>
  </si>
  <si>
    <t>J04000107</t>
  </si>
  <si>
    <t>Bebington MB</t>
  </si>
  <si>
    <t>Merseyside</t>
  </si>
  <si>
    <t>e050075</t>
  </si>
  <si>
    <t>J04000149</t>
  </si>
  <si>
    <t>Birkenhead CB</t>
  </si>
  <si>
    <t>e050068</t>
  </si>
  <si>
    <t>J04000174</t>
  </si>
  <si>
    <t>Bootle CB</t>
  </si>
  <si>
    <t>e200564</t>
  </si>
  <si>
    <t>J04000370</t>
  </si>
  <si>
    <t>Crosby MB</t>
  </si>
  <si>
    <t>e200603</t>
  </si>
  <si>
    <t>J04000513</t>
  </si>
  <si>
    <t>Formby UD</t>
  </si>
  <si>
    <t>e200612</t>
  </si>
  <si>
    <t>J04000593</t>
  </si>
  <si>
    <t>Haydock UD</t>
  </si>
  <si>
    <t>e200620</t>
  </si>
  <si>
    <t>J04000654</t>
  </si>
  <si>
    <t>Hoylake UD</t>
  </si>
  <si>
    <t>e050086</t>
  </si>
  <si>
    <t>J04000662</t>
  </si>
  <si>
    <t>Huyton with Roby UD</t>
  </si>
  <si>
    <t>e200624</t>
  </si>
  <si>
    <t>J04000707</t>
  </si>
  <si>
    <t>Kirkby UD</t>
  </si>
  <si>
    <t>e200698</t>
  </si>
  <si>
    <t>Created in 1958. Merged with Whiston for continuity</t>
  </si>
  <si>
    <t>J04000750</t>
  </si>
  <si>
    <t>Litherland UD</t>
  </si>
  <si>
    <t>e200635</t>
  </si>
  <si>
    <t>J04000754</t>
  </si>
  <si>
    <t>Liverpool, City of CB</t>
  </si>
  <si>
    <t>e200567</t>
  </si>
  <si>
    <t>J04000915</t>
  </si>
  <si>
    <t>Newton-le-Willows UD</t>
  </si>
  <si>
    <t>e200645</t>
  </si>
  <si>
    <t>J04001016</t>
  </si>
  <si>
    <t>Prescot UD</t>
  </si>
  <si>
    <t>e200652</t>
  </si>
  <si>
    <t>J04001028</t>
  </si>
  <si>
    <t>Rainford UD</t>
  </si>
  <si>
    <t>e200655</t>
  </si>
  <si>
    <t>J04001168</t>
  </si>
  <si>
    <t>Southport CB</t>
  </si>
  <si>
    <t>e200576</t>
  </si>
  <si>
    <t>J04001186</t>
  </si>
  <si>
    <t>St. Helens CB</t>
  </si>
  <si>
    <t>e200574</t>
  </si>
  <si>
    <t>J04001324</t>
  </si>
  <si>
    <t>Wallasey CB</t>
  </si>
  <si>
    <t>e050071</t>
  </si>
  <si>
    <t>J04001398</t>
  </si>
  <si>
    <t>Whiston RD</t>
  </si>
  <si>
    <t>J04001430</t>
  </si>
  <si>
    <t>Wirral UD</t>
  </si>
  <si>
    <t>e050105</t>
  </si>
  <si>
    <t>J04000165</t>
  </si>
  <si>
    <t>Blofield and Flegg RD</t>
  </si>
  <si>
    <t>e250772</t>
  </si>
  <si>
    <t>J04000367</t>
  </si>
  <si>
    <t>Cromer UD</t>
  </si>
  <si>
    <t>e250760</t>
  </si>
  <si>
    <t>North Norfolk</t>
  </si>
  <si>
    <t>J04000400</t>
  </si>
  <si>
    <t>Depwade RD</t>
  </si>
  <si>
    <t>e250773</t>
  </si>
  <si>
    <t>South Norfolk</t>
  </si>
  <si>
    <t>J04000409</t>
  </si>
  <si>
    <t>Diss UD</t>
  </si>
  <si>
    <t>e250761</t>
  </si>
  <si>
    <t>J04000410</t>
  </si>
  <si>
    <t>Docking RD</t>
  </si>
  <si>
    <t>e250774</t>
  </si>
  <si>
    <t>King's Lynn and West</t>
  </si>
  <si>
    <t>J04000423</t>
  </si>
  <si>
    <t>Downham Market UD</t>
  </si>
  <si>
    <t>e250762</t>
  </si>
  <si>
    <t>J04000424</t>
  </si>
  <si>
    <t>Downham RD</t>
  </si>
  <si>
    <t>e250775</t>
  </si>
  <si>
    <t>J04000448</t>
  </si>
  <si>
    <t>East Dereham UD</t>
  </si>
  <si>
    <t>e250763</t>
  </si>
  <si>
    <t>Breckland</t>
  </si>
  <si>
    <t>J04000479</t>
  </si>
  <si>
    <t>Erpingham RD</t>
  </si>
  <si>
    <t>e250776</t>
  </si>
  <si>
    <t>J04000512</t>
  </si>
  <si>
    <t>Forehoe and Henstead RD</t>
  </si>
  <si>
    <t>e250777</t>
  </si>
  <si>
    <t>J04000515</t>
  </si>
  <si>
    <t>Freebridge Lynn RD</t>
  </si>
  <si>
    <t>e250778</t>
  </si>
  <si>
    <t>J04000552</t>
  </si>
  <si>
    <t>Great Yarmouth CB</t>
  </si>
  <si>
    <t>e250758</t>
  </si>
  <si>
    <t>J04000659</t>
  </si>
  <si>
    <t>Hunstanton UD</t>
  </si>
  <si>
    <t>e250764</t>
  </si>
  <si>
    <t>J04000695</t>
  </si>
  <si>
    <t>Kings Lynn MB</t>
  </si>
  <si>
    <t>e250765</t>
  </si>
  <si>
    <t>J04000773</t>
  </si>
  <si>
    <t>Loddon RD</t>
  </si>
  <si>
    <t>e250779</t>
  </si>
  <si>
    <t>J04000836</t>
  </si>
  <si>
    <t>Marshland RD</t>
  </si>
  <si>
    <t>e250780</t>
  </si>
  <si>
    <t>J04000863</t>
  </si>
  <si>
    <t>Mitford and Launditch RD</t>
  </si>
  <si>
    <t>e250781</t>
  </si>
  <si>
    <t>J04000926</t>
  </si>
  <si>
    <t>North Walsham UD</t>
  </si>
  <si>
    <t>e250766</t>
  </si>
  <si>
    <t>J04000941</t>
  </si>
  <si>
    <t>Norwich, City and County of CB</t>
  </si>
  <si>
    <t>e250759</t>
  </si>
  <si>
    <t>J04001133</t>
  </si>
  <si>
    <t>Sheringham UD</t>
  </si>
  <si>
    <t>e250767</t>
  </si>
  <si>
    <t>J04001151</t>
  </si>
  <si>
    <t>Smallburgh RD</t>
  </si>
  <si>
    <t>e250783</t>
  </si>
  <si>
    <t>J04001184</t>
  </si>
  <si>
    <t>St. Faiths and Aylsham RD</t>
  </si>
  <si>
    <t>e250782</t>
  </si>
  <si>
    <t>J04001238</t>
  </si>
  <si>
    <t>Swaffham RD</t>
  </si>
  <si>
    <t>e250784</t>
  </si>
  <si>
    <t>J04001239</t>
  </si>
  <si>
    <t>Swaffham UD</t>
  </si>
  <si>
    <t>e250768</t>
  </si>
  <si>
    <t>J04001267</t>
  </si>
  <si>
    <t>Thetford MB</t>
  </si>
  <si>
    <t>e250769</t>
  </si>
  <si>
    <t>J04001329</t>
  </si>
  <si>
    <t>Walsingham RD</t>
  </si>
  <si>
    <t>e250785</t>
  </si>
  <si>
    <t>J04001357</t>
  </si>
  <si>
    <t>Wayland RD</t>
  </si>
  <si>
    <t>e250786</t>
  </si>
  <si>
    <t>J04001367</t>
  </si>
  <si>
    <t>Wells next the Sea UD</t>
  </si>
  <si>
    <t>e250770</t>
  </si>
  <si>
    <t>J04001462</t>
  </si>
  <si>
    <t>Wymondham UD</t>
  </si>
  <si>
    <t>e250771</t>
  </si>
  <si>
    <t>J04000067</t>
  </si>
  <si>
    <t>Aysgarth RD</t>
  </si>
  <si>
    <t>e451179</t>
  </si>
  <si>
    <t>Richmondshire</t>
  </si>
  <si>
    <t>J04000110</t>
  </si>
  <si>
    <t>Bedale RD</t>
  </si>
  <si>
    <t>e451180</t>
  </si>
  <si>
    <t>J04000366</t>
  </si>
  <si>
    <t>Croft RD</t>
  </si>
  <si>
    <t>e451181</t>
  </si>
  <si>
    <t>J04000402</t>
  </si>
  <si>
    <t>Derwent RD</t>
  </si>
  <si>
    <t>e441160</t>
  </si>
  <si>
    <t>J04000444</t>
  </si>
  <si>
    <t>Easingwold RD</t>
  </si>
  <si>
    <t>e451182</t>
  </si>
  <si>
    <t>J04000502</t>
  </si>
  <si>
    <t>Filey UD</t>
  </si>
  <si>
    <t>e441152</t>
  </si>
  <si>
    <t>J04000506</t>
  </si>
  <si>
    <t>Flaxton RD</t>
  </si>
  <si>
    <t>e451183</t>
  </si>
  <si>
    <t>J04000576</t>
  </si>
  <si>
    <t>Harrogate MB</t>
  </si>
  <si>
    <t>e461233</t>
  </si>
  <si>
    <t>J04000601</t>
  </si>
  <si>
    <t>Helmsley RD</t>
  </si>
  <si>
    <t>e451184</t>
  </si>
  <si>
    <t>J04000706</t>
  </si>
  <si>
    <t>Kirkby Moorside RD</t>
  </si>
  <si>
    <t>e451185</t>
  </si>
  <si>
    <t>J04000710</t>
  </si>
  <si>
    <t>Knaresborough UD</t>
  </si>
  <si>
    <t>e461244</t>
  </si>
  <si>
    <t>J04000741</t>
  </si>
  <si>
    <t>Leyburn RD</t>
  </si>
  <si>
    <t>e451186</t>
  </si>
  <si>
    <t>J04000818</t>
  </si>
  <si>
    <t>Malton RD</t>
  </si>
  <si>
    <t>e451187</t>
  </si>
  <si>
    <t>J04000819</t>
  </si>
  <si>
    <t>Malton UD</t>
  </si>
  <si>
    <t>e451170</t>
  </si>
  <si>
    <t>J04000839</t>
  </si>
  <si>
    <t>Masham RD</t>
  </si>
  <si>
    <t>e451188</t>
  </si>
  <si>
    <t>J04000919</t>
  </si>
  <si>
    <t>Nidderdale RD</t>
  </si>
  <si>
    <t>e461285</t>
  </si>
  <si>
    <t>J04000929</t>
  </si>
  <si>
    <t>Northallerton RD</t>
  </si>
  <si>
    <t>e451189</t>
  </si>
  <si>
    <t>J04000930</t>
  </si>
  <si>
    <t>Northallerton UD</t>
  </si>
  <si>
    <t>e451171</t>
  </si>
  <si>
    <t>J04000939</t>
  </si>
  <si>
    <t>Norton RD</t>
  </si>
  <si>
    <t>e441164</t>
  </si>
  <si>
    <t>J04000940</t>
  </si>
  <si>
    <t>Norton UD</t>
  </si>
  <si>
    <t>e441156</t>
  </si>
  <si>
    <t>J04000958</t>
  </si>
  <si>
    <t>Osgoldcross RD</t>
  </si>
  <si>
    <t>e461287</t>
  </si>
  <si>
    <t>J04000993</t>
  </si>
  <si>
    <t>Pickering RD</t>
  </si>
  <si>
    <t>e451190</t>
  </si>
  <si>
    <t>J04000994</t>
  </si>
  <si>
    <t>Pickering UD</t>
  </si>
  <si>
    <t>e451172</t>
  </si>
  <si>
    <t>J04001039</t>
  </si>
  <si>
    <t>Reeth RD</t>
  </si>
  <si>
    <t>e451191</t>
  </si>
  <si>
    <t>J04001047</t>
  </si>
  <si>
    <t>Richmond MB</t>
  </si>
  <si>
    <t>e451173</t>
  </si>
  <si>
    <t>J04001048</t>
  </si>
  <si>
    <t>Richmond RD</t>
  </si>
  <si>
    <t>e451192</t>
  </si>
  <si>
    <t>J04001052</t>
  </si>
  <si>
    <t>Ripon and Pateley Bridge RD</t>
  </si>
  <si>
    <t>e461289</t>
  </si>
  <si>
    <t>J04001053</t>
  </si>
  <si>
    <t>Ripon, City of MB</t>
  </si>
  <si>
    <t>e461259</t>
  </si>
  <si>
    <t>J04001106</t>
  </si>
  <si>
    <t>Scalby UD</t>
  </si>
  <si>
    <t>e451175</t>
  </si>
  <si>
    <t>J04001107</t>
  </si>
  <si>
    <t>Scarborough MB</t>
  </si>
  <si>
    <t>e451176</t>
  </si>
  <si>
    <t>J04001108</t>
  </si>
  <si>
    <t>Scarborough RD</t>
  </si>
  <si>
    <t>e451193</t>
  </si>
  <si>
    <t>J04001118</t>
  </si>
  <si>
    <t>Selby RD</t>
  </si>
  <si>
    <t>e461292</t>
  </si>
  <si>
    <t>J04001119</t>
  </si>
  <si>
    <t>Selby UD</t>
  </si>
  <si>
    <t>e461264</t>
  </si>
  <si>
    <t>J04001120</t>
  </si>
  <si>
    <t>Settle RD</t>
  </si>
  <si>
    <t>e461293</t>
  </si>
  <si>
    <t>J04001147</t>
  </si>
  <si>
    <t>Skipton RD</t>
  </si>
  <si>
    <t>e461295</t>
  </si>
  <si>
    <t>J04001148</t>
  </si>
  <si>
    <t>Skipton UD</t>
  </si>
  <si>
    <t>e461267</t>
  </si>
  <si>
    <t>J04001247</t>
  </si>
  <si>
    <t>Tadcaster RD</t>
  </si>
  <si>
    <t>e461298</t>
  </si>
  <si>
    <t>J04001269</t>
  </si>
  <si>
    <t>Thirsk RD</t>
  </si>
  <si>
    <t>e451196</t>
  </si>
  <si>
    <t>J04001355</t>
  </si>
  <si>
    <t>Wath RD</t>
  </si>
  <si>
    <t>e451197</t>
  </si>
  <si>
    <t>J04001396</t>
  </si>
  <si>
    <t>Wharfedale RD</t>
  </si>
  <si>
    <t>e461304</t>
  </si>
  <si>
    <t>J04001399</t>
  </si>
  <si>
    <t>Whitby RD</t>
  </si>
  <si>
    <t>e451198</t>
  </si>
  <si>
    <t>J04001400</t>
  </si>
  <si>
    <t>Whitby UD</t>
  </si>
  <si>
    <t>e451178</t>
  </si>
  <si>
    <t>J04001466</t>
  </si>
  <si>
    <t>York, City and County of CB</t>
  </si>
  <si>
    <t>e461209</t>
  </si>
  <si>
    <t>J04000182</t>
  </si>
  <si>
    <t>Brackley MB</t>
  </si>
  <si>
    <t>Northamptonshire</t>
  </si>
  <si>
    <t>e260789</t>
  </si>
  <si>
    <t>J04000183</t>
  </si>
  <si>
    <t>Brackley RD</t>
  </si>
  <si>
    <t>e260803</t>
  </si>
  <si>
    <t>J04000215</t>
  </si>
  <si>
    <t>Brixworth RD</t>
  </si>
  <si>
    <t>e260804</t>
  </si>
  <si>
    <t>J04000242</t>
  </si>
  <si>
    <t>Burton Latimer UD</t>
  </si>
  <si>
    <t>e260790</t>
  </si>
  <si>
    <t>J04000348</t>
  </si>
  <si>
    <t>Corby UD</t>
  </si>
  <si>
    <t>e260791</t>
  </si>
  <si>
    <t>J04000388</t>
  </si>
  <si>
    <t>Daventry MB</t>
  </si>
  <si>
    <t>e260793</t>
  </si>
  <si>
    <t>J04000389</t>
  </si>
  <si>
    <t>Daventry RD</t>
  </si>
  <si>
    <t>e260805</t>
  </si>
  <si>
    <t>J04000403</t>
  </si>
  <si>
    <t>Desborough UD</t>
  </si>
  <si>
    <t>e260794</t>
  </si>
  <si>
    <t>J04000622</t>
  </si>
  <si>
    <t>Higham Ferrers MB</t>
  </si>
  <si>
    <t>e260795</t>
  </si>
  <si>
    <t>East Northamptonshire</t>
  </si>
  <si>
    <t>J04000673</t>
  </si>
  <si>
    <t>Irthlingborough UD</t>
  </si>
  <si>
    <t>e260796</t>
  </si>
  <si>
    <t>J04000687</t>
  </si>
  <si>
    <t>Kettering MB</t>
  </si>
  <si>
    <t>e260797</t>
  </si>
  <si>
    <t>J04000688</t>
  </si>
  <si>
    <t>Kettering RD</t>
  </si>
  <si>
    <t>e260807</t>
  </si>
  <si>
    <t>J04000932</t>
  </si>
  <si>
    <t>Northampton CB</t>
  </si>
  <si>
    <t>e260787</t>
  </si>
  <si>
    <t>J04000933</t>
  </si>
  <si>
    <t>Northampton RD</t>
  </si>
  <si>
    <t>J04000965</t>
  </si>
  <si>
    <t>Oundle and Thrapston RD</t>
  </si>
  <si>
    <t>e260810</t>
  </si>
  <si>
    <t>J04000966</t>
  </si>
  <si>
    <t>Oundle UD</t>
  </si>
  <si>
    <t>e260798</t>
  </si>
  <si>
    <t>J04001032</t>
  </si>
  <si>
    <t>Raunds UD</t>
  </si>
  <si>
    <t>e260799</t>
  </si>
  <si>
    <t>J04001069</t>
  </si>
  <si>
    <t>Rothwell UD</t>
  </si>
  <si>
    <t>e260800</t>
  </si>
  <si>
    <t>J04001083</t>
  </si>
  <si>
    <t>Rushden UD</t>
  </si>
  <si>
    <t>e260801</t>
  </si>
  <si>
    <t>J04001292</t>
  </si>
  <si>
    <t>Towcester RD</t>
  </si>
  <si>
    <t>e260811</t>
  </si>
  <si>
    <t>J04001361</t>
  </si>
  <si>
    <t>Wellingborough RD</t>
  </si>
  <si>
    <t>e260812</t>
  </si>
  <si>
    <t>J04001362</t>
  </si>
  <si>
    <t>Wellingborough UD</t>
  </si>
  <si>
    <t>e260802</t>
  </si>
  <si>
    <t>J04000028</t>
  </si>
  <si>
    <t>Alnwick RD</t>
  </si>
  <si>
    <t>e270832</t>
  </si>
  <si>
    <t>J04000029</t>
  </si>
  <si>
    <t>Alnwick UD</t>
  </si>
  <si>
    <t>e270816</t>
  </si>
  <si>
    <t>J04000035</t>
  </si>
  <si>
    <t>Amble UD</t>
  </si>
  <si>
    <t>e270817</t>
  </si>
  <si>
    <t>J04000055</t>
  </si>
  <si>
    <t>Ashington UD</t>
  </si>
  <si>
    <t>e270818</t>
  </si>
  <si>
    <t>Wansbeck</t>
  </si>
  <si>
    <t>J04000114</t>
  </si>
  <si>
    <t>Bedlingtonshire UD</t>
  </si>
  <si>
    <t>e270819</t>
  </si>
  <si>
    <t>J04000119</t>
  </si>
  <si>
    <t>Belford RD</t>
  </si>
  <si>
    <t>e270833</t>
  </si>
  <si>
    <t>Berwick upon Tweed</t>
  </si>
  <si>
    <t>J04000120</t>
  </si>
  <si>
    <t>Bellingham RD</t>
  </si>
  <si>
    <t>e270834</t>
  </si>
  <si>
    <t>Tynedale</t>
  </si>
  <si>
    <t>J04000128</t>
  </si>
  <si>
    <t>Berwick upon Tweed MB</t>
  </si>
  <si>
    <t>e270820</t>
  </si>
  <si>
    <t>J04000166</t>
  </si>
  <si>
    <t>Blyth MB</t>
  </si>
  <si>
    <t>e270821</t>
  </si>
  <si>
    <t>J04000272</t>
  </si>
  <si>
    <t>Castle Ward RD</t>
  </si>
  <si>
    <t>e270835</t>
  </si>
  <si>
    <t>J04000534</t>
  </si>
  <si>
    <t>Glendale RD</t>
  </si>
  <si>
    <t>e270837</t>
  </si>
  <si>
    <t>J04000570</t>
  </si>
  <si>
    <t>Haltwhistle RD</t>
  </si>
  <si>
    <t>e270838</t>
  </si>
  <si>
    <t>J04000618</t>
  </si>
  <si>
    <t>Hexham RD</t>
  </si>
  <si>
    <t>e270839</t>
  </si>
  <si>
    <t>J04000619</t>
  </si>
  <si>
    <t>Hexham UD</t>
  </si>
  <si>
    <t>e270823</t>
  </si>
  <si>
    <t>J04000870</t>
  </si>
  <si>
    <t>Morpeth MB</t>
  </si>
  <si>
    <t>e270825</t>
  </si>
  <si>
    <t>J04000871</t>
  </si>
  <si>
    <t>Morpeth RD</t>
  </si>
  <si>
    <t>e270840</t>
  </si>
  <si>
    <t>J04000894</t>
  </si>
  <si>
    <t>Newbiggin by the Sea UD</t>
  </si>
  <si>
    <t>e270826</t>
  </si>
  <si>
    <t>J04000920</t>
  </si>
  <si>
    <t>Norham and Islandshires RD</t>
  </si>
  <si>
    <t>e270841</t>
  </si>
  <si>
    <t>J04001022</t>
  </si>
  <si>
    <t>Prudhoe UD</t>
  </si>
  <si>
    <t>e270828</t>
  </si>
  <si>
    <t>J04001066</t>
  </si>
  <si>
    <t>Rothbury RD</t>
  </si>
  <si>
    <t>e270842</t>
  </si>
  <si>
    <t>J04001113</t>
  </si>
  <si>
    <t>Seaton Valley UD</t>
  </si>
  <si>
    <t>e270829</t>
  </si>
  <si>
    <t>J04000046</t>
  </si>
  <si>
    <t>Arnold UD</t>
  </si>
  <si>
    <t>Nottinghamshire</t>
  </si>
  <si>
    <t>e280844</t>
  </si>
  <si>
    <t>J04000095</t>
  </si>
  <si>
    <t>Basford RD</t>
  </si>
  <si>
    <t>e280858</t>
  </si>
  <si>
    <t>J04000118</t>
  </si>
  <si>
    <t>Beeston and Stapleford UD</t>
  </si>
  <si>
    <t>e280845</t>
  </si>
  <si>
    <t>J04000147</t>
  </si>
  <si>
    <t>Bingham RD</t>
  </si>
  <si>
    <t>e280859</t>
  </si>
  <si>
    <t>J04000266</t>
  </si>
  <si>
    <t>Carlton UD</t>
  </si>
  <si>
    <t>e280846</t>
  </si>
  <si>
    <t>J04000453</t>
  </si>
  <si>
    <t>East Retford MB</t>
  </si>
  <si>
    <t>e280847</t>
  </si>
  <si>
    <t>Bassetlaw</t>
  </si>
  <si>
    <t>J04000454</t>
  </si>
  <si>
    <t>East Retford RD</t>
  </si>
  <si>
    <t>e280860</t>
  </si>
  <si>
    <t>J04000459</t>
  </si>
  <si>
    <t>Eastwood UD</t>
  </si>
  <si>
    <t>e280848</t>
  </si>
  <si>
    <t>J04000656</t>
  </si>
  <si>
    <t>Hucknall UD</t>
  </si>
  <si>
    <t>e280849</t>
  </si>
  <si>
    <t>J04000705</t>
  </si>
  <si>
    <t>Kirkby in Ashfield UD</t>
  </si>
  <si>
    <t>e280850</t>
  </si>
  <si>
    <t>J04000823</t>
  </si>
  <si>
    <t>Mansfield MB</t>
  </si>
  <si>
    <t>e280851</t>
  </si>
  <si>
    <t>J04000824</t>
  </si>
  <si>
    <t>Mansfield Woodhouse UD</t>
  </si>
  <si>
    <t>e280852</t>
  </si>
  <si>
    <t>J04000892</t>
  </si>
  <si>
    <t>Newark MB</t>
  </si>
  <si>
    <t>e280853</t>
  </si>
  <si>
    <t>J04000893</t>
  </si>
  <si>
    <t>Newark RD</t>
  </si>
  <si>
    <t>e280861</t>
  </si>
  <si>
    <t>J04000942</t>
  </si>
  <si>
    <t>Nottingham, City and County of CB</t>
  </si>
  <si>
    <t>e280843</t>
  </si>
  <si>
    <t>Nottingham UA</t>
  </si>
  <si>
    <t>J04001170</t>
  </si>
  <si>
    <t>Southwell RD</t>
  </si>
  <si>
    <t>e280863</t>
  </si>
  <si>
    <t>J04001236</t>
  </si>
  <si>
    <t>Sutton in Ashfield UD</t>
  </si>
  <si>
    <t>e280854</t>
  </si>
  <si>
    <t>J04001348</t>
  </si>
  <si>
    <t>Warsop UD</t>
  </si>
  <si>
    <t>e280855</t>
  </si>
  <si>
    <t>J04001380</t>
  </si>
  <si>
    <t>West Bridgford UD</t>
  </si>
  <si>
    <t>e280856</t>
  </si>
  <si>
    <t>J04001452</t>
  </si>
  <si>
    <t>Worksop MB</t>
  </si>
  <si>
    <t>e280857</t>
  </si>
  <si>
    <t>J04001453</t>
  </si>
  <si>
    <t>Worksop RD</t>
  </si>
  <si>
    <t>e280864</t>
  </si>
  <si>
    <t>J04000015</t>
  </si>
  <si>
    <t>Acton MB</t>
  </si>
  <si>
    <t>e140379</t>
  </si>
  <si>
    <t>J04000079</t>
  </si>
  <si>
    <t>Barking MB</t>
  </si>
  <si>
    <t>e140371</t>
  </si>
  <si>
    <t>Problem with Newham border</t>
  </si>
  <si>
    <t>J04000084</t>
  </si>
  <si>
    <t>Barnes MB</t>
  </si>
  <si>
    <t>e140401</t>
  </si>
  <si>
    <t>Richmond upon Thames</t>
  </si>
  <si>
    <t>J04000085</t>
  </si>
  <si>
    <t>Barnet UD</t>
  </si>
  <si>
    <t>e140372</t>
  </si>
  <si>
    <t>J04000109</t>
  </si>
  <si>
    <t>Beckenham MB</t>
  </si>
  <si>
    <t>e140375</t>
  </si>
  <si>
    <t>Messy with Bexley</t>
  </si>
  <si>
    <t>J04000111</t>
  </si>
  <si>
    <t>Beddington and Wallington MB</t>
  </si>
  <si>
    <t>e140404</t>
  </si>
  <si>
    <t>Sutton</t>
  </si>
  <si>
    <t>J04000136</t>
  </si>
  <si>
    <t>Bexley MB</t>
  </si>
  <si>
    <t>e140373</t>
  </si>
  <si>
    <t>Messy with Bromley</t>
  </si>
  <si>
    <t>J04000195</t>
  </si>
  <si>
    <t>Brentford and Chiswick MB</t>
  </si>
  <si>
    <t>e140389</t>
  </si>
  <si>
    <t>Hounslow</t>
  </si>
  <si>
    <t>J04000218</t>
  </si>
  <si>
    <t>Bromley MB</t>
  </si>
  <si>
    <t>J04000270</t>
  </si>
  <si>
    <t>Carshalton UD</t>
  </si>
  <si>
    <t>J04000308</t>
  </si>
  <si>
    <t>Chingford MB</t>
  </si>
  <si>
    <t>e140407</t>
  </si>
  <si>
    <t>Waltham Forest</t>
  </si>
  <si>
    <t>J04000312</t>
  </si>
  <si>
    <t>Chislehurst and Sidcup UD</t>
  </si>
  <si>
    <t>Messy with Bexley and Bromley</t>
  </si>
  <si>
    <t>J04000351</t>
  </si>
  <si>
    <t>Coulsdon and Purley UD</t>
  </si>
  <si>
    <t>e140378</t>
  </si>
  <si>
    <t>J04000358</t>
  </si>
  <si>
    <t>Crayford UD</t>
  </si>
  <si>
    <t>J04000371</t>
  </si>
  <si>
    <t>Croydon CB</t>
  </si>
  <si>
    <t>J04000377</t>
  </si>
  <si>
    <t>Dagenham MB</t>
  </si>
  <si>
    <t>J04000441</t>
  </si>
  <si>
    <t>Ealing MB</t>
  </si>
  <si>
    <t>J04000446</t>
  </si>
  <si>
    <t>East Barnet UD</t>
  </si>
  <si>
    <t>J04000463</t>
  </si>
  <si>
    <t>Edmonton MB</t>
  </si>
  <si>
    <t>e140380</t>
  </si>
  <si>
    <t>J04000473</t>
  </si>
  <si>
    <t>Enfield MB</t>
  </si>
  <si>
    <t>J04000478</t>
  </si>
  <si>
    <t>Erith MB</t>
  </si>
  <si>
    <t>J04000500</t>
  </si>
  <si>
    <t>Feltham UD</t>
  </si>
  <si>
    <t>J04000503</t>
  </si>
  <si>
    <t>Finchley MB</t>
  </si>
  <si>
    <t>J04000516</t>
  </si>
  <si>
    <t>Friern Barnet UD</t>
  </si>
  <si>
    <t>J04000553</t>
  </si>
  <si>
    <t>Greenwich MB</t>
  </si>
  <si>
    <t>e140381</t>
  </si>
  <si>
    <t>J04000577</t>
  </si>
  <si>
    <t>Harrow MB</t>
  </si>
  <si>
    <t>e140386</t>
  </si>
  <si>
    <t>J04000594</t>
  </si>
  <si>
    <t>Hayes and Harlington UD</t>
  </si>
  <si>
    <t>e140388</t>
  </si>
  <si>
    <t>Hillingdon</t>
  </si>
  <si>
    <t>J04000607</t>
  </si>
  <si>
    <t>Hendon MB</t>
  </si>
  <si>
    <t>J04000616</t>
  </si>
  <si>
    <t>Heston and Isleworth MB</t>
  </si>
  <si>
    <t>J04000644</t>
  </si>
  <si>
    <t>Hornchurch UD</t>
  </si>
  <si>
    <t>e140387</t>
  </si>
  <si>
    <t>J04000665</t>
  </si>
  <si>
    <t>Ilford MB</t>
  </si>
  <si>
    <t>e140400</t>
  </si>
  <si>
    <t>J04000700</t>
  </si>
  <si>
    <t>Kingston upon Thames (Royal Borough) MB</t>
  </si>
  <si>
    <t>e140394</t>
  </si>
  <si>
    <t>Kingston upon Thames</t>
  </si>
  <si>
    <t>J04000743</t>
  </si>
  <si>
    <t>Leyton MB</t>
  </si>
  <si>
    <t>J04000811</t>
  </si>
  <si>
    <t>Malden and Coombe MB</t>
  </si>
  <si>
    <t>J04000850</t>
  </si>
  <si>
    <t>Merton and Morden UD</t>
  </si>
  <si>
    <t>e140398</t>
  </si>
  <si>
    <t>Merton</t>
  </si>
  <si>
    <t>J04000862</t>
  </si>
  <si>
    <t>Mitcham MB</t>
  </si>
  <si>
    <t>J04000956</t>
  </si>
  <si>
    <t>Orpington UD</t>
  </si>
  <si>
    <t>J04000976</t>
  </si>
  <si>
    <t>Penge UD</t>
  </si>
  <si>
    <t>J04001046</t>
  </si>
  <si>
    <t>J04001060</t>
  </si>
  <si>
    <t>Romford MB</t>
  </si>
  <si>
    <t>J04001080</t>
  </si>
  <si>
    <t>Ruislip Northwood UD</t>
  </si>
  <si>
    <t>J04001162</t>
  </si>
  <si>
    <t>Southall MB</t>
  </si>
  <si>
    <t>J04001167</t>
  </si>
  <si>
    <t>Southgate MB</t>
  </si>
  <si>
    <t>J04001233</t>
  </si>
  <si>
    <t>Surbiton MB</t>
  </si>
  <si>
    <t>J04001234</t>
  </si>
  <si>
    <t>Sutton and Cheam MB</t>
  </si>
  <si>
    <t>J04001303</t>
  </si>
  <si>
    <t>Twickenham MB</t>
  </si>
  <si>
    <t>J04001316</t>
  </si>
  <si>
    <t>Uxbridge MB</t>
  </si>
  <si>
    <t>J04001331</t>
  </si>
  <si>
    <t>Walthamstow MB</t>
  </si>
  <si>
    <t>J04001335</t>
  </si>
  <si>
    <t>Wanstead and Woodford MB</t>
  </si>
  <si>
    <t>J04001376</t>
  </si>
  <si>
    <t>Wembley MB</t>
  </si>
  <si>
    <t>e140374</t>
  </si>
  <si>
    <t>Brent</t>
  </si>
  <si>
    <t>J04001414</t>
  </si>
  <si>
    <t>Willesden MB</t>
  </si>
  <si>
    <t>J04001418</t>
  </si>
  <si>
    <t>Wimbledon MB</t>
  </si>
  <si>
    <t>J04001449</t>
  </si>
  <si>
    <t>Woolwich MB</t>
  </si>
  <si>
    <t>J04001465</t>
  </si>
  <si>
    <t>Yiewsley and West Drayton UD</t>
  </si>
  <si>
    <t>J04000011</t>
  </si>
  <si>
    <t>Abingdon MB</t>
  </si>
  <si>
    <t>Oxfordshire</t>
  </si>
  <si>
    <t>e020013</t>
  </si>
  <si>
    <t>J04000012</t>
  </si>
  <si>
    <t>Abingdon RD</t>
  </si>
  <si>
    <t>e020020</t>
  </si>
  <si>
    <t>J04000075</t>
  </si>
  <si>
    <t>Banbury MB</t>
  </si>
  <si>
    <t>e290866</t>
  </si>
  <si>
    <t>Cherwell</t>
  </si>
  <si>
    <t>J04000076</t>
  </si>
  <si>
    <t>Banbury RD</t>
  </si>
  <si>
    <t>e290873</t>
  </si>
  <si>
    <t>J04000137</t>
  </si>
  <si>
    <t>Bicester UD</t>
  </si>
  <si>
    <t>e290867</t>
  </si>
  <si>
    <t>J04000234</t>
  </si>
  <si>
    <t>Bullingdon RD</t>
  </si>
  <si>
    <t>e290874</t>
  </si>
  <si>
    <t>J04000310</t>
  </si>
  <si>
    <t>Chipping Norton MB</t>
  </si>
  <si>
    <t>e290868</t>
  </si>
  <si>
    <t>West Oxfordshire</t>
  </si>
  <si>
    <t>J04000311</t>
  </si>
  <si>
    <t>Chipping Norton RD</t>
  </si>
  <si>
    <t>e290875</t>
  </si>
  <si>
    <t>J04000492</t>
  </si>
  <si>
    <t>Faringdon RD</t>
  </si>
  <si>
    <t>e020025</t>
  </si>
  <si>
    <t>J04000608</t>
  </si>
  <si>
    <t>Henley on Thames MB</t>
  </si>
  <si>
    <t>e290869</t>
  </si>
  <si>
    <t>J04000609</t>
  </si>
  <si>
    <t>Henley RD</t>
  </si>
  <si>
    <t>e290876</t>
  </si>
  <si>
    <t>J04000967</t>
  </si>
  <si>
    <t>Oxford, City of CB</t>
  </si>
  <si>
    <t>e290865</t>
  </si>
  <si>
    <t>J04000995</t>
  </si>
  <si>
    <t>Ploughley RD</t>
  </si>
  <si>
    <t>e290877</t>
  </si>
  <si>
    <t>J04001265</t>
  </si>
  <si>
    <t>Thame UD</t>
  </si>
  <si>
    <t>e290870</t>
  </si>
  <si>
    <t>J04001325</t>
  </si>
  <si>
    <t>WallingFord MB</t>
  </si>
  <si>
    <t>e020017</t>
  </si>
  <si>
    <t>J04001326</t>
  </si>
  <si>
    <t>Wallingford RD</t>
  </si>
  <si>
    <t>e020028</t>
  </si>
  <si>
    <t>J04001336</t>
  </si>
  <si>
    <t>Wantage RD</t>
  </si>
  <si>
    <t>e020029</t>
  </si>
  <si>
    <t>J04001337</t>
  </si>
  <si>
    <t>Wantage UD</t>
  </si>
  <si>
    <t>e020018</t>
  </si>
  <si>
    <t>J04001436</t>
  </si>
  <si>
    <t>Witney RD</t>
  </si>
  <si>
    <t>e290878</t>
  </si>
  <si>
    <t>J04001437</t>
  </si>
  <si>
    <t>Witney UD</t>
  </si>
  <si>
    <t>e290871</t>
  </si>
  <si>
    <t>J04001448</t>
  </si>
  <si>
    <t>Woodstock MB</t>
  </si>
  <si>
    <t>e290872</t>
  </si>
  <si>
    <t>J04000059</t>
  </si>
  <si>
    <t>Atcham RD</t>
  </si>
  <si>
    <t>Shropshire</t>
  </si>
  <si>
    <t>e310890</t>
  </si>
  <si>
    <t>Shrewsbury and Atcha</t>
  </si>
  <si>
    <t>J04000152</t>
  </si>
  <si>
    <t>Bishops Castle MB</t>
  </si>
  <si>
    <t>e310893</t>
  </si>
  <si>
    <t>South Shropshire</t>
  </si>
  <si>
    <t>Merged into Clun and Bishop's castle in 1967</t>
  </si>
  <si>
    <t>J04000199</t>
  </si>
  <si>
    <t>Bridgnorth MB</t>
  </si>
  <si>
    <t>e310891</t>
  </si>
  <si>
    <t>Merged into Bridgnorth</t>
  </si>
  <si>
    <t>J04000200</t>
  </si>
  <si>
    <t>Bridgnorth RD</t>
  </si>
  <si>
    <t>J04000317</t>
  </si>
  <si>
    <t>Church Stretton UD</t>
  </si>
  <si>
    <t>e310894</t>
  </si>
  <si>
    <t>Merged into Ludlow</t>
  </si>
  <si>
    <t>J04000331</t>
  </si>
  <si>
    <t>Clun RD</t>
  </si>
  <si>
    <t>J04000390</t>
  </si>
  <si>
    <t>Dawley UD</t>
  </si>
  <si>
    <t>e310883</t>
  </si>
  <si>
    <t>J04000425</t>
  </si>
  <si>
    <t>Drayton RD</t>
  </si>
  <si>
    <t>e310895</t>
  </si>
  <si>
    <t>North Shropshire</t>
  </si>
  <si>
    <t>Merged into Market Drayton RD 1966</t>
  </si>
  <si>
    <t>J04000468</t>
  </si>
  <si>
    <t>Ellesmere RD</t>
  </si>
  <si>
    <t>e310896</t>
  </si>
  <si>
    <t>Merged into North Shropshire RD in 1967</t>
  </si>
  <si>
    <t>J04000469</t>
  </si>
  <si>
    <t>Ellesmere UD</t>
  </si>
  <si>
    <t>J04000787</t>
  </si>
  <si>
    <t>Ludlow MB</t>
  </si>
  <si>
    <t>J04000788</t>
  </si>
  <si>
    <t>Ludlow RD</t>
  </si>
  <si>
    <t>J04000828</t>
  </si>
  <si>
    <t>Market Drayton UD</t>
  </si>
  <si>
    <t>J04000911</t>
  </si>
  <si>
    <t>Newport UD</t>
  </si>
  <si>
    <t>e310885</t>
  </si>
  <si>
    <t>J04000945</t>
  </si>
  <si>
    <t>Oakengates UD</t>
  </si>
  <si>
    <t>e310886</t>
  </si>
  <si>
    <t>J04000961</t>
  </si>
  <si>
    <t>Oswestry MB</t>
  </si>
  <si>
    <t>e310897</t>
  </si>
  <si>
    <t>Merged into Oswestry</t>
  </si>
  <si>
    <t>J04000962</t>
  </si>
  <si>
    <t>Oswestry RD</t>
  </si>
  <si>
    <t>J04001134</t>
  </si>
  <si>
    <t>Shifnal RD</t>
  </si>
  <si>
    <t>e310898</t>
  </si>
  <si>
    <t>J04001140</t>
  </si>
  <si>
    <t>Shrewsbury MB</t>
  </si>
  <si>
    <t>e310887</t>
  </si>
  <si>
    <t>J04001363</t>
  </si>
  <si>
    <t>Wellington RD</t>
  </si>
  <si>
    <t>e310900</t>
  </si>
  <si>
    <t>J04001365</t>
  </si>
  <si>
    <t>Wellington UD</t>
  </si>
  <si>
    <t>e310888</t>
  </si>
  <si>
    <t>J04001374</t>
  </si>
  <si>
    <t>Wem RD</t>
  </si>
  <si>
    <t>J04001375</t>
  </si>
  <si>
    <t>Wem UD</t>
  </si>
  <si>
    <t>J04001377</t>
  </si>
  <si>
    <t>Wenlock MB</t>
  </si>
  <si>
    <t>J04001401</t>
  </si>
  <si>
    <t>Whitchurch UD</t>
  </si>
  <si>
    <t>J04000201</t>
  </si>
  <si>
    <t>Bridgwater MB</t>
  </si>
  <si>
    <t>e320903</t>
  </si>
  <si>
    <t>J04000202</t>
  </si>
  <si>
    <t>Bridgwater RD</t>
  </si>
  <si>
    <t>e320926</t>
  </si>
  <si>
    <t>J04000238</t>
  </si>
  <si>
    <t>Burnham-on-Sea UD</t>
  </si>
  <si>
    <t>e320904</t>
  </si>
  <si>
    <t>J04000281</t>
  </si>
  <si>
    <t>Chard MB</t>
  </si>
  <si>
    <t>e320905</t>
  </si>
  <si>
    <t>South Somerset</t>
  </si>
  <si>
    <t>J04000282</t>
  </si>
  <si>
    <t>Chard RD</t>
  </si>
  <si>
    <t>e320927</t>
  </si>
  <si>
    <t>J04000362</t>
  </si>
  <si>
    <t>Crewkerne UD</t>
  </si>
  <si>
    <t>e320907</t>
  </si>
  <si>
    <t>J04000435</t>
  </si>
  <si>
    <t>Dulverton RD</t>
  </si>
  <si>
    <t>e320929</t>
  </si>
  <si>
    <t>West Somerset</t>
  </si>
  <si>
    <t>J04000519</t>
  </si>
  <si>
    <t>Frome RD</t>
  </si>
  <si>
    <t>e320930</t>
  </si>
  <si>
    <t>Mendip</t>
  </si>
  <si>
    <t>J04000520</t>
  </si>
  <si>
    <t>Frome UD</t>
  </si>
  <si>
    <t>e320908</t>
  </si>
  <si>
    <t>J04000533</t>
  </si>
  <si>
    <t>Glastonbury MB</t>
  </si>
  <si>
    <t>e320909</t>
  </si>
  <si>
    <t>J04000669</t>
  </si>
  <si>
    <t>Ilminster UD</t>
  </si>
  <si>
    <t>e320910</t>
  </si>
  <si>
    <t>J04000721</t>
  </si>
  <si>
    <t>Langport RD</t>
  </si>
  <si>
    <t>e320931</t>
  </si>
  <si>
    <t>J04000860</t>
  </si>
  <si>
    <t>Minehead UD</t>
  </si>
  <si>
    <t>e320912</t>
  </si>
  <si>
    <t>J04001129</t>
  </si>
  <si>
    <t>Shepton Mallet RD</t>
  </si>
  <si>
    <t>e320933</t>
  </si>
  <si>
    <t>J04001130</t>
  </si>
  <si>
    <t>Shepton Mallet UD</t>
  </si>
  <si>
    <t>e320915</t>
  </si>
  <si>
    <t>J04001223</t>
  </si>
  <si>
    <t>Street UD</t>
  </si>
  <si>
    <t>e320916</t>
  </si>
  <si>
    <t>J04001251</t>
  </si>
  <si>
    <t>Taunton MB</t>
  </si>
  <si>
    <t>e320917</t>
  </si>
  <si>
    <t>Taunton Deane</t>
  </si>
  <si>
    <t>J04001252</t>
  </si>
  <si>
    <t>Taunton RD</t>
  </si>
  <si>
    <t>e320934</t>
  </si>
  <si>
    <t>J04001352</t>
  </si>
  <si>
    <t>Watchet UD</t>
  </si>
  <si>
    <t>e320918</t>
  </si>
  <si>
    <t>J04001364</t>
  </si>
  <si>
    <t>e320935</t>
  </si>
  <si>
    <t>J04001366</t>
  </si>
  <si>
    <t>e320919</t>
  </si>
  <si>
    <t>J04001368</t>
  </si>
  <si>
    <t>Wells RD</t>
  </si>
  <si>
    <t>e320936</t>
  </si>
  <si>
    <t>J04001369</t>
  </si>
  <si>
    <t>Wells, City of MB</t>
  </si>
  <si>
    <t>e320920</t>
  </si>
  <si>
    <t>J04001415</t>
  </si>
  <si>
    <t>Williton RD</t>
  </si>
  <si>
    <t>e320937</t>
  </si>
  <si>
    <t>J04001421</t>
  </si>
  <si>
    <t>Wincanton RD</t>
  </si>
  <si>
    <t>e320938</t>
  </si>
  <si>
    <t>J04001463</t>
  </si>
  <si>
    <t>Yeovil MB</t>
  </si>
  <si>
    <t>e320922</t>
  </si>
  <si>
    <t>J04001464</t>
  </si>
  <si>
    <t>Yeovil RD</t>
  </si>
  <si>
    <t>e320939</t>
  </si>
  <si>
    <t>J04000017</t>
  </si>
  <si>
    <t>Adwick le Street UD</t>
  </si>
  <si>
    <t>South Yorkshire</t>
  </si>
  <si>
    <t>e461210</t>
  </si>
  <si>
    <t>J04000087</t>
  </si>
  <si>
    <t>Barnsley CB</t>
  </si>
  <si>
    <t>e461199</t>
  </si>
  <si>
    <t>J04000124</t>
  </si>
  <si>
    <t>Bentley with Arksey UD</t>
  </si>
  <si>
    <t>e461215</t>
  </si>
  <si>
    <t>J04000343</t>
  </si>
  <si>
    <t>Conisbrough UD</t>
  </si>
  <si>
    <t>e461220</t>
  </si>
  <si>
    <t>J04000374</t>
  </si>
  <si>
    <t>Cudworth UD</t>
  </si>
  <si>
    <t>e461221</t>
  </si>
  <si>
    <t>J04000379</t>
  </si>
  <si>
    <t>Darfield UD</t>
  </si>
  <si>
    <t>e461222</t>
  </si>
  <si>
    <t>J04000386</t>
  </si>
  <si>
    <t>Darton UD</t>
  </si>
  <si>
    <t>e461223</t>
  </si>
  <si>
    <t>J04000393</t>
  </si>
  <si>
    <t>Dearne UD</t>
  </si>
  <si>
    <t>e461224</t>
  </si>
  <si>
    <t>J04000411</t>
  </si>
  <si>
    <t>Dodworth UD</t>
  </si>
  <si>
    <t>e461227</t>
  </si>
  <si>
    <t>J04000414</t>
  </si>
  <si>
    <t>Doncaster CB</t>
  </si>
  <si>
    <t>e461202</t>
  </si>
  <si>
    <t>J04000415</t>
  </si>
  <si>
    <t>Doncaster RD</t>
  </si>
  <si>
    <t>e461279</t>
  </si>
  <si>
    <t>J04000655</t>
  </si>
  <si>
    <t>Hoyland Nether UD</t>
  </si>
  <si>
    <t>e461240</t>
  </si>
  <si>
    <t>J04000709</t>
  </si>
  <si>
    <t>Kiveton Park RD</t>
  </si>
  <si>
    <t>e461284</t>
  </si>
  <si>
    <t>J04000817</t>
  </si>
  <si>
    <t>Maltby UD</t>
  </si>
  <si>
    <t>e461246</t>
  </si>
  <si>
    <t>J04000851</t>
  </si>
  <si>
    <t>Mexborough UD</t>
  </si>
  <si>
    <t>e461248</t>
  </si>
  <si>
    <t>J04000977</t>
  </si>
  <si>
    <t>Penistone RD</t>
  </si>
  <si>
    <t>e461288</t>
  </si>
  <si>
    <t>J04000978</t>
  </si>
  <si>
    <t>Penistone UD</t>
  </si>
  <si>
    <t>e461254</t>
  </si>
  <si>
    <t>J04001033</t>
  </si>
  <si>
    <t>Rawmarsh UD</t>
  </si>
  <si>
    <t>e461258</t>
  </si>
  <si>
    <t>J04001067</t>
  </si>
  <si>
    <t>Rotherham CB</t>
  </si>
  <si>
    <t>e461206</t>
  </si>
  <si>
    <t>J04001068</t>
  </si>
  <si>
    <t>Rotherham RD</t>
  </si>
  <si>
    <t>e461290</t>
  </si>
  <si>
    <t>J04001075</t>
  </si>
  <si>
    <t>e461262</t>
  </si>
  <si>
    <t>J04001126</t>
  </si>
  <si>
    <t>Sheffield, City of CB</t>
  </si>
  <si>
    <t>e461207</t>
  </si>
  <si>
    <t>J04001209</t>
  </si>
  <si>
    <t>Stocksbridge UD</t>
  </si>
  <si>
    <t>e461271</t>
  </si>
  <si>
    <t>J04001246</t>
  </si>
  <si>
    <t>Swinton UD</t>
  </si>
  <si>
    <t>e461272</t>
  </si>
  <si>
    <t>J04001272</t>
  </si>
  <si>
    <t>Thorne RD</t>
  </si>
  <si>
    <t>e461300</t>
  </si>
  <si>
    <t>J04001276</t>
  </si>
  <si>
    <t>Tickhill UD</t>
  </si>
  <si>
    <t>e461273</t>
  </si>
  <si>
    <t>J04001356</t>
  </si>
  <si>
    <t>Wath upon Dearne UD</t>
  </si>
  <si>
    <t>e461275</t>
  </si>
  <si>
    <t>J04001444</t>
  </si>
  <si>
    <t>Wombwell UD</t>
  </si>
  <si>
    <t>e461276</t>
  </si>
  <si>
    <t>J04001454</t>
  </si>
  <si>
    <t>Worsbrough UD</t>
  </si>
  <si>
    <t>e461277</t>
  </si>
  <si>
    <t>J04001458</t>
  </si>
  <si>
    <t>Wortley RD</t>
  </si>
  <si>
    <t>e461305</t>
  </si>
  <si>
    <t>J04000138</t>
  </si>
  <si>
    <t>Biddulph UD</t>
  </si>
  <si>
    <t>Staffordshire</t>
  </si>
  <si>
    <t>e330947</t>
  </si>
  <si>
    <t>J04000243</t>
  </si>
  <si>
    <t>Burton upon Trent CB</t>
  </si>
  <si>
    <t>e330940</t>
  </si>
  <si>
    <t>J04000258</t>
  </si>
  <si>
    <t>Cannock RD</t>
  </si>
  <si>
    <t>e330958</t>
  </si>
  <si>
    <t>J04000259</t>
  </si>
  <si>
    <t>Cannock UD</t>
  </si>
  <si>
    <t>e330948</t>
  </si>
  <si>
    <t>J04000287</t>
  </si>
  <si>
    <t>Cheadle RD</t>
  </si>
  <si>
    <t>e330959</t>
  </si>
  <si>
    <t>J04000693</t>
  </si>
  <si>
    <t>Kidsgrove UD</t>
  </si>
  <si>
    <t>e330949</t>
  </si>
  <si>
    <t>J04000728</t>
  </si>
  <si>
    <t>Leek RD</t>
  </si>
  <si>
    <t>e330960</t>
  </si>
  <si>
    <t>J04000729</t>
  </si>
  <si>
    <t>Leek UD</t>
  </si>
  <si>
    <t>e330950</t>
  </si>
  <si>
    <t>J04000744</t>
  </si>
  <si>
    <t>Lichfield RD</t>
  </si>
  <si>
    <t>e330961</t>
  </si>
  <si>
    <t>J04000745</t>
  </si>
  <si>
    <t>Lichfield, City and County of MB</t>
  </si>
  <si>
    <t>e330951</t>
  </si>
  <si>
    <t>J04000900</t>
  </si>
  <si>
    <t>Newcastle under Lyme MB</t>
  </si>
  <si>
    <t>e330952</t>
  </si>
  <si>
    <t>J04000901</t>
  </si>
  <si>
    <t>Newcastle under Lyme RD</t>
  </si>
  <si>
    <t>e330962</t>
  </si>
  <si>
    <t>J04001079</t>
  </si>
  <si>
    <t>Rugeley UD</t>
  </si>
  <si>
    <t>e330953</t>
  </si>
  <si>
    <t>J04001117</t>
  </si>
  <si>
    <t>Seisdon RD</t>
  </si>
  <si>
    <t>e330963</t>
  </si>
  <si>
    <t>J04001196</t>
  </si>
  <si>
    <t>Stafford MB</t>
  </si>
  <si>
    <t>e330954</t>
  </si>
  <si>
    <t>J04001197</t>
  </si>
  <si>
    <t>Stafford RD</t>
  </si>
  <si>
    <t>e330967</t>
  </si>
  <si>
    <t>J04001213</t>
  </si>
  <si>
    <t>Stoke on Trent, City of CB</t>
  </si>
  <si>
    <t>e330942</t>
  </si>
  <si>
    <t>J04001215</t>
  </si>
  <si>
    <t>Stone RD</t>
  </si>
  <si>
    <t>e330968</t>
  </si>
  <si>
    <t>J04001216</t>
  </si>
  <si>
    <t>Stone UD</t>
  </si>
  <si>
    <t>e330955</t>
  </si>
  <si>
    <t>J04001248</t>
  </si>
  <si>
    <t>Tamworth MB</t>
  </si>
  <si>
    <t>e330956</t>
  </si>
  <si>
    <t>Merged into Tamworth</t>
  </si>
  <si>
    <t>J04001249</t>
  </si>
  <si>
    <t>Tamworth RD</t>
  </si>
  <si>
    <t>J04001302</t>
  </si>
  <si>
    <t>Tutbury RD</t>
  </si>
  <si>
    <t>e330969</t>
  </si>
  <si>
    <t>J04001314</t>
  </si>
  <si>
    <t>Uttoxeter RD</t>
  </si>
  <si>
    <t>e330970</t>
  </si>
  <si>
    <t>J04001315</t>
  </si>
  <si>
    <t>Uttoxeter UD</t>
  </si>
  <si>
    <t>e330957</t>
  </si>
  <si>
    <t>J04000021</t>
  </si>
  <si>
    <t>Aldeburgh MB</t>
  </si>
  <si>
    <t>Suffolk</t>
  </si>
  <si>
    <t>e340972</t>
  </si>
  <si>
    <t>J04000108</t>
  </si>
  <si>
    <t>Beccles MB</t>
  </si>
  <si>
    <t>e340973</t>
  </si>
  <si>
    <t>J04000167</t>
  </si>
  <si>
    <t>Blyth RD</t>
  </si>
  <si>
    <t>e340984</t>
  </si>
  <si>
    <t>J04000235</t>
  </si>
  <si>
    <t>Bungay UD</t>
  </si>
  <si>
    <t>e340974</t>
  </si>
  <si>
    <t>J04000245</t>
  </si>
  <si>
    <t>Bury St. Edmunds MB</t>
  </si>
  <si>
    <t>e350991</t>
  </si>
  <si>
    <t>St. Edmundsbury</t>
  </si>
  <si>
    <t>J04000323</t>
  </si>
  <si>
    <t>Clare RD</t>
  </si>
  <si>
    <t>e350996</t>
  </si>
  <si>
    <t>J04000350</t>
  </si>
  <si>
    <t>Cosford RD</t>
  </si>
  <si>
    <t>e350998</t>
  </si>
  <si>
    <t>Babergh</t>
  </si>
  <si>
    <t>J04000394</t>
  </si>
  <si>
    <t>Deben RD</t>
  </si>
  <si>
    <t>e340985</t>
  </si>
  <si>
    <t>J04000488</t>
  </si>
  <si>
    <t>Eye MB</t>
  </si>
  <si>
    <t>e340975</t>
  </si>
  <si>
    <t>Mid Suffolk</t>
  </si>
  <si>
    <t>J04000498</t>
  </si>
  <si>
    <t>Felixstowe UD</t>
  </si>
  <si>
    <t>e340976</t>
  </si>
  <si>
    <t>J04000531</t>
  </si>
  <si>
    <t>Gipping RD</t>
  </si>
  <si>
    <t>e340986</t>
  </si>
  <si>
    <t>J04000561</t>
  </si>
  <si>
    <t>Hadleigh UD</t>
  </si>
  <si>
    <t>e350992</t>
  </si>
  <si>
    <t>J04000565</t>
  </si>
  <si>
    <t>Halesworth UD</t>
  </si>
  <si>
    <t>e340977</t>
  </si>
  <si>
    <t>J04000578</t>
  </si>
  <si>
    <t>Hartismere RD</t>
  </si>
  <si>
    <t>e340987</t>
  </si>
  <si>
    <t>J04000589</t>
  </si>
  <si>
    <t>Haverhill UD</t>
  </si>
  <si>
    <t>e350993</t>
  </si>
  <si>
    <t>J04000671</t>
  </si>
  <si>
    <t>Ipswich CB</t>
  </si>
  <si>
    <t>e340971</t>
  </si>
  <si>
    <t>J04000734</t>
  </si>
  <si>
    <t>Leiston cum Sizewell UD</t>
  </si>
  <si>
    <t>e340978</t>
  </si>
  <si>
    <t>J04000782</t>
  </si>
  <si>
    <t>Lothingland RD</t>
  </si>
  <si>
    <t>e340988</t>
  </si>
  <si>
    <t>J04000786</t>
  </si>
  <si>
    <t>Lowestoft MB</t>
  </si>
  <si>
    <t>e340979</t>
  </si>
  <si>
    <t>J04000841</t>
  </si>
  <si>
    <t>Melford RD</t>
  </si>
  <si>
    <t>e350999</t>
  </si>
  <si>
    <t>J04000856</t>
  </si>
  <si>
    <t>Mildenhall RD</t>
  </si>
  <si>
    <t>e351000</t>
  </si>
  <si>
    <t>Forest Heath</t>
  </si>
  <si>
    <t>J04000906</t>
  </si>
  <si>
    <t>Newmarket UD</t>
  </si>
  <si>
    <t>e350994</t>
  </si>
  <si>
    <t>J04001099</t>
  </si>
  <si>
    <t>Samford RD</t>
  </si>
  <si>
    <t>e340989</t>
  </si>
  <si>
    <t>J04001105</t>
  </si>
  <si>
    <t>Saxmundham UD</t>
  </si>
  <si>
    <t>e340980</t>
  </si>
  <si>
    <t>J04001172</t>
  </si>
  <si>
    <t>Southwold MB</t>
  </si>
  <si>
    <t>e340981</t>
  </si>
  <si>
    <t>J04001219</t>
  </si>
  <si>
    <t>Stowmarket UD</t>
  </si>
  <si>
    <t>e340982</t>
  </si>
  <si>
    <t>J04001229</t>
  </si>
  <si>
    <t>Sudbury MB</t>
  </si>
  <si>
    <t>e350995</t>
  </si>
  <si>
    <t>J04001266</t>
  </si>
  <si>
    <t>Thedwastre RD</t>
  </si>
  <si>
    <t>e351002</t>
  </si>
  <si>
    <t>J04001268</t>
  </si>
  <si>
    <t>Thingoe RD</t>
  </si>
  <si>
    <t>e351003</t>
  </si>
  <si>
    <t>J04001321</t>
  </si>
  <si>
    <t>Wainford RD</t>
  </si>
  <si>
    <t>e340990</t>
  </si>
  <si>
    <t>J04001446</t>
  </si>
  <si>
    <t>Woodbridge UD</t>
  </si>
  <si>
    <t>e340983</t>
  </si>
  <si>
    <t>J04000069</t>
  </si>
  <si>
    <t>Bagshot RD</t>
  </si>
  <si>
    <t>e361022</t>
  </si>
  <si>
    <t>J04000078</t>
  </si>
  <si>
    <t>Banstead UD</t>
  </si>
  <si>
    <t>e361004</t>
  </si>
  <si>
    <t>J04000274</t>
  </si>
  <si>
    <t>Caterham and Warlingham UD</t>
  </si>
  <si>
    <t>e361005</t>
  </si>
  <si>
    <t>Tandridge</t>
  </si>
  <si>
    <t>J04000295</t>
  </si>
  <si>
    <t>Chertsey UD</t>
  </si>
  <si>
    <t>e361006</t>
  </si>
  <si>
    <t>Runnymede</t>
  </si>
  <si>
    <t>J04000419</t>
  </si>
  <si>
    <t>Dorking and Horley RD</t>
  </si>
  <si>
    <t>e361023</t>
  </si>
  <si>
    <t>J04000420</t>
  </si>
  <si>
    <t>Dorking UD</t>
  </si>
  <si>
    <t>e361007</t>
  </si>
  <si>
    <t>J04000464</t>
  </si>
  <si>
    <t>Egham UD</t>
  </si>
  <si>
    <t>e361008</t>
  </si>
  <si>
    <t>Surrey Heath</t>
  </si>
  <si>
    <t>J04000477</t>
  </si>
  <si>
    <t>Epsom and Ewell MB</t>
  </si>
  <si>
    <t>e361009</t>
  </si>
  <si>
    <t>J04000480</t>
  </si>
  <si>
    <t>Esher UD</t>
  </si>
  <si>
    <t>e361010</t>
  </si>
  <si>
    <t>Elmbridge</t>
  </si>
  <si>
    <t>J04000494</t>
  </si>
  <si>
    <t>Farnham UD</t>
  </si>
  <si>
    <t>e361011</t>
  </si>
  <si>
    <t>Waverley</t>
  </si>
  <si>
    <t>J04000517</t>
  </si>
  <si>
    <t>Frimley and Camberley UD</t>
  </si>
  <si>
    <t>e361012</t>
  </si>
  <si>
    <t>J04000539</t>
  </si>
  <si>
    <t>Godalming MB</t>
  </si>
  <si>
    <t>e361013</t>
  </si>
  <si>
    <t>J04000540</t>
  </si>
  <si>
    <t>Godstone RD</t>
  </si>
  <si>
    <t>e361026</t>
  </si>
  <si>
    <t>J04000556</t>
  </si>
  <si>
    <t>Guildford MB</t>
  </si>
  <si>
    <t>e361014</t>
  </si>
  <si>
    <t>J04000557</t>
  </si>
  <si>
    <t>Guildford RD</t>
  </si>
  <si>
    <t>e361027</t>
  </si>
  <si>
    <t>J04000571</t>
  </si>
  <si>
    <t>Hambledon RD</t>
  </si>
  <si>
    <t>e361028</t>
  </si>
  <si>
    <t>J04000582</t>
  </si>
  <si>
    <t>Haslemere UD</t>
  </si>
  <si>
    <t>e361015</t>
  </si>
  <si>
    <t>J04000724</t>
  </si>
  <si>
    <t>Leatherhead UD</t>
  </si>
  <si>
    <t>e361016</t>
  </si>
  <si>
    <t>J04001040</t>
  </si>
  <si>
    <t>Reigate MB</t>
  </si>
  <si>
    <t>e361017</t>
  </si>
  <si>
    <t>J04001198</t>
  </si>
  <si>
    <t>Staines UD</t>
  </si>
  <si>
    <t>e361018</t>
  </si>
  <si>
    <t>Spelthorne</t>
  </si>
  <si>
    <t>J04001230</t>
  </si>
  <si>
    <t>Sunbury on Thames UD</t>
  </si>
  <si>
    <t>e361019</t>
  </si>
  <si>
    <t>J04001332</t>
  </si>
  <si>
    <t>Walton and Weybridge UD</t>
  </si>
  <si>
    <t>e361020</t>
  </si>
  <si>
    <t>J04001439</t>
  </si>
  <si>
    <t>Woking UD</t>
  </si>
  <si>
    <t>e361021</t>
  </si>
  <si>
    <t>J04000163</t>
  </si>
  <si>
    <t>Blaydon UD</t>
  </si>
  <si>
    <t>Tyne And Wear</t>
  </si>
  <si>
    <t>e110267</t>
  </si>
  <si>
    <t>J04000170</t>
  </si>
  <si>
    <t>Boldon UD</t>
  </si>
  <si>
    <t>e110268</t>
  </si>
  <si>
    <t>South Tyneside</t>
  </si>
  <si>
    <t>J04000499</t>
  </si>
  <si>
    <t>Felling UD</t>
  </si>
  <si>
    <t>e110274</t>
  </si>
  <si>
    <t>J04000528</t>
  </si>
  <si>
    <t>Gateshead CB</t>
  </si>
  <si>
    <t>e110261</t>
  </si>
  <si>
    <t>J04000544</t>
  </si>
  <si>
    <t>Gosforth UD</t>
  </si>
  <si>
    <t>e270822</t>
  </si>
  <si>
    <t>J04000597</t>
  </si>
  <si>
    <t>Hebburn UD</t>
  </si>
  <si>
    <t>e110275</t>
  </si>
  <si>
    <t>J04000617</t>
  </si>
  <si>
    <t>Hetton UD</t>
  </si>
  <si>
    <t>e110276</t>
  </si>
  <si>
    <t>J04000651</t>
  </si>
  <si>
    <t>Houghton le Spring UD</t>
  </si>
  <si>
    <t>e110277</t>
  </si>
  <si>
    <t>J04000678</t>
  </si>
  <si>
    <t>Jarrow MB</t>
  </si>
  <si>
    <t>e110279</t>
  </si>
  <si>
    <t>J04000777</t>
  </si>
  <si>
    <t>Longbenton UD</t>
  </si>
  <si>
    <t>e270824</t>
  </si>
  <si>
    <t>J04000895</t>
  </si>
  <si>
    <t>Newburn UD</t>
  </si>
  <si>
    <t>e270827</t>
  </si>
  <si>
    <t>J04000902</t>
  </si>
  <si>
    <t>Newcastle upon Tyne, City and County of CB</t>
  </si>
  <si>
    <t>e270813</t>
  </si>
  <si>
    <t>J04001088</t>
  </si>
  <si>
    <t>Ryton UD</t>
  </si>
  <si>
    <t>e110280</t>
  </si>
  <si>
    <t>J04001160</t>
  </si>
  <si>
    <t>South Shields CB</t>
  </si>
  <si>
    <t>e110263</t>
  </si>
  <si>
    <t>J04001231</t>
  </si>
  <si>
    <t>Sunderland CB</t>
  </si>
  <si>
    <t>e110264</t>
  </si>
  <si>
    <t>J04001232</t>
  </si>
  <si>
    <t>Sunderland RD</t>
  </si>
  <si>
    <t>Annexed into Sunderland CB</t>
  </si>
  <si>
    <t>J04001306</t>
  </si>
  <si>
    <t>Tynemouth CB</t>
  </si>
  <si>
    <t>e270815</t>
  </si>
  <si>
    <t>J04001327</t>
  </si>
  <si>
    <t>Wallsend MB</t>
  </si>
  <si>
    <t>e270830</t>
  </si>
  <si>
    <t>J04001351</t>
  </si>
  <si>
    <t>Washington UD</t>
  </si>
  <si>
    <t>e110287</t>
  </si>
  <si>
    <t>J04001397</t>
  </si>
  <si>
    <t>Whickham UD</t>
  </si>
  <si>
    <t>e110289</t>
  </si>
  <si>
    <t>J04001404</t>
  </si>
  <si>
    <t>Whitley Bay MB</t>
  </si>
  <si>
    <t>e270831</t>
  </si>
  <si>
    <t>J04000020</t>
  </si>
  <si>
    <t>Alcester RD</t>
  </si>
  <si>
    <t>Warwickshire</t>
  </si>
  <si>
    <t>e391077</t>
  </si>
  <si>
    <t>Stratford on Avon</t>
  </si>
  <si>
    <t>J04000060</t>
  </si>
  <si>
    <t>Atherstone RD</t>
  </si>
  <si>
    <t>e391079</t>
  </si>
  <si>
    <t>J04000117</t>
  </si>
  <si>
    <t>Bedworth UD</t>
  </si>
  <si>
    <t>e391069</t>
  </si>
  <si>
    <t>Nuneaton and Bedwort</t>
  </si>
  <si>
    <t>J04000683</t>
  </si>
  <si>
    <t>Kenilworth UD</t>
  </si>
  <si>
    <t>e391070</t>
  </si>
  <si>
    <t>J04000943</t>
  </si>
  <si>
    <t>Nuneaton MB</t>
  </si>
  <si>
    <t>e391071</t>
  </si>
  <si>
    <t>J04001072</t>
  </si>
  <si>
    <t>Royal Leamington Spa MB</t>
  </si>
  <si>
    <t>e391072</t>
  </si>
  <si>
    <t>J04001077</t>
  </si>
  <si>
    <t>Rugby MB</t>
  </si>
  <si>
    <t>e391073</t>
  </si>
  <si>
    <t>J04001078</t>
  </si>
  <si>
    <t>Rugby RD</t>
  </si>
  <si>
    <t>e391084</t>
  </si>
  <si>
    <t>J04001137</t>
  </si>
  <si>
    <t>Shipston on Stour RD</t>
  </si>
  <si>
    <t>e391085</t>
  </si>
  <si>
    <t>J04001163</t>
  </si>
  <si>
    <t>Southam RD</t>
  </si>
  <si>
    <t>e391086</t>
  </si>
  <si>
    <t>J04001220</t>
  </si>
  <si>
    <t>Stratford upon Avon MB</t>
  </si>
  <si>
    <t>e391087</t>
  </si>
  <si>
    <t>J04001221</t>
  </si>
  <si>
    <t>Stratford-on-Avon RD</t>
  </si>
  <si>
    <t>e391074</t>
  </si>
  <si>
    <t>J04001349</t>
  </si>
  <si>
    <t>Warwick MB</t>
  </si>
  <si>
    <t>e391076</t>
  </si>
  <si>
    <t>J04001350</t>
  </si>
  <si>
    <t>Warwick RD</t>
  </si>
  <si>
    <t>e391089</t>
  </si>
  <si>
    <t>J04000024</t>
  </si>
  <si>
    <t>Aldridge UD</t>
  </si>
  <si>
    <t>e330946</t>
  </si>
  <si>
    <t>Merged into Aldridge-Brownhills in 1966</t>
  </si>
  <si>
    <t>J04000036</t>
  </si>
  <si>
    <t>Amblecote UD</t>
  </si>
  <si>
    <t>e330941</t>
  </si>
  <si>
    <t>Split between Dudley and Stourbridge 1966</t>
  </si>
  <si>
    <t>J04000146</t>
  </si>
  <si>
    <t>Bilston MB</t>
  </si>
  <si>
    <t>e330945</t>
  </si>
  <si>
    <t>Split between Wolverhampton and Walsall 1966</t>
  </si>
  <si>
    <t>J04000150</t>
  </si>
  <si>
    <t>Birmingham, City of CB</t>
  </si>
  <si>
    <t>e391064</t>
  </si>
  <si>
    <t>J04000208</t>
  </si>
  <si>
    <t>Brierley Hill UD</t>
  </si>
  <si>
    <t>Merged into Dudley 1966</t>
  </si>
  <si>
    <t>J04000223</t>
  </si>
  <si>
    <t>Brownhills UD</t>
  </si>
  <si>
    <t>J04000349</t>
  </si>
  <si>
    <t>Coseley UD</t>
  </si>
  <si>
    <t>Split between Wolverhampton and Dudley 1966</t>
  </si>
  <si>
    <t>J04000352</t>
  </si>
  <si>
    <t>Coventry, City of CB</t>
  </si>
  <si>
    <t>e391067</t>
  </si>
  <si>
    <t>J04000380</t>
  </si>
  <si>
    <t>Darlaston UD</t>
  </si>
  <si>
    <t>e330943</t>
  </si>
  <si>
    <t>J04000433</t>
  </si>
  <si>
    <t>Dudley CB</t>
  </si>
  <si>
    <t>J04000564</t>
  </si>
  <si>
    <t>Halesowen MB</t>
  </si>
  <si>
    <t>e431133</t>
  </si>
  <si>
    <t>J04000848</t>
  </si>
  <si>
    <t>Meriden RD</t>
  </si>
  <si>
    <t>e391080</t>
  </si>
  <si>
    <t>J04000953</t>
  </si>
  <si>
    <t>Oldbury MB</t>
  </si>
  <si>
    <t>e431127</t>
  </si>
  <si>
    <t>J04001071</t>
  </si>
  <si>
    <t>Rowley Regis MB</t>
  </si>
  <si>
    <t>J04001116</t>
  </si>
  <si>
    <t>Sedgley UD</t>
  </si>
  <si>
    <t>J04001152</t>
  </si>
  <si>
    <t>Smethwick CB</t>
  </si>
  <si>
    <t>J04001154</t>
  </si>
  <si>
    <t>Solihull MB</t>
  </si>
  <si>
    <t>e391068</t>
  </si>
  <si>
    <t>Some potential losses to Stratford on Avon RD</t>
  </si>
  <si>
    <t>J04001217</t>
  </si>
  <si>
    <t>Stourbridge MB</t>
  </si>
  <si>
    <t>e431138</t>
  </si>
  <si>
    <t>J04001235</t>
  </si>
  <si>
    <t>Sutton Coldfield MB</t>
  </si>
  <si>
    <t>e391075</t>
  </si>
  <si>
    <t>J04001263</t>
  </si>
  <si>
    <t>Tettenhall UD</t>
  </si>
  <si>
    <t>J04001278</t>
  </si>
  <si>
    <t>Tipton MB</t>
  </si>
  <si>
    <t>e330944</t>
  </si>
  <si>
    <t>J04001328</t>
  </si>
  <si>
    <t>Walsall CB</t>
  </si>
  <si>
    <t>J04001359</t>
  </si>
  <si>
    <t>Wednesbury MB</t>
  </si>
  <si>
    <t>Split between West Bromwich and Walsall 1966</t>
  </si>
  <si>
    <t>J04001360</t>
  </si>
  <si>
    <t>Wednesfield UD</t>
  </si>
  <si>
    <t>J04001381</t>
  </si>
  <si>
    <t>West Bromwich CB</t>
  </si>
  <si>
    <t>J04001413</t>
  </si>
  <si>
    <t>Willenhall UD</t>
  </si>
  <si>
    <t>J04001442</t>
  </si>
  <si>
    <t>Wolverhampton CB</t>
  </si>
  <si>
    <t>J04000047</t>
  </si>
  <si>
    <t>Arundel MB</t>
  </si>
  <si>
    <t>West Sussex</t>
  </si>
  <si>
    <t>e381049</t>
  </si>
  <si>
    <t>J04000169</t>
  </si>
  <si>
    <t>Bognor Regis UD</t>
  </si>
  <si>
    <t>e381050</t>
  </si>
  <si>
    <t>J04000236</t>
  </si>
  <si>
    <t>Burgess hill UD</t>
  </si>
  <si>
    <t>e371033</t>
  </si>
  <si>
    <t>J04000279</t>
  </si>
  <si>
    <t>Chanctonbury RD</t>
  </si>
  <si>
    <t>e381058</t>
  </si>
  <si>
    <t>J04000305</t>
  </si>
  <si>
    <t>Chichester City MB</t>
  </si>
  <si>
    <t>e381051</t>
  </si>
  <si>
    <t>J04000306</t>
  </si>
  <si>
    <t>Chichester RD</t>
  </si>
  <si>
    <t>e381059</t>
  </si>
  <si>
    <t>J04000357</t>
  </si>
  <si>
    <t>Crawley UD</t>
  </si>
  <si>
    <t>e381052</t>
  </si>
  <si>
    <t>J04000372</t>
  </si>
  <si>
    <t>Cuckfield RD</t>
  </si>
  <si>
    <t>e371044</t>
  </si>
  <si>
    <t>J04000373</t>
  </si>
  <si>
    <t>Cuckfield UD</t>
  </si>
  <si>
    <t>e371034</t>
  </si>
  <si>
    <t>J04000450</t>
  </si>
  <si>
    <t>East Grinstead UD</t>
  </si>
  <si>
    <t>e371035</t>
  </si>
  <si>
    <t>J04000648</t>
  </si>
  <si>
    <t>Horsham RD</t>
  </si>
  <si>
    <t>e381060</t>
  </si>
  <si>
    <t>J04000649</t>
  </si>
  <si>
    <t>Horsham UD</t>
  </si>
  <si>
    <t>e381053</t>
  </si>
  <si>
    <t>J04000753</t>
  </si>
  <si>
    <t>Littlehampton UD</t>
  </si>
  <si>
    <t>e381054</t>
  </si>
  <si>
    <t>J04000855</t>
  </si>
  <si>
    <t>Midhurst RD</t>
  </si>
  <si>
    <t>e381061</t>
  </si>
  <si>
    <t>J04000991</t>
  </si>
  <si>
    <t>Petworth RD</t>
  </si>
  <si>
    <t>e381062</t>
  </si>
  <si>
    <t>J04001139</t>
  </si>
  <si>
    <t>Shoreham-by-Sea UD</t>
  </si>
  <si>
    <t>e381055</t>
  </si>
  <si>
    <t>J04001171</t>
  </si>
  <si>
    <t>Southwick UD</t>
  </si>
  <si>
    <t>e381056</t>
  </si>
  <si>
    <t>J04001456</t>
  </si>
  <si>
    <t>Worthing MB</t>
  </si>
  <si>
    <t>e381057</t>
  </si>
  <si>
    <t>J04001457</t>
  </si>
  <si>
    <t>Worthing RD</t>
  </si>
  <si>
    <t>e381063</t>
  </si>
  <si>
    <t>J04000019</t>
  </si>
  <si>
    <t>Aireborough UD</t>
  </si>
  <si>
    <t>West Yorkshire</t>
  </si>
  <si>
    <t>e461211</t>
  </si>
  <si>
    <t>J04000070</t>
  </si>
  <si>
    <t>Baildon UD</t>
  </si>
  <si>
    <t>e461212</t>
  </si>
  <si>
    <t>J04000101</t>
  </si>
  <si>
    <t>Batley MB</t>
  </si>
  <si>
    <t>e461214</t>
  </si>
  <si>
    <t>Kirklees</t>
  </si>
  <si>
    <t>J04000148</t>
  </si>
  <si>
    <t>Bingley UD</t>
  </si>
  <si>
    <t>e461216</t>
  </si>
  <si>
    <t>J04000187</t>
  </si>
  <si>
    <t>Bradford, City of CB</t>
  </si>
  <si>
    <t>e461200</t>
  </si>
  <si>
    <t>J04000210</t>
  </si>
  <si>
    <t>Brighouse MB</t>
  </si>
  <si>
    <t>e461217</t>
  </si>
  <si>
    <t>J04000273</t>
  </si>
  <si>
    <t>Castleford MB</t>
  </si>
  <si>
    <t>e461218</t>
  </si>
  <si>
    <t>J04000338</t>
  </si>
  <si>
    <t>Colne Valley UD</t>
  </si>
  <si>
    <t>e461219</t>
  </si>
  <si>
    <t>J04000396</t>
  </si>
  <si>
    <t>Denby Dale UD</t>
  </si>
  <si>
    <t>e461225</t>
  </si>
  <si>
    <t>J04000397</t>
  </si>
  <si>
    <t>Denholme UD</t>
  </si>
  <si>
    <t>e461226</t>
  </si>
  <si>
    <t>J04000407</t>
  </si>
  <si>
    <t>Dewsbury CB</t>
  </si>
  <si>
    <t>e461201</t>
  </si>
  <si>
    <t>J04000466</t>
  </si>
  <si>
    <t>Elland UD</t>
  </si>
  <si>
    <t>e461229</t>
  </si>
  <si>
    <t>J04000497</t>
  </si>
  <si>
    <t>Featherstone UD</t>
  </si>
  <si>
    <t>e461230</t>
  </si>
  <si>
    <t>J04000526</t>
  </si>
  <si>
    <t>Garforth UD</t>
  </si>
  <si>
    <t>e461231</t>
  </si>
  <si>
    <t>J04000566</t>
  </si>
  <si>
    <t>Halifax CB</t>
  </si>
  <si>
    <t>e461203</t>
  </si>
  <si>
    <t>J04000598</t>
  </si>
  <si>
    <t>Hebden Royd UD</t>
  </si>
  <si>
    <t>e461234</t>
  </si>
  <si>
    <t>J04000599</t>
  </si>
  <si>
    <t>Heckmondwike UD</t>
  </si>
  <si>
    <t>e461235</t>
  </si>
  <si>
    <t>J04000605</t>
  </si>
  <si>
    <t>Hemsworth RD</t>
  </si>
  <si>
    <t>e461281</t>
  </si>
  <si>
    <t>J04000606</t>
  </si>
  <si>
    <t>Hemsworth UD</t>
  </si>
  <si>
    <t>e461236</t>
  </si>
  <si>
    <t>J04000610</t>
  </si>
  <si>
    <t>Hepton RD</t>
  </si>
  <si>
    <t>e461283</t>
  </si>
  <si>
    <t>J04000633</t>
  </si>
  <si>
    <t>Holmfirth UD</t>
  </si>
  <si>
    <t>e461237</t>
  </si>
  <si>
    <t>J04000641</t>
  </si>
  <si>
    <t>Horbury UD</t>
  </si>
  <si>
    <t>e461238</t>
  </si>
  <si>
    <t>J04000647</t>
  </si>
  <si>
    <t>Horsforth UD</t>
  </si>
  <si>
    <t>e461239</t>
  </si>
  <si>
    <t>J04000657</t>
  </si>
  <si>
    <t>Huddersfield CB</t>
  </si>
  <si>
    <t>e461204</t>
  </si>
  <si>
    <t>J04000668</t>
  </si>
  <si>
    <t>Ilkley UD</t>
  </si>
  <si>
    <t>e461241</t>
  </si>
  <si>
    <t>J04000680</t>
  </si>
  <si>
    <t>Keighley MB</t>
  </si>
  <si>
    <t>e461242</t>
  </si>
  <si>
    <t>J04000704</t>
  </si>
  <si>
    <t>Kirkburton UD</t>
  </si>
  <si>
    <t>e461243</t>
  </si>
  <si>
    <t>J04000713</t>
  </si>
  <si>
    <t>Knottingley UD</t>
  </si>
  <si>
    <t>e461245</t>
  </si>
  <si>
    <t>J04000727</t>
  </si>
  <si>
    <t>Leeds, City of CB</t>
  </si>
  <si>
    <t>e461205</t>
  </si>
  <si>
    <t>J04000843</t>
  </si>
  <si>
    <t>Meltham UD</t>
  </si>
  <si>
    <t>e461247</t>
  </si>
  <si>
    <t>J04000861</t>
  </si>
  <si>
    <t>Mirfield UD</t>
  </si>
  <si>
    <t>e461249</t>
  </si>
  <si>
    <t>J04000869</t>
  </si>
  <si>
    <t>Morley MB</t>
  </si>
  <si>
    <t>e461250</t>
  </si>
  <si>
    <t>J04000922</t>
  </si>
  <si>
    <t>Normanton UD</t>
  </si>
  <si>
    <t>e461251</t>
  </si>
  <si>
    <t>J04000959</t>
  </si>
  <si>
    <t>Ossett MB</t>
  </si>
  <si>
    <t>e461252</t>
  </si>
  <si>
    <t>J04000963</t>
  </si>
  <si>
    <t>Otley UD</t>
  </si>
  <si>
    <t>e461253</t>
  </si>
  <si>
    <t>J04001000</t>
  </si>
  <si>
    <t>Pontefract MB</t>
  </si>
  <si>
    <t>e461255</t>
  </si>
  <si>
    <t>J04001023</t>
  </si>
  <si>
    <t>Pudsey MB</t>
  </si>
  <si>
    <t>e461256</t>
  </si>
  <si>
    <t>J04001026</t>
  </si>
  <si>
    <t>Queensbury and Shelf UD</t>
  </si>
  <si>
    <t>e461257</t>
  </si>
  <si>
    <t>J04001054</t>
  </si>
  <si>
    <t>Ripponden UD</t>
  </si>
  <si>
    <t>e461260</t>
  </si>
  <si>
    <t>J04001070</t>
  </si>
  <si>
    <t>e461261</t>
  </si>
  <si>
    <t>J04001136</t>
  </si>
  <si>
    <t>Shipley UD</t>
  </si>
  <si>
    <t>e461265</t>
  </si>
  <si>
    <t>J04001142</t>
  </si>
  <si>
    <t>Silsden UD</t>
  </si>
  <si>
    <t>e461266</t>
  </si>
  <si>
    <t>J04001173</t>
  </si>
  <si>
    <t>Sowerby Bridge UD</t>
  </si>
  <si>
    <t>e461268</t>
  </si>
  <si>
    <t>J04001176</t>
  </si>
  <si>
    <t>Spenborough MB</t>
  </si>
  <si>
    <t>e461269</t>
  </si>
  <si>
    <t>J04001203</t>
  </si>
  <si>
    <t>e461270</t>
  </si>
  <si>
    <t>J04001281</t>
  </si>
  <si>
    <t>Todmorden MB</t>
  </si>
  <si>
    <t>e461274</t>
  </si>
  <si>
    <t>J04001322</t>
  </si>
  <si>
    <t>Wakefield RD</t>
  </si>
  <si>
    <t>e461301</t>
  </si>
  <si>
    <t>J04001323</t>
  </si>
  <si>
    <t>Wakefield, City of CB</t>
  </si>
  <si>
    <t>e461208</t>
  </si>
  <si>
    <t>J04001393</t>
  </si>
  <si>
    <t>Wetherby RD</t>
  </si>
  <si>
    <t>e461302</t>
  </si>
  <si>
    <t>J04000038</t>
  </si>
  <si>
    <t>Amesbury RD</t>
  </si>
  <si>
    <t>Wiltshire</t>
  </si>
  <si>
    <t>e421115</t>
  </si>
  <si>
    <t>Salisbury</t>
  </si>
  <si>
    <t>J04000185</t>
  </si>
  <si>
    <t>Bradford and Melksham RD</t>
  </si>
  <si>
    <t>e421116</t>
  </si>
  <si>
    <t>West Wiltshire</t>
  </si>
  <si>
    <t>J04000186</t>
  </si>
  <si>
    <t>Bradford on Avon UD</t>
  </si>
  <si>
    <t>e421102</t>
  </si>
  <si>
    <t>J04000252</t>
  </si>
  <si>
    <t>Calne and Chippenham RD</t>
  </si>
  <si>
    <t>e421117</t>
  </si>
  <si>
    <t>J04000253</t>
  </si>
  <si>
    <t>Calne MB</t>
  </si>
  <si>
    <t>e421103</t>
  </si>
  <si>
    <t>J04000309</t>
  </si>
  <si>
    <t>Chippenham MB</t>
  </si>
  <si>
    <t>e421104</t>
  </si>
  <si>
    <t>J04000365</t>
  </si>
  <si>
    <t>Cricklade and Wootton Bassett RD</t>
  </si>
  <si>
    <t>e421118</t>
  </si>
  <si>
    <t>J04000405</t>
  </si>
  <si>
    <t>Devizes MB</t>
  </si>
  <si>
    <t>e421105</t>
  </si>
  <si>
    <t>J04000406</t>
  </si>
  <si>
    <t>Devizes RD</t>
  </si>
  <si>
    <t>e421119</t>
  </si>
  <si>
    <t>J04000623</t>
  </si>
  <si>
    <t>Highworth RD</t>
  </si>
  <si>
    <t>e421120</t>
  </si>
  <si>
    <t>J04000815</t>
  </si>
  <si>
    <t>Malmesbury MB</t>
  </si>
  <si>
    <t>e421106</t>
  </si>
  <si>
    <t>J04000816</t>
  </si>
  <si>
    <t>Malmesbury RD</t>
  </si>
  <si>
    <t>e421121</t>
  </si>
  <si>
    <t>J04000832</t>
  </si>
  <si>
    <t>Marlborough and Ramsbury RD</t>
  </si>
  <si>
    <t>e421122</t>
  </si>
  <si>
    <t>J04000833</t>
  </si>
  <si>
    <t>Marlborough MB</t>
  </si>
  <si>
    <t>e421107</t>
  </si>
  <si>
    <t>J04000842</t>
  </si>
  <si>
    <t>Melksham UD</t>
  </si>
  <si>
    <t>e421108</t>
  </si>
  <si>
    <t>J04000847</t>
  </si>
  <si>
    <t>Mere and Tisbury RD</t>
  </si>
  <si>
    <t>e421123</t>
  </si>
  <si>
    <t>J04000992</t>
  </si>
  <si>
    <t>Pewsey RD</t>
  </si>
  <si>
    <t>e421124</t>
  </si>
  <si>
    <t>J04001095</t>
  </si>
  <si>
    <t>Salisbury (or New Sarum), City of MB</t>
  </si>
  <si>
    <t>e421109</t>
  </si>
  <si>
    <t>J04001096</t>
  </si>
  <si>
    <t>Salisbury and Wilton RD</t>
  </si>
  <si>
    <t>e421125</t>
  </si>
  <si>
    <t>J04001244</t>
  </si>
  <si>
    <t>Swindon MB</t>
  </si>
  <si>
    <t>e421110</t>
  </si>
  <si>
    <t>J04001298</t>
  </si>
  <si>
    <t>Trowbridge UD</t>
  </si>
  <si>
    <t>e421111</t>
  </si>
  <si>
    <t>J04001343</t>
  </si>
  <si>
    <t>Warminster and Westbury RD</t>
  </si>
  <si>
    <t>e421126</t>
  </si>
  <si>
    <t>J04001344</t>
  </si>
  <si>
    <t>Warminster UD</t>
  </si>
  <si>
    <t>e421112</t>
  </si>
  <si>
    <t>J04001389</t>
  </si>
  <si>
    <t>Westbury UD</t>
  </si>
  <si>
    <t>e421113</t>
  </si>
  <si>
    <t>J04001417</t>
  </si>
  <si>
    <t>Wilton MB</t>
  </si>
  <si>
    <t>e421114</t>
  </si>
  <si>
    <t>MB</t>
  </si>
  <si>
    <t>Type of authority</t>
  </si>
  <si>
    <t>CB</t>
  </si>
  <si>
    <t>UD</t>
  </si>
  <si>
    <t>Concat Name</t>
  </si>
  <si>
    <t>Woolwich</t>
  </si>
  <si>
    <t>Bath, city of</t>
  </si>
  <si>
    <t>Birmingham, city of</t>
  </si>
  <si>
    <t>Bradford, city of</t>
  </si>
  <si>
    <t>Bristol, city and county of</t>
  </si>
  <si>
    <t>Burton upon Trent</t>
  </si>
  <si>
    <t>Canterbury, city and county of</t>
  </si>
  <si>
    <t>Carlisle, city of</t>
  </si>
  <si>
    <t>Chester, city and county of</t>
  </si>
  <si>
    <t>Coventry, city of</t>
  </si>
  <si>
    <t>Exeter, city and county of</t>
  </si>
  <si>
    <t>Gloucester, city and county of</t>
  </si>
  <si>
    <t>Kingston upon Hull, city and county of</t>
  </si>
  <si>
    <t>Leeds, city of</t>
  </si>
  <si>
    <t>Leicester, city of</t>
  </si>
  <si>
    <t>Lincoln, city and county of</t>
  </si>
  <si>
    <t>Liverpool, city of</t>
  </si>
  <si>
    <t>Manchester, city of</t>
  </si>
  <si>
    <t>Newcastle upon Tyne, city and county of</t>
  </si>
  <si>
    <t>Norwich, city and county of</t>
  </si>
  <si>
    <t>Nottingham, city and county of</t>
  </si>
  <si>
    <t>Oxford, city of</t>
  </si>
  <si>
    <t>Plymouth, city of</t>
  </si>
  <si>
    <t>Portsmouth, city of</t>
  </si>
  <si>
    <t>Salford, city of</t>
  </si>
  <si>
    <t>Sheffield, city of</t>
  </si>
  <si>
    <t>Southampton, city of</t>
  </si>
  <si>
    <t>Stoke on Trent, city of</t>
  </si>
  <si>
    <t>Wakefield, city of</t>
  </si>
  <si>
    <t>York, city and county of</t>
  </si>
  <si>
    <t>Worcester, city and county of</t>
  </si>
  <si>
    <t>BEDFORD</t>
  </si>
  <si>
    <t>Cambridge, city of</t>
  </si>
  <si>
    <t>Bude-Stratton</t>
  </si>
  <si>
    <t>Dartmouth</t>
  </si>
  <si>
    <t>Poole, county of a town</t>
  </si>
  <si>
    <t>Durham, city of</t>
  </si>
  <si>
    <t>Stockton on Tees</t>
  </si>
  <si>
    <t>Chester le Street</t>
  </si>
  <si>
    <t>Houghton le Spring</t>
  </si>
  <si>
    <t xml:space="preserve">Rating area of  </t>
  </si>
  <si>
    <t xml:space="preserve">Non County Boroughs </t>
  </si>
  <si>
    <t>Burnham on Crouch</t>
  </si>
  <si>
    <t>Ross on Wye</t>
  </si>
  <si>
    <t>Sandown Shanklin</t>
  </si>
  <si>
    <t>Ashton under Lyne</t>
  </si>
  <si>
    <t>Ashton in Makerfield</t>
  </si>
  <si>
    <t>Clayton le Moors</t>
  </si>
  <si>
    <t>Dalton in Furness</t>
  </si>
  <si>
    <t>Huyton with Roby</t>
  </si>
  <si>
    <t>Ince in Makerfield</t>
  </si>
  <si>
    <t>Poulton le Fylde</t>
  </si>
  <si>
    <t>Standish with Langtree</t>
  </si>
  <si>
    <t>Walton le Dale</t>
  </si>
  <si>
    <t>Ashby de la Zouch</t>
  </si>
  <si>
    <t>Barton upon Humber</t>
  </si>
  <si>
    <t>Ruislip Northwood</t>
  </si>
  <si>
    <t>Sunbury on Thames</t>
  </si>
  <si>
    <t>Wells next the Sea</t>
  </si>
  <si>
    <t>Newbiggin by the Sea</t>
  </si>
  <si>
    <t>Kirkby in Ashfield</t>
  </si>
  <si>
    <t>Sutton in Ashfield</t>
  </si>
  <si>
    <t>Norton Radstock</t>
  </si>
  <si>
    <t>Newcastle under Lyme</t>
  </si>
  <si>
    <t>Leiston cum Sizewell</t>
  </si>
  <si>
    <t>Stratford upon Avon</t>
  </si>
  <si>
    <t>Bradford on Avon</t>
  </si>
  <si>
    <t>Thornaby on Tees</t>
  </si>
  <si>
    <t>Adwick le Street</t>
  </si>
  <si>
    <t>Bentley with Arksey</t>
  </si>
  <si>
    <t>Wath upon Dearne</t>
  </si>
  <si>
    <t>Ilkeston</t>
  </si>
  <si>
    <t>Hereford, city of</t>
  </si>
  <si>
    <t>Bishops Stortford</t>
  </si>
  <si>
    <t>Cheshunt</t>
  </si>
  <si>
    <t>Gillingham</t>
  </si>
  <si>
    <t>Rochester, city of</t>
  </si>
  <si>
    <t>Royal Tunbridge Wells</t>
  </si>
  <si>
    <t>Broadstairs and St. Peters</t>
  </si>
  <si>
    <t>Lancaster, city of</t>
  </si>
  <si>
    <t>Lytham St. Annes</t>
  </si>
  <si>
    <t>Potters Bar</t>
  </si>
  <si>
    <t>Eastwood</t>
  </si>
  <si>
    <t>Mansfield Woodhouse</t>
  </si>
  <si>
    <t>Henley on Thames</t>
  </si>
  <si>
    <t>Bishops Castle</t>
  </si>
  <si>
    <t>Wells, city of</t>
  </si>
  <si>
    <t>Winchester, city of</t>
  </si>
  <si>
    <t>Kingston upon Thames (Royal Borough)</t>
  </si>
  <si>
    <t>Chichester city</t>
  </si>
  <si>
    <t>Crawley</t>
  </si>
  <si>
    <t>Salisbury (or New Sarum), city of</t>
  </si>
  <si>
    <t>Saltburn and Marske-by-the-Sea</t>
  </si>
  <si>
    <t>Ripon, city of</t>
  </si>
  <si>
    <t>RD</t>
  </si>
  <si>
    <t>wokingham</t>
  </si>
  <si>
    <t>Chapel en le Frith</t>
  </si>
  <si>
    <t>Barrow upon Soar</t>
  </si>
  <si>
    <t>Shipston on Stour</t>
  </si>
  <si>
    <t>Upton upon Severn</t>
  </si>
  <si>
    <t>South East Derbyshire</t>
  </si>
  <si>
    <t>Hatfield</t>
  </si>
  <si>
    <t>Cranbrook</t>
  </si>
  <si>
    <t>North Lonsdale</t>
  </si>
  <si>
    <t>St. Faiths and Aylsham</t>
  </si>
  <si>
    <t>Oundle and Thrapston</t>
  </si>
  <si>
    <t>Ringwood and Fordingbridge</t>
  </si>
  <si>
    <t>Kirkby Moorside</t>
  </si>
  <si>
    <t>OG NAME</t>
  </si>
  <si>
    <t>EDITED NAME</t>
  </si>
  <si>
    <t>1971 CODE</t>
  </si>
  <si>
    <t>61 CODE</t>
  </si>
  <si>
    <t>Stepney</t>
  </si>
  <si>
    <t>TABLE H</t>
  </si>
  <si>
    <t>April, 1956-Administrative Countries</t>
  </si>
  <si>
    <t>Rateable value of</t>
  </si>
  <si>
    <t>NAME OF ADMINISTRATIVE COUNTRIES</t>
  </si>
  <si>
    <t>Industrial hereditaments apportioned between industrial purposes and non-industrial purposes</t>
  </si>
  <si>
    <t>Freight-transport hereditaments apportioned between transport purposes and non-transport purposes</t>
  </si>
  <si>
    <t>Other hereditaments</t>
  </si>
  <si>
    <t>Value of property occupied by or on behalf of the Crown for public purposes upon which contributions in lieu of rates are paid</t>
  </si>
  <si>
    <t>Totals</t>
  </si>
  <si>
    <t>ENGLAND</t>
  </si>
  <si>
    <t>Non-County Boroughs</t>
  </si>
  <si>
    <t>Rural Districts</t>
  </si>
  <si>
    <t>LONDON:</t>
  </si>
  <si>
    <t>City of London and Metropolitan Boroughs</t>
  </si>
  <si>
    <t>SUFFFOLK, EAST:</t>
  </si>
  <si>
    <t>SUFFOLLK, WEST:</t>
  </si>
  <si>
    <t>Westmorland:</t>
  </si>
  <si>
    <t>YOR, NORTH RIDNG:</t>
  </si>
  <si>
    <t>WALES</t>
  </si>
  <si>
    <t>ANGLESEY:</t>
  </si>
  <si>
    <t>BRECKNOCK:</t>
  </si>
  <si>
    <t>CAENARVON:</t>
  </si>
  <si>
    <t>CARDIGAN:</t>
  </si>
  <si>
    <t>CARMARTHEN:</t>
  </si>
  <si>
    <t>DENBIGH:</t>
  </si>
  <si>
    <t>FLINT:</t>
  </si>
  <si>
    <t>GLAMORGAN:</t>
  </si>
  <si>
    <t>MERIONETH:</t>
  </si>
  <si>
    <t>MONMOUTH:</t>
  </si>
  <si>
    <t>MONTGOMERY:</t>
  </si>
  <si>
    <t>PEMBROKE:</t>
  </si>
  <si>
    <t>RADNOR:</t>
  </si>
  <si>
    <t>Cardiff</t>
  </si>
  <si>
    <t>Merthyr Tedfil</t>
  </si>
  <si>
    <t>Swansea</t>
  </si>
  <si>
    <t>Proportion heriditaments 'other'</t>
  </si>
  <si>
    <t>Hatfield Part in Met. Police District</t>
  </si>
  <si>
    <t>Hatfield Part outside Met. Police District</t>
  </si>
  <si>
    <t>Watford Part in Met. Police District</t>
  </si>
  <si>
    <t>Watford Part outside Met. Police District</t>
  </si>
  <si>
    <t>TOTALS FOR ENGLAND AND WALES</t>
  </si>
  <si>
    <t xml:space="preserve">County Boroughs </t>
  </si>
  <si>
    <t>Other heriditaments ratio</t>
  </si>
  <si>
    <t>Other heriditaments estimate</t>
  </si>
  <si>
    <t>Total amount in the pound of the local rates 1955-56</t>
  </si>
  <si>
    <t>Total amount in the pound of the local rates1956-57</t>
  </si>
  <si>
    <t>Total amount in the pound of all the local rates levied during 1956 57 in the parish (or part of the parish) having the Highest rate in the pound</t>
  </si>
  <si>
    <t>Total amount in the pound of all the local rates levied during 1956 57 in the parish (or part of the parish) having the Lowest rate in the pound</t>
  </si>
  <si>
    <t>Rateable Value Valuation in force in April, 1956</t>
  </si>
  <si>
    <t>Rateable Value Increase per cent (April, 1956, compared with April, 1955)</t>
  </si>
  <si>
    <t>Amount of rates estimated to be collected per head of population 1956-57</t>
  </si>
  <si>
    <t>Amount of rates estimated to be collected per head of population Increase(+) or decrease(-) per cent (1956-57 compared with (1955-56)</t>
  </si>
  <si>
    <t>Malling</t>
  </si>
  <si>
    <t>Hunstanton</t>
  </si>
  <si>
    <t>Kings Lynn</t>
  </si>
  <si>
    <t>Burton Latimer</t>
  </si>
  <si>
    <t xml:space="preserve"> Oundle and Thrapston</t>
  </si>
  <si>
    <t>Lichfield, city and county of</t>
  </si>
  <si>
    <t>Bilston</t>
  </si>
  <si>
    <t>Royal Leamington Spa</t>
  </si>
  <si>
    <t>Warminster and Westbury</t>
  </si>
  <si>
    <t>AXBRIDGE R.D.</t>
  </si>
  <si>
    <t>BATH C.B.</t>
  </si>
  <si>
    <t>BATHAVON R.D.</t>
  </si>
  <si>
    <t>BRISTOL C.B.</t>
  </si>
  <si>
    <t>CLEVEDON U.D.</t>
  </si>
  <si>
    <t>CLUTTON R.D.</t>
  </si>
  <si>
    <t>KEYNSHAM U.D.</t>
  </si>
  <si>
    <t>KINGSWOOD U.D.</t>
  </si>
  <si>
    <t>LONG ASHTON R.D.</t>
  </si>
  <si>
    <t>MANGOTSFIELD U.D.</t>
  </si>
  <si>
    <t>NORTON-RADSTOCK U.D.</t>
  </si>
  <si>
    <t>PORTISHEAD U.D.</t>
  </si>
  <si>
    <t>SODBURY R.D.</t>
  </si>
  <si>
    <t>THORNBURY R.D.</t>
  </si>
  <si>
    <t>WARMLEY R.D.</t>
  </si>
  <si>
    <t>WESTON-SUPER-MARE M.B.</t>
  </si>
  <si>
    <t>AMPTHILL R.D.</t>
  </si>
  <si>
    <t>AMPTHILL U.D.</t>
  </si>
  <si>
    <t>BEDFORD M.B.</t>
  </si>
  <si>
    <t>BEDFORD R.D.</t>
  </si>
  <si>
    <t>BIGGLESWADE R.D.</t>
  </si>
  <si>
    <t>BIGGLESWADE U.D.</t>
  </si>
  <si>
    <t>LUTON C.B.</t>
  </si>
  <si>
    <t>KEMPSTON U.D.</t>
  </si>
  <si>
    <t>LEIGHTON-LINSLADE U.D.</t>
  </si>
  <si>
    <t>SANDY U.D.</t>
  </si>
  <si>
    <t>BRADFIELD R.D.</t>
  </si>
  <si>
    <t>COOKHAM R.D.</t>
  </si>
  <si>
    <t>EASTHAMPSTEAD R.D.</t>
  </si>
  <si>
    <t>ETON U.D.</t>
  </si>
  <si>
    <t>HUNGERFORD R.D.</t>
  </si>
  <si>
    <t>MAIDENHEAD M.B.</t>
  </si>
  <si>
    <t>NEW WINDSOR M.B.</t>
  </si>
  <si>
    <t>NEWBURY M.B.</t>
  </si>
  <si>
    <t>NEWBURY R.D.</t>
  </si>
  <si>
    <t>READING C.B.</t>
  </si>
  <si>
    <t>SLOUGH M.B.</t>
  </si>
  <si>
    <t>WINDSOR R.D.</t>
  </si>
  <si>
    <t>WOKINGHAM M.B.</t>
  </si>
  <si>
    <t>WOKINGHAM R.D.</t>
  </si>
  <si>
    <t>AMERSHAM R.D.</t>
  </si>
  <si>
    <t>AYLESBURY M.B.</t>
  </si>
  <si>
    <t>AYLESBURY R.D.</t>
  </si>
  <si>
    <t>BEACONSFIELD U.D.</t>
  </si>
  <si>
    <t>BLETCHLEY U.D.</t>
  </si>
  <si>
    <t>BUCKINGHAM M.B.</t>
  </si>
  <si>
    <t>BUCKINGHAM R.D.</t>
  </si>
  <si>
    <t>CHESHAM U.D.</t>
  </si>
  <si>
    <t>ETON R.D.</t>
  </si>
  <si>
    <t>HIGH WYCOMBE M.B.</t>
  </si>
  <si>
    <t>MARLOW U.D.</t>
  </si>
  <si>
    <t>NEWPORT PAGNELL R.D.</t>
  </si>
  <si>
    <t>NEWPORT PAGNELL U.D.</t>
  </si>
  <si>
    <t>WING R.D.</t>
  </si>
  <si>
    <t>WINSLOW R.D.</t>
  </si>
  <si>
    <t>WOLVERTON U.D.</t>
  </si>
  <si>
    <t>WYCOMBE R.D.</t>
  </si>
  <si>
    <t>BARNACK R.D.</t>
  </si>
  <si>
    <t>CAMBRIDGE M.B.</t>
  </si>
  <si>
    <t>CHATTERIS U.D.</t>
  </si>
  <si>
    <t>CHESTERTON R.D.</t>
  </si>
  <si>
    <t>ELY R.D.</t>
  </si>
  <si>
    <t>ELY U.D.</t>
  </si>
  <si>
    <t>HUNTINGDON AND GODMANCHESTER M.B.</t>
  </si>
  <si>
    <t>HUNTINGDON R.D.</t>
  </si>
  <si>
    <t>MARCH U.D.</t>
  </si>
  <si>
    <t>NEWMARKET R.D.</t>
  </si>
  <si>
    <t>NORMAN CROSS R.D.</t>
  </si>
  <si>
    <t>NORTH WITCHFORD R.D.</t>
  </si>
  <si>
    <t>OLD FLETTON U.D.</t>
  </si>
  <si>
    <t>PETERBOROUGH R.D.</t>
  </si>
  <si>
    <t>PETERBOROUGH M.B.</t>
  </si>
  <si>
    <t>RAMSEY U.D.</t>
  </si>
  <si>
    <t>SOUTH CAMBRIDGESHIRE R.D.</t>
  </si>
  <si>
    <t>ST. IVES M.B.</t>
  </si>
  <si>
    <t>ST. IVES R.D.</t>
  </si>
  <si>
    <t>ST. NEOTS R.D.</t>
  </si>
  <si>
    <t>ST. NEOTS U.D.</t>
  </si>
  <si>
    <t>THORNEY R.D.</t>
  </si>
  <si>
    <t>WHITTLESEY U.D.</t>
  </si>
  <si>
    <t>WISBECH M.B.</t>
  </si>
  <si>
    <t>WISBECH R.D.</t>
  </si>
  <si>
    <t>ALDERLEY EDGE U.D.</t>
  </si>
  <si>
    <t>ALSAGER U.D.</t>
  </si>
  <si>
    <t>BOLLINGTON U.D.</t>
  </si>
  <si>
    <t>BUCKLOW R.D.</t>
  </si>
  <si>
    <t>CHESTER R.D.</t>
  </si>
  <si>
    <t>CHESTER C.B.</t>
  </si>
  <si>
    <t>CONGLETON M.B.</t>
  </si>
  <si>
    <t>CONGLETON R.D.</t>
  </si>
  <si>
    <t>CREWE M.B.</t>
  </si>
  <si>
    <t>DISLEY R.D.</t>
  </si>
  <si>
    <t>ELLESMERE PORT M.B.</t>
  </si>
  <si>
    <t>KNUTSFORD U.D.</t>
  </si>
  <si>
    <t>LYMM U.D.</t>
  </si>
  <si>
    <t>MACCLESFIELD M.B.</t>
  </si>
  <si>
    <t>MACCLESFIELD R.D.</t>
  </si>
  <si>
    <t>MIDDLEWICH U.D.</t>
  </si>
  <si>
    <t>NANTWICH R.D.</t>
  </si>
  <si>
    <t>NANTWICH U.D.</t>
  </si>
  <si>
    <t>NESTON U.D.</t>
  </si>
  <si>
    <t>NORTHWICH R.D.</t>
  </si>
  <si>
    <t>NORTHWICH U.D.</t>
  </si>
  <si>
    <t>RUNCORN R.D.</t>
  </si>
  <si>
    <t>RUNCORN U.D.</t>
  </si>
  <si>
    <t>SANDBACH U.D.</t>
  </si>
  <si>
    <t>TARVIN R.D.</t>
  </si>
  <si>
    <t>WARRINGTON C.B.</t>
  </si>
  <si>
    <t>WARRINGTON R.D.</t>
  </si>
  <si>
    <t>WIDNES M.B.</t>
  </si>
  <si>
    <t>WILMSLOW U.D.</t>
  </si>
  <si>
    <t>WINSFORD U.D.</t>
  </si>
  <si>
    <t>TEESSIDE C.B.</t>
  </si>
  <si>
    <t>GUISBOROUGH U.D.</t>
  </si>
  <si>
    <t>HARTLEPOOL C.B.</t>
  </si>
  <si>
    <t>LOFTUS U.D.</t>
  </si>
  <si>
    <t>SALTBURN AND MARSKE-BY-THE-SEA U.D.</t>
  </si>
  <si>
    <t>SKELTON AND BROTTON U.D.</t>
  </si>
  <si>
    <t>STOCKTON R.D.</t>
  </si>
  <si>
    <t>STOKESLEY R.D.</t>
  </si>
  <si>
    <t>BODMIN M.B.</t>
  </si>
  <si>
    <t>BUDE-STRATTON U.D.</t>
  </si>
  <si>
    <t>CAMBORNE-REDRUTH U.D.</t>
  </si>
  <si>
    <t>CAMELFORD R.D.</t>
  </si>
  <si>
    <t>FALMOUTH M.B.</t>
  </si>
  <si>
    <t>ST.AUSTELL WITH FOWEY M.B.</t>
  </si>
  <si>
    <t>HELSTON M.B.</t>
  </si>
  <si>
    <t>SCILLY,ISLES OF,</t>
  </si>
  <si>
    <t>KERRIER R.D.</t>
  </si>
  <si>
    <t>LAUNCESTON M.B.</t>
  </si>
  <si>
    <t>LAUNCESTON R.D.</t>
  </si>
  <si>
    <t>LISKEARD M.B.</t>
  </si>
  <si>
    <t>LISKEARD R.D.</t>
  </si>
  <si>
    <t>LOOE U.D.</t>
  </si>
  <si>
    <t>ST.AUSTELL R.D.</t>
  </si>
  <si>
    <t>NEWQUAY U.D.</t>
  </si>
  <si>
    <t>WADEBRIDGE AND PADSTOW R.D.</t>
  </si>
  <si>
    <t>PENRYN M.B.</t>
  </si>
  <si>
    <t>PENZANCE M.B.</t>
  </si>
  <si>
    <t>SALTASH M.B.</t>
  </si>
  <si>
    <t>ST.GERMANS R.D.</t>
  </si>
  <si>
    <t>ST.IVES M.B.</t>
  </si>
  <si>
    <t>ST.JUST U.D.</t>
  </si>
  <si>
    <t>STRATTON R.D.</t>
  </si>
  <si>
    <t>TORPOINT U.D.</t>
  </si>
  <si>
    <t>TRURO R.D.</t>
  </si>
  <si>
    <t>TRURO M.B.</t>
  </si>
  <si>
    <t>WEST PENWITH R.D.</t>
  </si>
  <si>
    <t>ALSTON WITH GARRIGILL R.D.</t>
  </si>
  <si>
    <t>APPLEBY M.B.</t>
  </si>
  <si>
    <t>BARROW-IN-FURNESS C.B.</t>
  </si>
  <si>
    <t>BORDER R.D.</t>
  </si>
  <si>
    <t>CARLISLE C.B.</t>
  </si>
  <si>
    <t>COCKERMOUTH R.D.</t>
  </si>
  <si>
    <t>COCKERMOUTH U.D.</t>
  </si>
  <si>
    <t>DALTON-IN-FURNESS U.D.</t>
  </si>
  <si>
    <t>ENNERDALE R.D.</t>
  </si>
  <si>
    <t>GRANGE U.D.</t>
  </si>
  <si>
    <t>KENDAL M.B.</t>
  </si>
  <si>
    <t>KESWICK U.D.</t>
  </si>
  <si>
    <t>LAKES U.D.</t>
  </si>
  <si>
    <t>MARYPORT U.D.</t>
  </si>
  <si>
    <t>MILLOM R.D.</t>
  </si>
  <si>
    <t>NORTH LONSDALE R.D.</t>
  </si>
  <si>
    <t>NORTH WESTMORLAND R.D.</t>
  </si>
  <si>
    <t>PENRITH R.D.</t>
  </si>
  <si>
    <t>PENRITH U.D.</t>
  </si>
  <si>
    <t>SEDBERGH R.D.</t>
  </si>
  <si>
    <t>SOUTH WESTMORLAND R.D.</t>
  </si>
  <si>
    <t>ULVERSTON U.D.</t>
  </si>
  <si>
    <t>WHITEHAVEN M.B.</t>
  </si>
  <si>
    <t>WIGTON R.D.</t>
  </si>
  <si>
    <t>WINDERMERE U.D.</t>
  </si>
  <si>
    <t>WORKINGTON M.B.</t>
  </si>
  <si>
    <t>ALFRETON U.D.</t>
  </si>
  <si>
    <t>ASHBOURNE R.D.</t>
  </si>
  <si>
    <t>ASHBOURNE U.D.</t>
  </si>
  <si>
    <t>BAKEWELL R.D.</t>
  </si>
  <si>
    <t>BAKEWELL U.D.</t>
  </si>
  <si>
    <t>DERBY C.B.</t>
  </si>
  <si>
    <t>BELPER U.D.</t>
  </si>
  <si>
    <t>BLACKWELL R.D.</t>
  </si>
  <si>
    <t>BOLSOVER U.D.</t>
  </si>
  <si>
    <t>BUXTON M.B.</t>
  </si>
  <si>
    <t>CHAPEL EN LE FRITH R.D.</t>
  </si>
  <si>
    <t>CHESTERFIELD M.B.</t>
  </si>
  <si>
    <t>CHESTERFIELD R.D.</t>
  </si>
  <si>
    <t>CLAY CROSS U.D.</t>
  </si>
  <si>
    <t>CLOWNE R.D.</t>
  </si>
  <si>
    <t>DRONFIELD U.D.</t>
  </si>
  <si>
    <t>GLOSSOP M.B.</t>
  </si>
  <si>
    <t>HEANOR U.D.</t>
  </si>
  <si>
    <t>ILKESTON M.B.</t>
  </si>
  <si>
    <t>LONG EATON U.D.</t>
  </si>
  <si>
    <t>MATLOCK U.D.</t>
  </si>
  <si>
    <t>NEW MILLS U.D.</t>
  </si>
  <si>
    <t>RIPLEY U.D.</t>
  </si>
  <si>
    <t>STAVELEY U.D.</t>
  </si>
  <si>
    <t>SWADLINCOTE U.D.</t>
  </si>
  <si>
    <t>TINTWISTLE R.D.</t>
  </si>
  <si>
    <t>WHALEY BRIDGE U.D.</t>
  </si>
  <si>
    <t>WIRKSWORTH U.D.</t>
  </si>
  <si>
    <t>ASHBURTON U.D.</t>
  </si>
  <si>
    <t>AXMINSTER R.D.</t>
  </si>
  <si>
    <t>BARNSTAPLE M.B.</t>
  </si>
  <si>
    <t>BARNSTAPLE R.D.</t>
  </si>
  <si>
    <t>BIDEFORD M.B.</t>
  </si>
  <si>
    <t>BIDEFORD R.D.</t>
  </si>
  <si>
    <t>TORBAY C.B.</t>
  </si>
  <si>
    <t>HOLSWORTHY R.D.</t>
  </si>
  <si>
    <t>BUCKFASTLEIGH U.D.</t>
  </si>
  <si>
    <t>BUDLEIGH SALTERTON U.D.</t>
  </si>
  <si>
    <t>CREDITON R.D.</t>
  </si>
  <si>
    <t>CREDITON U.D.</t>
  </si>
  <si>
    <t>DARTMOUTH M.B.</t>
  </si>
  <si>
    <t>DAWLISH U.D.</t>
  </si>
  <si>
    <t>EXETER C.B.</t>
  </si>
  <si>
    <t>EXMOUTH U.D.</t>
  </si>
  <si>
    <t>GREAT TORRINGTON M.B.</t>
  </si>
  <si>
    <t>HONITON M.B.</t>
  </si>
  <si>
    <t>HONITON R.D.</t>
  </si>
  <si>
    <t>ILFRACOMBE U.D.</t>
  </si>
  <si>
    <t>KINGSBRIDGE R.D.</t>
  </si>
  <si>
    <t>KINGSBRIDGE U.D.</t>
  </si>
  <si>
    <t>LYNTON U.D.</t>
  </si>
  <si>
    <t>NEWTON ABBOT R.D.</t>
  </si>
  <si>
    <t>NEWTON ABBOT U.D.</t>
  </si>
  <si>
    <t>NORTHAM U.D.</t>
  </si>
  <si>
    <t>OKEHAMPTON M.B.</t>
  </si>
  <si>
    <t>OKEHAMPTON R.D.</t>
  </si>
  <si>
    <t>OTTERY ST.MARY U.D.</t>
  </si>
  <si>
    <t>PLYMOUTH C.B.</t>
  </si>
  <si>
    <t>SALCOMBE U.D.</t>
  </si>
  <si>
    <t>SEATON U.D.</t>
  </si>
  <si>
    <t>SIDMOUTH U.D.</t>
  </si>
  <si>
    <t>SOUTH MOLTON R.D.</t>
  </si>
  <si>
    <t>ST.THOMAS R.D.</t>
  </si>
  <si>
    <t>TAVISTOCK R.D.</t>
  </si>
  <si>
    <t>TEIGNMOUTH U.D.</t>
  </si>
  <si>
    <t>TIVERTON M.B.</t>
  </si>
  <si>
    <t>TIVERTON R.D.</t>
  </si>
  <si>
    <t>TORRINGTON R.D.</t>
  </si>
  <si>
    <t>TOTNES M.B.</t>
  </si>
  <si>
    <t>TOTNES R.D.</t>
  </si>
  <si>
    <t>BEAMINSTER R.D.</t>
  </si>
  <si>
    <t>BLANDFORD FORUM M.B.</t>
  </si>
  <si>
    <t>BLANDFORD R.D.</t>
  </si>
  <si>
    <t>BOURNEMOUTH C.B.</t>
  </si>
  <si>
    <t>BRIDPORT M.B.</t>
  </si>
  <si>
    <t>BRIDPORT R.D.</t>
  </si>
  <si>
    <t>CHRISTCHURCH M.B.</t>
  </si>
  <si>
    <t>DORCHESTER M.B.</t>
  </si>
  <si>
    <t>DORCHESTER R.D.</t>
  </si>
  <si>
    <t>LYME REGIS M.B.</t>
  </si>
  <si>
    <t>POOLE M.B.</t>
  </si>
  <si>
    <t>PORTLAND U.D.</t>
  </si>
  <si>
    <t>SHAFTESBURY M.B.</t>
  </si>
  <si>
    <t>SHAFTESBURY R.D.</t>
  </si>
  <si>
    <t>SHERBORNE R.D.</t>
  </si>
  <si>
    <t>SHERBORNE U.D.</t>
  </si>
  <si>
    <t>STURMINSTER R.D.</t>
  </si>
  <si>
    <t>SWANAGE U.D.</t>
  </si>
  <si>
    <t>WAREHAM AND PURBECK R.D.</t>
  </si>
  <si>
    <t>WAREHAM M.B.</t>
  </si>
  <si>
    <t>WEYMOUTH AND MELCOMBE REGIS M.B.</t>
  </si>
  <si>
    <t>WIMBORNE AND CRANBORNE R.D.</t>
  </si>
  <si>
    <t>WIMBORNE MINSTER U.D.</t>
  </si>
  <si>
    <t>BARNARD CASTLE R.D.</t>
  </si>
  <si>
    <t>BARNARD CASTLE U.D.</t>
  </si>
  <si>
    <t>BISHOP AUCKLAND U.D.</t>
  </si>
  <si>
    <t>BRANDON AND BYSHOTTLES U.D.</t>
  </si>
  <si>
    <t>CHESTER-LE-STREET R.D.</t>
  </si>
  <si>
    <t>CHESTER-LE-STREET U.D.</t>
  </si>
  <si>
    <t>CONSETT U.D.</t>
  </si>
  <si>
    <t>CROOK AND WILLINGTON U.D.</t>
  </si>
  <si>
    <t>DARLINGTON C.B.</t>
  </si>
  <si>
    <t>DARLINGTON R.D.</t>
  </si>
  <si>
    <t>DURHAM R.D.</t>
  </si>
  <si>
    <t>DURHAM M.B.</t>
  </si>
  <si>
    <t>EASINGTON R.D.</t>
  </si>
  <si>
    <t>LANCHESTER R.D.</t>
  </si>
  <si>
    <t>SEAHAM U.D.</t>
  </si>
  <si>
    <t>SEDGEFIELD R.D.</t>
  </si>
  <si>
    <t>SHILDON U.D.</t>
  </si>
  <si>
    <t>SPENNYMOOR U.D.</t>
  </si>
  <si>
    <t>STANLEY U.D.</t>
  </si>
  <si>
    <t>STARTFORTH R.D.</t>
  </si>
  <si>
    <t>TOW LAW U.D.</t>
  </si>
  <si>
    <t>WEARDALE R.D.</t>
  </si>
  <si>
    <t>BATTLE R.D.</t>
  </si>
  <si>
    <t>BEXHILL M.B.</t>
  </si>
  <si>
    <t>BRIGHTON C.B.</t>
  </si>
  <si>
    <t>CHAILEY R.D.</t>
  </si>
  <si>
    <t>EASTBOURNE C.B.</t>
  </si>
  <si>
    <t>HAILSHAM R.D.</t>
  </si>
  <si>
    <t>HASTINGS C.B.</t>
  </si>
  <si>
    <t>HOVE M.B.</t>
  </si>
  <si>
    <t>LEWES M.B.</t>
  </si>
  <si>
    <t>NEWHAVEN U.D.</t>
  </si>
  <si>
    <t>PORTSLADE-BY-SEA U.D.</t>
  </si>
  <si>
    <t>RYE M.B.</t>
  </si>
  <si>
    <t>SEAFORD U.D.</t>
  </si>
  <si>
    <t>UCKFIELD R.D.</t>
  </si>
  <si>
    <t>BASILDON U.D.</t>
  </si>
  <si>
    <t>BENFLEET U.D.</t>
  </si>
  <si>
    <t>BRAINTREE AND BOCKING U.D.</t>
  </si>
  <si>
    <t>BRAINTREE R.D.</t>
  </si>
  <si>
    <t>BRENTWOOD U.D.</t>
  </si>
  <si>
    <t>BRIGHTLINGSEA U.D.</t>
  </si>
  <si>
    <t>BURNHAM-ON-CROUCH U.D.</t>
  </si>
  <si>
    <t>CANVEY ISLAND U.D.</t>
  </si>
  <si>
    <t>CHELMSFORD M.B.</t>
  </si>
  <si>
    <t>CHELMSFORD R.D.</t>
  </si>
  <si>
    <t>CHIGWELL U.D.</t>
  </si>
  <si>
    <t>CLACTON U.D.</t>
  </si>
  <si>
    <t>COLCHESTER M.B.</t>
  </si>
  <si>
    <t>DUNMOW R.D.</t>
  </si>
  <si>
    <t>EPPING AND ONGAR R.D.</t>
  </si>
  <si>
    <t>EPPING U.D.</t>
  </si>
  <si>
    <t>FRINTON AND WALTON U.D.</t>
  </si>
  <si>
    <t>HALSTEAD R.D.</t>
  </si>
  <si>
    <t>HALSTEAD U.D.</t>
  </si>
  <si>
    <t>HARLOW U.D.</t>
  </si>
  <si>
    <t>HARWICH M.B.</t>
  </si>
  <si>
    <t>LEXDEN AND WINSTREE R.D.</t>
  </si>
  <si>
    <t>MALDON M.B.</t>
  </si>
  <si>
    <t>MALDON R.D.</t>
  </si>
  <si>
    <t>RAYLEIGH U.D.</t>
  </si>
  <si>
    <t>ROCHFORD R.D.</t>
  </si>
  <si>
    <t>SAFFRON WALDEN M.B.</t>
  </si>
  <si>
    <t>SAFFRON WALDEN R.D.</t>
  </si>
  <si>
    <t>SOUTHEND-ON-SEA C.B.</t>
  </si>
  <si>
    <t>TENDRING R.D.</t>
  </si>
  <si>
    <t>THURROCK U.D.</t>
  </si>
  <si>
    <t>WALTHAM HOLY CROSS U.D.</t>
  </si>
  <si>
    <t>WEST MERSEA U.D.</t>
  </si>
  <si>
    <t>WITHAM U.D.</t>
  </si>
  <si>
    <t>WIVENHOE U.D.</t>
  </si>
  <si>
    <t>CHARLTON KINGS U.D.</t>
  </si>
  <si>
    <t>CHELTENHAM M.B.</t>
  </si>
  <si>
    <t>CHELTENHAM R.D.</t>
  </si>
  <si>
    <t>CIRENCESTER R.D.</t>
  </si>
  <si>
    <t>CIRENCESTER U.D.</t>
  </si>
  <si>
    <t>DURSLEY R.D.</t>
  </si>
  <si>
    <t>EAST DEAN R.D.</t>
  </si>
  <si>
    <t>GLOUCESTER C.B.</t>
  </si>
  <si>
    <t>LYDNEY R.D.</t>
  </si>
  <si>
    <t>NAILSWORTH U.D.</t>
  </si>
  <si>
    <t>NEWENT R.D.</t>
  </si>
  <si>
    <t>NORTH COTSWOLD R.D.</t>
  </si>
  <si>
    <t>NORTHLEACH R.D.</t>
  </si>
  <si>
    <t>STROUD R.D.</t>
  </si>
  <si>
    <t>STROUD U.D.</t>
  </si>
  <si>
    <t>TETBURY R.D.</t>
  </si>
  <si>
    <t>TEWKESBURY M.B.</t>
  </si>
  <si>
    <t>WEST DEAN R.D.</t>
  </si>
  <si>
    <t>ABRAM U.D.</t>
  </si>
  <si>
    <t>ALTRINCHAM M.B.</t>
  </si>
  <si>
    <t>ASHTON-IN-MAKERFIELD U.D.</t>
  </si>
  <si>
    <t>ASHTON-UNDER-LYNE M.B.</t>
  </si>
  <si>
    <t>ASPULL U.D.</t>
  </si>
  <si>
    <t>ATHERTON U.D.</t>
  </si>
  <si>
    <t>AUDENSHAW U.D.</t>
  </si>
  <si>
    <t>BILLINGE-AND-WINSTANLEY U.D.</t>
  </si>
  <si>
    <t>BLACKROD U.D.</t>
  </si>
  <si>
    <t>BOLTON C.B.</t>
  </si>
  <si>
    <t>BOWDON U.D.</t>
  </si>
  <si>
    <t>BREDBURY AND ROMILEY U.D.</t>
  </si>
  <si>
    <t>BURY C.B.</t>
  </si>
  <si>
    <t>CHADDERTON U.D.</t>
  </si>
  <si>
    <t>CHEADLE AND GATLEY U.D.</t>
  </si>
  <si>
    <t>CROMPTON U.D.</t>
  </si>
  <si>
    <t>DENTON U.D.</t>
  </si>
  <si>
    <t>DROYLSDEN U.D.</t>
  </si>
  <si>
    <t>DUKINFIELD M.B.</t>
  </si>
  <si>
    <t>ECCLES M.B.</t>
  </si>
  <si>
    <t>FAILSWORTH U.D.</t>
  </si>
  <si>
    <t>FARNWORTH M.B.</t>
  </si>
  <si>
    <t>GOLBORNE U.D.</t>
  </si>
  <si>
    <t>HALE U.D.</t>
  </si>
  <si>
    <t>HAZEL GROVE AND BRAMHALL U.D.</t>
  </si>
  <si>
    <t>HEYWOOD M.B.</t>
  </si>
  <si>
    <t>HINDLEY U.D.</t>
  </si>
  <si>
    <t>HORWICH U.D.</t>
  </si>
  <si>
    <t>HYDE M.B.</t>
  </si>
  <si>
    <t>INCE-IN-MAKERFIELD U.D.</t>
  </si>
  <si>
    <t>IRLAM U.D.</t>
  </si>
  <si>
    <t>KEARSLEY U.D.</t>
  </si>
  <si>
    <t>LEES U.D.</t>
  </si>
  <si>
    <t>LEIGH M.B.</t>
  </si>
  <si>
    <t>LITTLE LEVER U.D.</t>
  </si>
  <si>
    <t>LITTLEBOROUGH U.D.</t>
  </si>
  <si>
    <t>LONGDENDALE U.D.</t>
  </si>
  <si>
    <t>MANCHESTER C.B.</t>
  </si>
  <si>
    <t>MARPLE U.D.</t>
  </si>
  <si>
    <t>MIDDLETON M.B.</t>
  </si>
  <si>
    <t>MILNROW U.D.</t>
  </si>
  <si>
    <t>MOSSLEY M.B.</t>
  </si>
  <si>
    <t>OLDHAM C.B.</t>
  </si>
  <si>
    <t>ORRELL U.D.</t>
  </si>
  <si>
    <t>PRESTWICH M.B.</t>
  </si>
  <si>
    <t>RADCLIFFE M.B.</t>
  </si>
  <si>
    <t>RAMSBOTTOM U.D.</t>
  </si>
  <si>
    <t>ROCHDALE C.B.</t>
  </si>
  <si>
    <t>ROYTON U.D.</t>
  </si>
  <si>
    <t>SADDLEWORTH U.D.</t>
  </si>
  <si>
    <t>SALE M.B.</t>
  </si>
  <si>
    <t>SALFORD C.B.</t>
  </si>
  <si>
    <t>STALYBRIDGE M.B.</t>
  </si>
  <si>
    <t>STANDISH-WITH-LANGTREE U.D.</t>
  </si>
  <si>
    <t>STOCKPORT C.B.</t>
  </si>
  <si>
    <t>STRETFORD M.B.</t>
  </si>
  <si>
    <t>SWINTON AND PENDLEBURY M.B.</t>
  </si>
  <si>
    <t>TOTTINGTON U.D.</t>
  </si>
  <si>
    <t>TURTON U.D.</t>
  </si>
  <si>
    <t>TYLDESLEY U.D.</t>
  </si>
  <si>
    <t>URMSTON U.D.</t>
  </si>
  <si>
    <t>WARDLE U.D.</t>
  </si>
  <si>
    <t>WESTHOUGHTON U.D.</t>
  </si>
  <si>
    <t>WHITEFIELD U.D.</t>
  </si>
  <si>
    <t>WIGAN C.B.</t>
  </si>
  <si>
    <t>WORSLEY U.D.</t>
  </si>
  <si>
    <t>ALDERSHOT M.B.</t>
  </si>
  <si>
    <t>ALTON R.D.</t>
  </si>
  <si>
    <t>ALTON U.D.</t>
  </si>
  <si>
    <t>ANDOVER M.B.</t>
  </si>
  <si>
    <t>ANDOVER R.D.</t>
  </si>
  <si>
    <t>BASINGSTOKE M.B.</t>
  </si>
  <si>
    <t>BASINGSTOKE R.D.</t>
  </si>
  <si>
    <t>DROXFORD R.D.</t>
  </si>
  <si>
    <t>EASTLEIGH M.B.</t>
  </si>
  <si>
    <t>FAREHAM U.D.</t>
  </si>
  <si>
    <t>FARNBOROUGH U.D.</t>
  </si>
  <si>
    <t>FLEET U.D.</t>
  </si>
  <si>
    <t>GOSPORT M.B.</t>
  </si>
  <si>
    <t>HARTLEY WINTNEY R.D.</t>
  </si>
  <si>
    <t>HAVANT AND WATERLOO U.D.</t>
  </si>
  <si>
    <t>KINGSCLERE AND WHITCHURCH R.D.</t>
  </si>
  <si>
    <t>LYMINGTON M.B.</t>
  </si>
  <si>
    <t>NEW FOREST R.D.</t>
  </si>
  <si>
    <t>PETERSFIELD R.D.</t>
  </si>
  <si>
    <t>PETERSFIELD U.D.</t>
  </si>
  <si>
    <t>PORTSMOUTH C.B.</t>
  </si>
  <si>
    <t>RINGWOOD AND FORDINGBRIDGE R.D.</t>
  </si>
  <si>
    <t>ROMSEY AND STOCKBRIDGE R.D.</t>
  </si>
  <si>
    <t>ROMSEY M.B.</t>
  </si>
  <si>
    <t>SOUTHAMPTON C.B.</t>
  </si>
  <si>
    <t>WINCHESTER R.D.</t>
  </si>
  <si>
    <t>WINCHESTER M.B.</t>
  </si>
  <si>
    <t>BEWDLEY M.B.</t>
  </si>
  <si>
    <t>BROMSGROVE R.D.</t>
  </si>
  <si>
    <t>BROMSGROVE U.D.</t>
  </si>
  <si>
    <t>BROMYARD R.D.</t>
  </si>
  <si>
    <t>DORE AND BREDWARDINE R.D.</t>
  </si>
  <si>
    <t>DROITWICH M.B.</t>
  </si>
  <si>
    <t>DROITWICH R.D.</t>
  </si>
  <si>
    <t>EVESHAM M.B.</t>
  </si>
  <si>
    <t>EVESHAM R.D.</t>
  </si>
  <si>
    <t>HEREFORD R.D.</t>
  </si>
  <si>
    <t>HEREFORD M.B.</t>
  </si>
  <si>
    <t>KIDDERMINSTER M.B.</t>
  </si>
  <si>
    <t>KIDDERMINSTER R.D.</t>
  </si>
  <si>
    <t>KINGTON R.D.</t>
  </si>
  <si>
    <t>KINGTON U.D.</t>
  </si>
  <si>
    <t>LEDBURY R.D.</t>
  </si>
  <si>
    <t>LEOMINSTER AND WIGMORE R.D.</t>
  </si>
  <si>
    <t>LEOMINSTER M.B.</t>
  </si>
  <si>
    <t>MALVERN U.D.</t>
  </si>
  <si>
    <t>MARTLEY R.D.</t>
  </si>
  <si>
    <t>PERSHORE R.D.</t>
  </si>
  <si>
    <t>REDDITCH U.D.</t>
  </si>
  <si>
    <t>ROSS AND WHITCHURCH R.D.</t>
  </si>
  <si>
    <t>ROSS-ON-WYE U.D.</t>
  </si>
  <si>
    <t>STOURPORT-ON-SEVERN U.D.</t>
  </si>
  <si>
    <t>TENBURY R.D.</t>
  </si>
  <si>
    <t>UPTON UPON SEVERN R.D.</t>
  </si>
  <si>
    <t>WEOBLEY R.D.</t>
  </si>
  <si>
    <t>WORCESTER C.B.</t>
  </si>
  <si>
    <t>BALDOCK U.D.</t>
  </si>
  <si>
    <t>BERKHAMSTED R.D.</t>
  </si>
  <si>
    <t>BERKHAMSTED U.D.</t>
  </si>
  <si>
    <t>BISHOP'S STORTFORD U.D.</t>
  </si>
  <si>
    <t>BRAUGHING R.D.</t>
  </si>
  <si>
    <t>BUSHEY U.D.</t>
  </si>
  <si>
    <t>CHESHUNT U.D.</t>
  </si>
  <si>
    <t>CHORLEYWOOD U.D.</t>
  </si>
  <si>
    <t>ELSTREE R.D.</t>
  </si>
  <si>
    <t>HARPENDEN U.D.</t>
  </si>
  <si>
    <t>HATFIELD R.D.</t>
  </si>
  <si>
    <t>HEMEL HEMPSTEAD M.B.</t>
  </si>
  <si>
    <t>HEMEL HEMPSTEAD R.D.</t>
  </si>
  <si>
    <t>HERTFORD M.B.</t>
  </si>
  <si>
    <t>HERTFORD R.D.</t>
  </si>
  <si>
    <t>HITCHIN R.D.</t>
  </si>
  <si>
    <t>HITCHIN U.D.</t>
  </si>
  <si>
    <t>HODDESDON U.D.</t>
  </si>
  <si>
    <t>LETCHWORTH U.D.</t>
  </si>
  <si>
    <t>POTTERS BAR U.D.</t>
  </si>
  <si>
    <t>RICKMANSWORTH U.D.</t>
  </si>
  <si>
    <t>ROYSTON U.D.</t>
  </si>
  <si>
    <t>SAWBRIDGEWORTH U.D.</t>
  </si>
  <si>
    <t>ST. ALBANS M.B.</t>
  </si>
  <si>
    <t>ST. ALBANS R.D.</t>
  </si>
  <si>
    <t>STEVENAGE U.D.</t>
  </si>
  <si>
    <t>TRING U.D.</t>
  </si>
  <si>
    <t>WARE R.D.</t>
  </si>
  <si>
    <t>WARE U.D.</t>
  </si>
  <si>
    <t>WATFORD M.B.</t>
  </si>
  <si>
    <t>WATFORD R.D.</t>
  </si>
  <si>
    <t>WELWYN GARDEN CITY U.D.</t>
  </si>
  <si>
    <t>WELWYN R.D.</t>
  </si>
  <si>
    <t>BARTON-UPON-HUMBER U.D.</t>
  </si>
  <si>
    <t>BEVERLEY M.B.</t>
  </si>
  <si>
    <t>BEVERLEY R.D.</t>
  </si>
  <si>
    <t>BRIDLINGTON M.B.</t>
  </si>
  <si>
    <t>BRIDLINGTON R.D.</t>
  </si>
  <si>
    <t>BRIGG U.D.</t>
  </si>
  <si>
    <t>CLEETHORPES M.B.</t>
  </si>
  <si>
    <t>DRIFFIELD R.D.</t>
  </si>
  <si>
    <t>DRIFFIELD U.D.</t>
  </si>
  <si>
    <t>GLANFORD BRIGG R.D.</t>
  </si>
  <si>
    <t>GOOLE M.B.</t>
  </si>
  <si>
    <t>GOOLE R.D.</t>
  </si>
  <si>
    <t>GRIMSBY C.B.</t>
  </si>
  <si>
    <t>GRIMSBY R.D.</t>
  </si>
  <si>
    <t>HALTEMPRICE U.D.</t>
  </si>
  <si>
    <t>HEDON M.B.</t>
  </si>
  <si>
    <t>HOLDERNESS R.D.</t>
  </si>
  <si>
    <t>HORNSEA U.D.</t>
  </si>
  <si>
    <t>HOWDEN R.D.</t>
  </si>
  <si>
    <t>ISLE OF AXHOLME R.D.</t>
  </si>
  <si>
    <t>KINGSTON UPON HULL C.B.</t>
  </si>
  <si>
    <t>POCKLINGTON R.D.</t>
  </si>
  <si>
    <t>SCUNTHORPE M.B.</t>
  </si>
  <si>
    <t>WITHERNSEA U.D.</t>
  </si>
  <si>
    <t>WANDSWORTH L.B.</t>
  </si>
  <si>
    <t>SOUTHWARK L.B.</t>
  </si>
  <si>
    <t>TOWER HAMLETS L.B.</t>
  </si>
  <si>
    <t>KENSINGTON AND CHELSEA L.B.</t>
  </si>
  <si>
    <t>CITY OF LONDON</t>
  </si>
  <si>
    <t>LEWISHAM L.B.</t>
  </si>
  <si>
    <t>NEWHAM L.B.</t>
  </si>
  <si>
    <t>ISLINGTON L.B.</t>
  </si>
  <si>
    <t>HAMMERSMITH L.B.</t>
  </si>
  <si>
    <t>HACKNEY L.B.</t>
  </si>
  <si>
    <t>CAMDEN L.B.</t>
  </si>
  <si>
    <t>HARINGEY L.B.</t>
  </si>
  <si>
    <t>LAMBETH L.B.</t>
  </si>
  <si>
    <t>WESTMINSTER L.B.</t>
  </si>
  <si>
    <t>COWES U.D.</t>
  </si>
  <si>
    <t>ISLE OF WIGHT R.D.</t>
  </si>
  <si>
    <t>NEWPORT M.B.</t>
  </si>
  <si>
    <t>RYDE M.B.</t>
  </si>
  <si>
    <t>SANDOWN-SHANKLIN U.D.</t>
  </si>
  <si>
    <t>VENTNOR U.D.</t>
  </si>
  <si>
    <t>ASHFORD U.D.</t>
  </si>
  <si>
    <t>BRIDGE-BLEAN R.D.</t>
  </si>
  <si>
    <t>BROADSTAIRS AND ST. PETER'S U.D.</t>
  </si>
  <si>
    <t>CANTERBURY C.B.</t>
  </si>
  <si>
    <t>CHATHAM M.B.</t>
  </si>
  <si>
    <t>CRANBROOK R.D.</t>
  </si>
  <si>
    <t>DARTFORD M.B.</t>
  </si>
  <si>
    <t>DARTFORD R.D.</t>
  </si>
  <si>
    <t>DEAL M.B.</t>
  </si>
  <si>
    <t>DOVER M.B.</t>
  </si>
  <si>
    <t>DOVER R.D.</t>
  </si>
  <si>
    <t>EAST ASHFORD R.D.</t>
  </si>
  <si>
    <t>EASTRY R.D.</t>
  </si>
  <si>
    <t>ELHAM R.D.</t>
  </si>
  <si>
    <t>FAVERSHAM M.B.</t>
  </si>
  <si>
    <t>FOLKESTONE M.B.</t>
  </si>
  <si>
    <t>GILLINGHAM M.B.</t>
  </si>
  <si>
    <t>GRAVESEND M.B.</t>
  </si>
  <si>
    <t>HERNE BAY U.D.</t>
  </si>
  <si>
    <t>HOLLINGBOURN R.D.</t>
  </si>
  <si>
    <t>HYTHE M.B.</t>
  </si>
  <si>
    <t>LYDD M.B.</t>
  </si>
  <si>
    <t>MAIDSTONE M.B.</t>
  </si>
  <si>
    <t>MAIDSTONE R.D.</t>
  </si>
  <si>
    <t>MALLING R.D.</t>
  </si>
  <si>
    <t>MARGATE M.B.</t>
  </si>
  <si>
    <t>NEW ROMNEY M.B.</t>
  </si>
  <si>
    <t>NORTHFLEET U.D.</t>
  </si>
  <si>
    <t>QUEENBOROUGH IN SHEPPEY M.B.</t>
  </si>
  <si>
    <t>RAMSGATE M.B.</t>
  </si>
  <si>
    <t>ROCHESTER M.B.</t>
  </si>
  <si>
    <t>ROMNEY MARSH R.D.</t>
  </si>
  <si>
    <t>ROYAL TUNBRIDGE WELLS M.B.</t>
  </si>
  <si>
    <t>SANDWICH M.B.</t>
  </si>
  <si>
    <t>SEVENOAKS R.D.</t>
  </si>
  <si>
    <t>SEVENOAKS U.D.</t>
  </si>
  <si>
    <t>SITTINGBOURNE AND MILTON U.D.</t>
  </si>
  <si>
    <t>SOUTHBOROUGH U.D.</t>
  </si>
  <si>
    <t>STROOD R.D.</t>
  </si>
  <si>
    <t>SWALE R.D.</t>
  </si>
  <si>
    <t>SWANSCOMBE U.D.</t>
  </si>
  <si>
    <t>TENTERDEN M.B.</t>
  </si>
  <si>
    <t>TENTERDEN R.D.</t>
  </si>
  <si>
    <t>TONBRIDGE R.D.</t>
  </si>
  <si>
    <t>TONBRIDGE U.D.</t>
  </si>
  <si>
    <t>WEST ASHFORD R.D.</t>
  </si>
  <si>
    <t>WHITSTABLE U.D.</t>
  </si>
  <si>
    <t>ACCRINGTON M.B.</t>
  </si>
  <si>
    <t>ADLINGTON U.D.</t>
  </si>
  <si>
    <t>BACUP M.B.</t>
  </si>
  <si>
    <t>BARNOLDSWICK U.D.</t>
  </si>
  <si>
    <t>BARROWFORD U.D.</t>
  </si>
  <si>
    <t>BLACKBURN C.B.</t>
  </si>
  <si>
    <t>BLACKBURN R.D.</t>
  </si>
  <si>
    <t>BLACKPOOL C.B.</t>
  </si>
  <si>
    <t>BOWLAND R.D.</t>
  </si>
  <si>
    <t>BRIERFIELD U.D.</t>
  </si>
  <si>
    <t>BURNLEY C.B.</t>
  </si>
  <si>
    <t>BURNLEY R.D.</t>
  </si>
  <si>
    <t>CARNFORTH U.D.</t>
  </si>
  <si>
    <t>CHORLEY M.B.</t>
  </si>
  <si>
    <t>CHORLEY R.D.</t>
  </si>
  <si>
    <t>CHURCH U.D.</t>
  </si>
  <si>
    <t>CLAYTON-LE-MOORS U.D.</t>
  </si>
  <si>
    <t>CLITHEROE M.B.</t>
  </si>
  <si>
    <t>CLITHEROE R.D.</t>
  </si>
  <si>
    <t>COLNE M.B.</t>
  </si>
  <si>
    <t>DARWEN M.B.</t>
  </si>
  <si>
    <t>EARBY U.D.</t>
  </si>
  <si>
    <t>FLEETWOOD M.B.</t>
  </si>
  <si>
    <t>FULWOOD U.D.</t>
  </si>
  <si>
    <t>FYLDE R.D.</t>
  </si>
  <si>
    <t>GARSTANG R.D.</t>
  </si>
  <si>
    <t>GREAT HARWOOD U.D.</t>
  </si>
  <si>
    <t>HASLINGDEN M.B.</t>
  </si>
  <si>
    <t>KIRKHAM U.D.</t>
  </si>
  <si>
    <t>LANCASTER R.D.</t>
  </si>
  <si>
    <t>LANCASTER M.B.</t>
  </si>
  <si>
    <t>LEYLAND U.D.</t>
  </si>
  <si>
    <t>LONGRIDGE U.D.</t>
  </si>
  <si>
    <t>LUNESDALE R.D.</t>
  </si>
  <si>
    <t>LYTHAM ST. ANNE'S M.B.</t>
  </si>
  <si>
    <t>MORECAMBE AND HEYSHAM M.B.</t>
  </si>
  <si>
    <t>NELSON M.B.</t>
  </si>
  <si>
    <t>ORMSKIRK U.D.</t>
  </si>
  <si>
    <t>OSWALDTWISTLE U.D.</t>
  </si>
  <si>
    <t>PADIHAM U.D.</t>
  </si>
  <si>
    <t>POULTON-LE-FYLDE U.D.</t>
  </si>
  <si>
    <t>PREESALL U.D.</t>
  </si>
  <si>
    <t>PRESTON C.B.</t>
  </si>
  <si>
    <t>PRESTON R.D.</t>
  </si>
  <si>
    <t>RAWTENSTALL M.B.</t>
  </si>
  <si>
    <t>RISHTON U.D.</t>
  </si>
  <si>
    <t>SKELMERSDALE AND HOLLAND U.D.</t>
  </si>
  <si>
    <t>THORNTON CLEVELEYS U.D.</t>
  </si>
  <si>
    <t>TRAWDEN U.D.</t>
  </si>
  <si>
    <t>WALTON-LE-DALE U.D.</t>
  </si>
  <si>
    <t>WEST LANCASHIRE R.D.</t>
  </si>
  <si>
    <t>WHITWORTH U.D.</t>
  </si>
  <si>
    <t>WIGAN R.D.</t>
  </si>
  <si>
    <t>WITHNELL U.D.</t>
  </si>
  <si>
    <t>ASHBY DE LA ZOUCH R.D.</t>
  </si>
  <si>
    <t>ASHBY DE LA ZOUCH U.D.</t>
  </si>
  <si>
    <t>ASHBY WOULDS U.D.</t>
  </si>
  <si>
    <t>BARROW UPON SOAR R.D.</t>
  </si>
  <si>
    <t>LEICESTER C.B.</t>
  </si>
  <si>
    <t>BLABY R.D.</t>
  </si>
  <si>
    <t>CASTLE DONINGTON R.D.</t>
  </si>
  <si>
    <t>COALVILLE U.D.</t>
  </si>
  <si>
    <t>HINCKLEY U.D.</t>
  </si>
  <si>
    <t>KETTON R.D.</t>
  </si>
  <si>
    <t>LOUGHBOROUGH M.B.</t>
  </si>
  <si>
    <t>LUTTERWORTH R.D.</t>
  </si>
  <si>
    <t>MARKET BOSWORTH R.D.</t>
  </si>
  <si>
    <t>MARKET HARBOROUGH R.D.</t>
  </si>
  <si>
    <t>MARKET HARBOROUGH U.D.</t>
  </si>
  <si>
    <t>MELTON AND BELVOIR R.D.</t>
  </si>
  <si>
    <t>MELTON MOWBRAY U.D.</t>
  </si>
  <si>
    <t>OADBY U.D.</t>
  </si>
  <si>
    <t>OAKHAM R.D.</t>
  </si>
  <si>
    <t>OAKHAM U.D.</t>
  </si>
  <si>
    <t>SHEPSHED U.D.</t>
  </si>
  <si>
    <t>UPPINGHAM R.D.</t>
  </si>
  <si>
    <t>WIGSTON U.D.</t>
  </si>
  <si>
    <t>ALFORD U.D.</t>
  </si>
  <si>
    <t>BOSTON M.B.</t>
  </si>
  <si>
    <t>BOSTON R.D.</t>
  </si>
  <si>
    <t>BOURNE U.D.</t>
  </si>
  <si>
    <t>CAISTOR R.D.</t>
  </si>
  <si>
    <t>EAST ELLOE R.D.</t>
  </si>
  <si>
    <t>EAST KESTEVEN R.D.</t>
  </si>
  <si>
    <t>GAINSBOROUGH R.D.</t>
  </si>
  <si>
    <t>GAINSBOROUGH U.D.</t>
  </si>
  <si>
    <t>GRANTHAM M.B.</t>
  </si>
  <si>
    <t>HORNCASTLE R.D.</t>
  </si>
  <si>
    <t>HORNCASTLE U.D.</t>
  </si>
  <si>
    <t>LINCOLN C.B.</t>
  </si>
  <si>
    <t>LOUTH M.B.</t>
  </si>
  <si>
    <t>LOUTH R.D.</t>
  </si>
  <si>
    <t>MABLETHORPE AND SUTTON U.D.</t>
  </si>
  <si>
    <t>MARKET RASEN U.D.</t>
  </si>
  <si>
    <t>NORTH KESTEVEN R.D.</t>
  </si>
  <si>
    <t>SKEGNESS U.D.</t>
  </si>
  <si>
    <t>SLEAFORD U.D.</t>
  </si>
  <si>
    <t>SOUTH KESTEVEN R.D.</t>
  </si>
  <si>
    <t>SPALDING R.D.</t>
  </si>
  <si>
    <t>SPALDING U.D.</t>
  </si>
  <si>
    <t>SPILSBY R.D.</t>
  </si>
  <si>
    <t>STAMFORD M.B.</t>
  </si>
  <si>
    <t>WELTON R.D.</t>
  </si>
  <si>
    <t>WEST KESTEVEN R.D.</t>
  </si>
  <si>
    <t>WOODHALL SPA U.D.</t>
  </si>
  <si>
    <t>BEBINGTON M.B.</t>
  </si>
  <si>
    <t>BIRKENHEAD C.B.</t>
  </si>
  <si>
    <t>BOOTLE C.B.</t>
  </si>
  <si>
    <t>CROSBY M.B.</t>
  </si>
  <si>
    <t>FORMBY U.D.</t>
  </si>
  <si>
    <t>HAYDOCK U.D.</t>
  </si>
  <si>
    <t>HOYLAKE U.D.</t>
  </si>
  <si>
    <t>HUYTON-WITH-ROBY U.D.</t>
  </si>
  <si>
    <t>WHISTON R.D.</t>
  </si>
  <si>
    <t>LITHERLAND U.D.</t>
  </si>
  <si>
    <t>LIVERPOOL C.B.</t>
  </si>
  <si>
    <t>NEWTON-LE-WILLOWS U.D.</t>
  </si>
  <si>
    <t>PRESCOT U.D.</t>
  </si>
  <si>
    <t>RAINFORD U.D.</t>
  </si>
  <si>
    <t>SOUTHPORT C.B.</t>
  </si>
  <si>
    <t>ST. HELENS C.B.</t>
  </si>
  <si>
    <t>WALLASEY C.B.</t>
  </si>
  <si>
    <t>WIRRAL U.D.</t>
  </si>
  <si>
    <t>BLOFIELD AND FLEGG R.D.</t>
  </si>
  <si>
    <t>CROMER U.D.</t>
  </si>
  <si>
    <t>DEPWADE R.D.</t>
  </si>
  <si>
    <t>DISS U.D.</t>
  </si>
  <si>
    <t>DOCKING R.D.</t>
  </si>
  <si>
    <t>DOWNHAM MARKET U.D.</t>
  </si>
  <si>
    <t>DOWNHAM R.D.</t>
  </si>
  <si>
    <t>EAST DEREHAM U.D.</t>
  </si>
  <si>
    <t>ERPINGHAM R.D.</t>
  </si>
  <si>
    <t>FOREHOE AND HENSTEAD R.D.</t>
  </si>
  <si>
    <t>FREEBRIDGE LYNN R.D.</t>
  </si>
  <si>
    <t>GREAT YARMOUTH C.B.</t>
  </si>
  <si>
    <t>HUNSTANTON U.D.</t>
  </si>
  <si>
    <t>KING'S LYNN M.B.</t>
  </si>
  <si>
    <t>LODDON R.D.</t>
  </si>
  <si>
    <t>MARSHLAND R.D.</t>
  </si>
  <si>
    <t>MITFORD AND LAUNDITCH R.D.</t>
  </si>
  <si>
    <t>NORTH WALSHAM U.D.</t>
  </si>
  <si>
    <t>NORWICH C.B.</t>
  </si>
  <si>
    <t>SHERINGHAM U.D.</t>
  </si>
  <si>
    <t>SMALLBURGH R.D.</t>
  </si>
  <si>
    <t>ST. FAITH'S AND AYLSHAM R.D.</t>
  </si>
  <si>
    <t>SWAFFHAM R.D.</t>
  </si>
  <si>
    <t>SWAFFHAM U.D.</t>
  </si>
  <si>
    <t>THETFORD M.B.</t>
  </si>
  <si>
    <t>WALSINGHAM R.D.</t>
  </si>
  <si>
    <t>WAYLAND R.D.</t>
  </si>
  <si>
    <t>WELLS-NEXT-THE-SEA U.D.</t>
  </si>
  <si>
    <t>WYMONDHAM U.D.</t>
  </si>
  <si>
    <t>AYSGARTH R.D.</t>
  </si>
  <si>
    <t>BEDALE R.D.</t>
  </si>
  <si>
    <t>CROFT R.D.</t>
  </si>
  <si>
    <t>DERWENT R.D.</t>
  </si>
  <si>
    <t>EASINGWOLD R.D.</t>
  </si>
  <si>
    <t>FILEY U.D.</t>
  </si>
  <si>
    <t>FLAXTON R.D.</t>
  </si>
  <si>
    <t>HARROGATE M.B.</t>
  </si>
  <si>
    <t>HELMSLEY R.D.</t>
  </si>
  <si>
    <t>KIRKBYMOORSIDE R.D.</t>
  </si>
  <si>
    <t>KNARESBOROUGH U.D.</t>
  </si>
  <si>
    <t>LEYBURN R.D.</t>
  </si>
  <si>
    <t>MALTON R.D.</t>
  </si>
  <si>
    <t>MALTON U.D.</t>
  </si>
  <si>
    <t>MASHAM R.D.</t>
  </si>
  <si>
    <t>NIDDERDALE R.D.</t>
  </si>
  <si>
    <t>NORTHALLERTON R.D.</t>
  </si>
  <si>
    <t>NORTHALLERTON U.D.</t>
  </si>
  <si>
    <t>NORTON R.D.</t>
  </si>
  <si>
    <t>NORTON U.D.</t>
  </si>
  <si>
    <t>OSGOLDCROSS R.D.</t>
  </si>
  <si>
    <t>PICKERING R.D.</t>
  </si>
  <si>
    <t>PICKERING U.D.</t>
  </si>
  <si>
    <t>REETH R.D.</t>
  </si>
  <si>
    <t>RICHMOND M.B.</t>
  </si>
  <si>
    <t>RICHMOND R.D.</t>
  </si>
  <si>
    <t>RIPON AND PATELEY BRIDGE R.D.</t>
  </si>
  <si>
    <t>RIPON M.B.</t>
  </si>
  <si>
    <t>SCALBY U.D.</t>
  </si>
  <si>
    <t>SCARBOROUGH M.B.</t>
  </si>
  <si>
    <t>SCARBOROUGH R.D.</t>
  </si>
  <si>
    <t>SELBY R.D.</t>
  </si>
  <si>
    <t>SELBY U.D.</t>
  </si>
  <si>
    <t>SETTLE R.D.</t>
  </si>
  <si>
    <t>SKIPTON R.D.</t>
  </si>
  <si>
    <t>SKIPTON U.D.</t>
  </si>
  <si>
    <t>TADCASTER R.D.</t>
  </si>
  <si>
    <t>THIRSK R.D.</t>
  </si>
  <si>
    <t>WATH R.D.</t>
  </si>
  <si>
    <t>WHARFEDALE R.D.</t>
  </si>
  <si>
    <t>WHITBY R.D.</t>
  </si>
  <si>
    <t>WHITBY U.D.</t>
  </si>
  <si>
    <t>YORK C.B.</t>
  </si>
  <si>
    <t>BRACKLEY M.B.</t>
  </si>
  <si>
    <t>BRACKLEY R.D.</t>
  </si>
  <si>
    <t>BRIXWORTH R.D.</t>
  </si>
  <si>
    <t>BURTON LATIMER U.D.</t>
  </si>
  <si>
    <t>CORBY U.D.</t>
  </si>
  <si>
    <t>DAVENTRY M.B.</t>
  </si>
  <si>
    <t>DAVENTRY R.D.</t>
  </si>
  <si>
    <t>DESBOROUGH U.D.</t>
  </si>
  <si>
    <t>HIGHAM FERRERS M.B.</t>
  </si>
  <si>
    <t>IRTHLINGBOROUGH U.D.</t>
  </si>
  <si>
    <t>KETTERING M.B.</t>
  </si>
  <si>
    <t>KETTERING R.D.</t>
  </si>
  <si>
    <t>NORTHAMPTON C.B.</t>
  </si>
  <si>
    <t>OUNDLE AND THRAPSTON R.D.</t>
  </si>
  <si>
    <t>OUNDLE U.D.</t>
  </si>
  <si>
    <t>RAUNDS U.D.</t>
  </si>
  <si>
    <t>ROTHWELL U.D.</t>
  </si>
  <si>
    <t>RUSHDEN U.D.</t>
  </si>
  <si>
    <t>TOWCESTER R.D.</t>
  </si>
  <si>
    <t>WELLINGBOROUGH R.D.</t>
  </si>
  <si>
    <t>WELLINGBOROUGH U.D.</t>
  </si>
  <si>
    <t>ALNWICK R.D.</t>
  </si>
  <si>
    <t>ALNWICK U.D.</t>
  </si>
  <si>
    <t>AMBLE U.D.</t>
  </si>
  <si>
    <t>ASHINGTON U.D.</t>
  </si>
  <si>
    <t>BEDLINGTONSHIRE U.D.</t>
  </si>
  <si>
    <t>BELFORD R.D.</t>
  </si>
  <si>
    <t>BELLINGHAM R.D.</t>
  </si>
  <si>
    <t>BERWICK-UPON-TWEED M.B.</t>
  </si>
  <si>
    <t>BLYTH M.B.</t>
  </si>
  <si>
    <t>CASTLE WARD R.D.</t>
  </si>
  <si>
    <t>GLENDALE R.D.</t>
  </si>
  <si>
    <t>HALTWHISTLE R.D.</t>
  </si>
  <si>
    <t>HEXHAM R.D.</t>
  </si>
  <si>
    <t>HEXHAM U.D.</t>
  </si>
  <si>
    <t>MORPETH M.B.</t>
  </si>
  <si>
    <t>MORPETH R.D.</t>
  </si>
  <si>
    <t>NEWBIGGIN-BY-THE-SEA U.D.</t>
  </si>
  <si>
    <t>NORHAM AND ISLANDSHIRES R.D.</t>
  </si>
  <si>
    <t>PRUDHOE U.D.</t>
  </si>
  <si>
    <t>ROTHBURY R.D.</t>
  </si>
  <si>
    <t>SEATON VALLEY U.D.</t>
  </si>
  <si>
    <t>ARNOLD U.D.</t>
  </si>
  <si>
    <t>BASFORD R.D.</t>
  </si>
  <si>
    <t>BEESTON AND STAPLEFORD U.D.</t>
  </si>
  <si>
    <t>BINGHAM R.D.</t>
  </si>
  <si>
    <t>CARLTON U.D.</t>
  </si>
  <si>
    <t>EAST RETFORD M.B.</t>
  </si>
  <si>
    <t>EAST RETFORD R.D.</t>
  </si>
  <si>
    <t>EASTWOOD U.D.</t>
  </si>
  <si>
    <t>HUCKNALL U.D.</t>
  </si>
  <si>
    <t>KIRKBY IN ASHFIELD U.D.</t>
  </si>
  <si>
    <t>MANSFIELD M.B.</t>
  </si>
  <si>
    <t>MANSFIELD WOODHOUSE U.D.</t>
  </si>
  <si>
    <t>NEWARK M.B.</t>
  </si>
  <si>
    <t>NEWARK R.D.</t>
  </si>
  <si>
    <t>NOTTINGHAM C.B.</t>
  </si>
  <si>
    <t>SOUTHWELL R.D.</t>
  </si>
  <si>
    <t>SUTTON IN ASHFIELD U.D.</t>
  </si>
  <si>
    <t>WARSOP U.D.</t>
  </si>
  <si>
    <t>WEST BRIDGFORD U.D.</t>
  </si>
  <si>
    <t>WORKSOP M.B.</t>
  </si>
  <si>
    <t>WORKSOP R.D.</t>
  </si>
  <si>
    <t>EALING L.B.</t>
  </si>
  <si>
    <t>BARKING L.B.</t>
  </si>
  <si>
    <t>RICHMOND UPON THAMES L.B.</t>
  </si>
  <si>
    <t>BARNET L.B.</t>
  </si>
  <si>
    <t>BROMLEY L.B.</t>
  </si>
  <si>
    <t>SUTTON L.B.</t>
  </si>
  <si>
    <t>BEXLEY L.B.</t>
  </si>
  <si>
    <t>HOUNSLOW L.B.</t>
  </si>
  <si>
    <t>WALTHAM FOREST L.B.</t>
  </si>
  <si>
    <t>CROYDON L.B.</t>
  </si>
  <si>
    <t>ENFIELD L.B.</t>
  </si>
  <si>
    <t>GREENWICH L.B.</t>
  </si>
  <si>
    <t>HARROW L.B.</t>
  </si>
  <si>
    <t>HILLINGDON L.B.</t>
  </si>
  <si>
    <t>HAVERING L.B.</t>
  </si>
  <si>
    <t>REDBRIDGE L.B.</t>
  </si>
  <si>
    <t>KINGSTON UPON THAMES L.B.</t>
  </si>
  <si>
    <t>MERTON L.B.</t>
  </si>
  <si>
    <t>BRENT L.B.</t>
  </si>
  <si>
    <t>ABINGDON M.B.</t>
  </si>
  <si>
    <t>ABINGDON R.D.</t>
  </si>
  <si>
    <t>BANBURY M.B.</t>
  </si>
  <si>
    <t>BANBURY R.D.</t>
  </si>
  <si>
    <t>BICESTER U.D.</t>
  </si>
  <si>
    <t>BULLINGDON R.D.</t>
  </si>
  <si>
    <t>CHIPPING NORTON M.B.</t>
  </si>
  <si>
    <t>CHIPPING NORTON R.D.</t>
  </si>
  <si>
    <t>FARINGDON R.D.</t>
  </si>
  <si>
    <t>HENLEY-ON-THAMES M.B.</t>
  </si>
  <si>
    <t>HENLEY R.D.</t>
  </si>
  <si>
    <t>OXFORD C.B.</t>
  </si>
  <si>
    <t>PLOUGHLEY R.D.</t>
  </si>
  <si>
    <t>THAME U.D.</t>
  </si>
  <si>
    <t>WALLINGFORD M.B.</t>
  </si>
  <si>
    <t>WALLINGFORD R.D.</t>
  </si>
  <si>
    <t>WANTAGE R.D.</t>
  </si>
  <si>
    <t>WANTAGE U.D.</t>
  </si>
  <si>
    <t>WITNEY R.D.</t>
  </si>
  <si>
    <t>WITNEY U.D.</t>
  </si>
  <si>
    <t>WOODSTOCK M.B.</t>
  </si>
  <si>
    <t>ATCHAM R.D.</t>
  </si>
  <si>
    <t>CLUN AND BISHOP'S CASTLE R.D.</t>
  </si>
  <si>
    <t>BRIDGNORTH R.D.</t>
  </si>
  <si>
    <t>LUDLOW R.D.</t>
  </si>
  <si>
    <t>DAWLEY U.D.</t>
  </si>
  <si>
    <t>MARKET DRAYTON R.D.</t>
  </si>
  <si>
    <t>NORTH SHROPSHIRE R.D.</t>
  </si>
  <si>
    <t>NEWPORT U.D.</t>
  </si>
  <si>
    <t>OAKENGATES U.D.</t>
  </si>
  <si>
    <t>OSWESTRY R.D.</t>
  </si>
  <si>
    <t>SHIFNAL R.D.</t>
  </si>
  <si>
    <t>SHREWSBURY M. B.</t>
  </si>
  <si>
    <t>WELLINGTON R.D.</t>
  </si>
  <si>
    <t>WELLINGTON U.D.</t>
  </si>
  <si>
    <t>BRIDGWATER M.B.</t>
  </si>
  <si>
    <t>BRIDGWATER R.D.</t>
  </si>
  <si>
    <t>BURNHAM-ON-SEA U.D.</t>
  </si>
  <si>
    <t>CHARD M.B.</t>
  </si>
  <si>
    <t>CHARD R.D.</t>
  </si>
  <si>
    <t>CREWKERNE U.D.</t>
  </si>
  <si>
    <t>DULVERTON R.D.</t>
  </si>
  <si>
    <t>FROME R.D.</t>
  </si>
  <si>
    <t>FROME U.D.</t>
  </si>
  <si>
    <t>GLASTONBURY M.B.</t>
  </si>
  <si>
    <t>ILMINSTER U.D.</t>
  </si>
  <si>
    <t>LANGPORT R.D.</t>
  </si>
  <si>
    <t>MINEHEAD U.D.</t>
  </si>
  <si>
    <t>SHEPTON MALLET R.D.</t>
  </si>
  <si>
    <t>SHEPTON MALLET U.D.</t>
  </si>
  <si>
    <t>STREET U.D.</t>
  </si>
  <si>
    <t>TAUNTON M.B.</t>
  </si>
  <si>
    <t>TAUNTON R.D.</t>
  </si>
  <si>
    <t>WATCHET U.D.</t>
  </si>
  <si>
    <t>WELLS R.D.</t>
  </si>
  <si>
    <t>WELLS M.B.</t>
  </si>
  <si>
    <t>WILLITON R.D.</t>
  </si>
  <si>
    <t>WINCANTON R.D.</t>
  </si>
  <si>
    <t>YEOVIL M.B.</t>
  </si>
  <si>
    <t>YEOVIL R.D.</t>
  </si>
  <si>
    <t>ADWICK LE STREET U.D.</t>
  </si>
  <si>
    <t>BARNSLEY C.B.</t>
  </si>
  <si>
    <t>BENTLEY WITH ARKSEY U.D.</t>
  </si>
  <si>
    <t>CONISBROUGH U.D.</t>
  </si>
  <si>
    <t>CUDWORTH U.D.</t>
  </si>
  <si>
    <t>DARFIELD U.D.</t>
  </si>
  <si>
    <t>DARTON U.D.</t>
  </si>
  <si>
    <t>DEARNE U.D.</t>
  </si>
  <si>
    <t>DODWORTH U.D.</t>
  </si>
  <si>
    <t>DONCASTER C.B.</t>
  </si>
  <si>
    <t>DONCASTER R.D.</t>
  </si>
  <si>
    <t>HOYLAND NETHER U.D.</t>
  </si>
  <si>
    <t>KIVETON PARK R.D.</t>
  </si>
  <si>
    <t>MALTBY U.D.</t>
  </si>
  <si>
    <t>MEXBOROUGH U.D.</t>
  </si>
  <si>
    <t>PENISTONE R.D.</t>
  </si>
  <si>
    <t>PENISTONE U.D.</t>
  </si>
  <si>
    <t>RAWMARSH U.D.</t>
  </si>
  <si>
    <t>ROTHERHAM C.B.</t>
  </si>
  <si>
    <t>ROTHERHAM R.D.</t>
  </si>
  <si>
    <t>SHEFFIELD C.B.</t>
  </si>
  <si>
    <t>STOCKSBRIDGE U.D.</t>
  </si>
  <si>
    <t>SWINTON U.D.</t>
  </si>
  <si>
    <t>THORNE R.D.</t>
  </si>
  <si>
    <t>TICKHILL U.D.</t>
  </si>
  <si>
    <t>WATH UPON DEARNE U.D.</t>
  </si>
  <si>
    <t>WOMBWELL U.D.</t>
  </si>
  <si>
    <t>WORSBROUGH U.D.</t>
  </si>
  <si>
    <t>WORTLEY R.D.</t>
  </si>
  <si>
    <t>BIDDULPH U.D.</t>
  </si>
  <si>
    <t>BURTON UPON TRENT C.B.</t>
  </si>
  <si>
    <t>CANNOCK R.D.</t>
  </si>
  <si>
    <t>CANNOCK U.D.</t>
  </si>
  <si>
    <t>CHEADLE R.D.</t>
  </si>
  <si>
    <t>KIDSGROVE U.D.</t>
  </si>
  <si>
    <t>LEEK R.D.</t>
  </si>
  <si>
    <t>LEEK U.D.</t>
  </si>
  <si>
    <t>LICHFIELD R.D.</t>
  </si>
  <si>
    <t>LICHFIELD M.B.</t>
  </si>
  <si>
    <t>NEWCASTLE-UNDER-LYME M.B.</t>
  </si>
  <si>
    <t>NEWCASTLE-UNDER-LYME R.D.</t>
  </si>
  <si>
    <t>RUGELEY U.D.</t>
  </si>
  <si>
    <t>SEISDON R.D.</t>
  </si>
  <si>
    <t>STAFFORD M.B.</t>
  </si>
  <si>
    <t>STAFFORD R.D.</t>
  </si>
  <si>
    <t>STOKE ON TRENT C.B.</t>
  </si>
  <si>
    <t>STONE R.D.</t>
  </si>
  <si>
    <t>STONE U.D.</t>
  </si>
  <si>
    <t>TAMWORTH M.B.</t>
  </si>
  <si>
    <t>TUTBURY R.D.</t>
  </si>
  <si>
    <t>UTTOXETER R.D.</t>
  </si>
  <si>
    <t>UTTOXETER U.D.</t>
  </si>
  <si>
    <t>ALDEBURGH M.B.</t>
  </si>
  <si>
    <t>BECCLES M.B.</t>
  </si>
  <si>
    <t>BLYTH R.D.</t>
  </si>
  <si>
    <t>BUNGAY U.D.</t>
  </si>
  <si>
    <t>BURY ST. EDMUNDS M.B.</t>
  </si>
  <si>
    <t>CLARE R.D.</t>
  </si>
  <si>
    <t>COSFORD R.D.</t>
  </si>
  <si>
    <t>DEBEN R.D.</t>
  </si>
  <si>
    <t>EYE M.B.</t>
  </si>
  <si>
    <t>FELIXSTOWE U.D.</t>
  </si>
  <si>
    <t>GIPPING R.D.</t>
  </si>
  <si>
    <t>HADLEIGH U.D.</t>
  </si>
  <si>
    <t>HALESWORTH U.D.</t>
  </si>
  <si>
    <t>HARTISMERE R.D.</t>
  </si>
  <si>
    <t>HAVERHILL U.D.</t>
  </si>
  <si>
    <t>IPSWICH C.B.</t>
  </si>
  <si>
    <t>LEISTON-CUM-SIZEWELL U.D.</t>
  </si>
  <si>
    <t>LOTHINGLAND R.D.</t>
  </si>
  <si>
    <t>LOWESTOFT M.B.</t>
  </si>
  <si>
    <t>MELFORD R.D.</t>
  </si>
  <si>
    <t>MILDENHALL R.D.</t>
  </si>
  <si>
    <t>NEWMARKET U.D.</t>
  </si>
  <si>
    <t>SAMFORD R.D.</t>
  </si>
  <si>
    <t>SAXMUNDHAM U.D.</t>
  </si>
  <si>
    <t>SOUTHWOLD M.B.</t>
  </si>
  <si>
    <t>STOWMARKET U.D.</t>
  </si>
  <si>
    <t>SUDBURY M.B.</t>
  </si>
  <si>
    <t>THEDWASTRE R.D.</t>
  </si>
  <si>
    <t>THINGOE R.D.</t>
  </si>
  <si>
    <t>WAINFORD R.D.</t>
  </si>
  <si>
    <t>WOODBRIDGE U.D.</t>
  </si>
  <si>
    <t>BAGSHOT R.D.</t>
  </si>
  <si>
    <t>BANSTEAD U.D.</t>
  </si>
  <si>
    <t>CATERHAM AND WARLINGHAM U.D.</t>
  </si>
  <si>
    <t>CHERTSEY U.D.</t>
  </si>
  <si>
    <t>DORKING AND HORLEY R.D.</t>
  </si>
  <si>
    <t>DORKING U.D.</t>
  </si>
  <si>
    <t>EGHAM U.D.</t>
  </si>
  <si>
    <t>EPSOM AND EWELL M.B.</t>
  </si>
  <si>
    <t>ESHER U.D.</t>
  </si>
  <si>
    <t>FARNHAM U.D.</t>
  </si>
  <si>
    <t>FRIMLEY AND CAMBERLEY U.D.</t>
  </si>
  <si>
    <t>GODALMING M.B.</t>
  </si>
  <si>
    <t>GODSTONE R.D.</t>
  </si>
  <si>
    <t>GUILDFORD M.B.</t>
  </si>
  <si>
    <t>GUILDFORD R.D.</t>
  </si>
  <si>
    <t>HAMBLEDON R.D.</t>
  </si>
  <si>
    <t>HASLEMERE U.D.</t>
  </si>
  <si>
    <t>LEATHERHEAD U.D.</t>
  </si>
  <si>
    <t>REIGATE M.B.</t>
  </si>
  <si>
    <t>STAINES U.D.</t>
  </si>
  <si>
    <t>SUNBURY-ON-THAMES U.D.</t>
  </si>
  <si>
    <t>WALTON AND WEYBRIDGE U.D.</t>
  </si>
  <si>
    <t>WOKING U.D.</t>
  </si>
  <si>
    <t>BLAYDON U.D.</t>
  </si>
  <si>
    <t>BOLDON U.D.</t>
  </si>
  <si>
    <t>FELLING U.D.</t>
  </si>
  <si>
    <t>GATESHEAD C.B.</t>
  </si>
  <si>
    <t>GOSFORTH U.D.</t>
  </si>
  <si>
    <t>HEBBURN U.D.</t>
  </si>
  <si>
    <t>HETTON U.D.</t>
  </si>
  <si>
    <t>HOUGHTON-LE-SPRING U.D.</t>
  </si>
  <si>
    <t>JARROW M.B.</t>
  </si>
  <si>
    <t>LONGBENTON U.D.</t>
  </si>
  <si>
    <t>NEWBURN U.D.</t>
  </si>
  <si>
    <t>NEWCASTLE UPON TYNE C.B.</t>
  </si>
  <si>
    <t>RYTON U.D.</t>
  </si>
  <si>
    <t>SOUTH SHIELDS C.B.</t>
  </si>
  <si>
    <t>SUNDERLAND C.B.</t>
  </si>
  <si>
    <t>TYNEMOUTH C.B.</t>
  </si>
  <si>
    <t>WALLSEND M.B.</t>
  </si>
  <si>
    <t>WASHINGTON U.D.</t>
  </si>
  <si>
    <t>WHICKHAM U.D.</t>
  </si>
  <si>
    <t>WHITLEY BAY M.B.</t>
  </si>
  <si>
    <t>ALCESTER R.D.</t>
  </si>
  <si>
    <t>ATHERSTONE R.D.</t>
  </si>
  <si>
    <t>BEDWORTH U.D.</t>
  </si>
  <si>
    <t>KENILWORTH U.D.</t>
  </si>
  <si>
    <t>NUNEATON M.B.</t>
  </si>
  <si>
    <t>ROYAL LEAMINGTON SPA M.B.</t>
  </si>
  <si>
    <t>RUGBY M.B.</t>
  </si>
  <si>
    <t>RUGBY R.D.</t>
  </si>
  <si>
    <t>SHIPSTON ON STOUR R.D.</t>
  </si>
  <si>
    <t>SOUTHAM R.D.</t>
  </si>
  <si>
    <t>STRATFORD-ON-AVON R.D.</t>
  </si>
  <si>
    <t>STRATFORD-UPON-AVON M.B.</t>
  </si>
  <si>
    <t>WARWICK M.B.</t>
  </si>
  <si>
    <t>WARWICK R.D.</t>
  </si>
  <si>
    <t>ALDRIDGE-BROWNHILLS U.D.</t>
  </si>
  <si>
    <t>DUDLEY C.B.</t>
  </si>
  <si>
    <t>WOLVERHAMPTON C.B.</t>
  </si>
  <si>
    <t>BIRMINGHAM C.B.</t>
  </si>
  <si>
    <t>COVENTRY C.B.</t>
  </si>
  <si>
    <t>WALSALL C.B.</t>
  </si>
  <si>
    <t>HALESOWEN M.B.</t>
  </si>
  <si>
    <t>MERIDEN R.D.</t>
  </si>
  <si>
    <t>WARLEY C.B.</t>
  </si>
  <si>
    <t>SOLIHULL C.B.</t>
  </si>
  <si>
    <t>STOURBRIDGE M.B.</t>
  </si>
  <si>
    <t>SUTTON COLDFIELD M.B.</t>
  </si>
  <si>
    <t>WEST BROMWICH C.B.</t>
  </si>
  <si>
    <t>ARUNDEL M.B.</t>
  </si>
  <si>
    <t>BOGNOR REGIS U.D.</t>
  </si>
  <si>
    <t>BURGESS HILL U.D.</t>
  </si>
  <si>
    <t>CHANCTONBURY R.D.</t>
  </si>
  <si>
    <t>CHICHESTER M.B.</t>
  </si>
  <si>
    <t>CHICHESTER R.D.</t>
  </si>
  <si>
    <t>CRAWLEY U.D.</t>
  </si>
  <si>
    <t>CUCKFIELD R.D.</t>
  </si>
  <si>
    <t>CUCKFIELD U.D.</t>
  </si>
  <si>
    <t>EAST GRINSTEAD U.D.</t>
  </si>
  <si>
    <t>HORSHAM R.D.</t>
  </si>
  <si>
    <t>HORSHAM U.D.</t>
  </si>
  <si>
    <t>LITTLEHAMPTON U.D.</t>
  </si>
  <si>
    <t>MIDHURST R.D.</t>
  </si>
  <si>
    <t>PETWORTH R.D.</t>
  </si>
  <si>
    <t>SHOREHAM-BY-SEA U.D.</t>
  </si>
  <si>
    <t>SOUTHWICK U.D.</t>
  </si>
  <si>
    <t>WORTHING M.B.</t>
  </si>
  <si>
    <t>WORTHING R.D.</t>
  </si>
  <si>
    <t>AIREBOROUGH U.D.</t>
  </si>
  <si>
    <t>BAILDON U.D.</t>
  </si>
  <si>
    <t>BATLEY M.B.</t>
  </si>
  <si>
    <t>BINGLEY U.D.</t>
  </si>
  <si>
    <t>BRADFORD C.B.</t>
  </si>
  <si>
    <t>BRIGHOUSE M.B.</t>
  </si>
  <si>
    <t>CASTLEFORD M.B.</t>
  </si>
  <si>
    <t>COLNE VALLEY U.D.</t>
  </si>
  <si>
    <t>DENBY DALE U.D.</t>
  </si>
  <si>
    <t>DENHOLME U.D.</t>
  </si>
  <si>
    <t>DEWSBURY C.B.</t>
  </si>
  <si>
    <t>ELLAND U.D.</t>
  </si>
  <si>
    <t>FEATHERSTONE U.D.</t>
  </si>
  <si>
    <t>GARFORTH U.D.</t>
  </si>
  <si>
    <t>HALIFAX C.B.</t>
  </si>
  <si>
    <t>HEBDEN ROYD U.D.</t>
  </si>
  <si>
    <t>HECKMONDWIKE U.D.</t>
  </si>
  <si>
    <t>HEMSWORTH R.D.</t>
  </si>
  <si>
    <t>HEMSWORTH U.D.</t>
  </si>
  <si>
    <t>HEPTON R.D.</t>
  </si>
  <si>
    <t>HOLMFIRTH U.D.</t>
  </si>
  <si>
    <t>HORBURY U.D.</t>
  </si>
  <si>
    <t>HORSFORTH U.D.</t>
  </si>
  <si>
    <t>HUDDERSFIELD C.B.</t>
  </si>
  <si>
    <t>ILKLEY U.D.</t>
  </si>
  <si>
    <t>KEIGHLEY M.B.</t>
  </si>
  <si>
    <t>KIRKBURTON U.D.</t>
  </si>
  <si>
    <t>KNOTTINGLEY U.D.</t>
  </si>
  <si>
    <t>LEEDS C.B.</t>
  </si>
  <si>
    <t>MELTHAM U.D.</t>
  </si>
  <si>
    <t>MIRFIELD U.D.</t>
  </si>
  <si>
    <t>MORLEY M.B.</t>
  </si>
  <si>
    <t>NORMANTON U.D.</t>
  </si>
  <si>
    <t>OSSETT M.B.</t>
  </si>
  <si>
    <t>OTLEY U.D.</t>
  </si>
  <si>
    <t>PONTEFRACT M.B.</t>
  </si>
  <si>
    <t>PUDSEY M.B.</t>
  </si>
  <si>
    <t>QUEENSBURY AND SHELF U.D.</t>
  </si>
  <si>
    <t>RIPPONDEN U.D.</t>
  </si>
  <si>
    <t>SHIPLEY U.D.</t>
  </si>
  <si>
    <t>SILSDEN U.D.</t>
  </si>
  <si>
    <t>SOWERBY BRIDGE U.D.</t>
  </si>
  <si>
    <t>SPENBOROUGH M.B.</t>
  </si>
  <si>
    <t>TODMORDEN M.B.</t>
  </si>
  <si>
    <t>WAKEFIELD R.D.</t>
  </si>
  <si>
    <t>WAKEFIELD C.B.</t>
  </si>
  <si>
    <t>WETHERBY R.D.</t>
  </si>
  <si>
    <t>AMESBURY R.D.</t>
  </si>
  <si>
    <t>BRADFORD AND MELKSHAM R.D.</t>
  </si>
  <si>
    <t>BRADFORD-ON-AVON U.D.</t>
  </si>
  <si>
    <t>CALNE AND CHIPPENHAM R.D.</t>
  </si>
  <si>
    <t>CALNE M.B.</t>
  </si>
  <si>
    <t>CHIPPENHAM M.B.</t>
  </si>
  <si>
    <t>CRICKLADE AND WOOTTON BASSETT R.D.</t>
  </si>
  <si>
    <t>DEVIZES M.B.</t>
  </si>
  <si>
    <t>DEVIZES R.D.</t>
  </si>
  <si>
    <t>HIGHWORTH R.D.</t>
  </si>
  <si>
    <t>MALMESBURY M.B.</t>
  </si>
  <si>
    <t>MALMESBURY R.D.</t>
  </si>
  <si>
    <t>MARLBOROUGH AND RAMSBURY R.D.</t>
  </si>
  <si>
    <t>MARLBOROUGH M.B.</t>
  </si>
  <si>
    <t>MELKSHAM U.D.</t>
  </si>
  <si>
    <t>MERE AND TISBURY R.D.</t>
  </si>
  <si>
    <t>PEWSEY R.D.</t>
  </si>
  <si>
    <t>SALISBURY M.B.</t>
  </si>
  <si>
    <t>SALISBURY AND WILTON R.D.</t>
  </si>
  <si>
    <t>SWINDON M.B.</t>
  </si>
  <si>
    <t>TROWBRIDGE U.D.</t>
  </si>
  <si>
    <t>WARMINSTER AND WESTBURY R.D.</t>
  </si>
  <si>
    <t>WARMINSTER U.D.</t>
  </si>
  <si>
    <t>WESTBURY U.D.</t>
  </si>
  <si>
    <t>WILTON M.B.</t>
  </si>
  <si>
    <t>Barking and Dagenham</t>
  </si>
  <si>
    <t>Havering</t>
  </si>
  <si>
    <t>Redbridge</t>
  </si>
  <si>
    <t>Newham</t>
  </si>
  <si>
    <t>Sandwell</t>
  </si>
  <si>
    <t>Solihull was reorganised at some point after 1966. Lots cut from Wmids</t>
  </si>
  <si>
    <t>cty_81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</si>
</sst>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Nova"/>
      <family val="2"/>
    </font>
    <font>
      <sz val="10"/>
      <color rgb="FFFF0000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2" borderId="0" xfId="0" quotePrefix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9585-ABAF-4EE1-856F-DB9EB4DE626E}">
  <dimension ref="A1:AA1568"/>
  <sheetViews>
    <sheetView tabSelected="1" topLeftCell="A1423" zoomScale="70" zoomScaleNormal="70" workbookViewId="0">
      <selection activeCell="X1" sqref="A1:X1495"/>
    </sheetView>
  </sheetViews>
  <sheetFormatPr defaultColWidth="8.77734375" defaultRowHeight="25.05" customHeight="1" x14ac:dyDescent="0.3"/>
  <cols>
    <col min="1" max="1" width="21.6640625" style="1" customWidth="1"/>
    <col min="2" max="2" width="25.6640625" style="2" customWidth="1"/>
    <col min="3" max="10" width="8.77734375" style="1"/>
    <col min="11" max="11" width="16.77734375" style="1" customWidth="1"/>
    <col min="12" max="12" width="14.21875" style="1" customWidth="1"/>
    <col min="13" max="13" width="14.6640625" style="1" customWidth="1"/>
    <col min="14" max="14" width="8.77734375" style="1"/>
    <col min="15" max="15" width="11.109375" style="1" customWidth="1"/>
    <col min="16" max="16" width="14.44140625" style="1" customWidth="1"/>
    <col min="17" max="18" width="22.21875" style="11" customWidth="1"/>
    <col min="19" max="19" width="42" style="11" customWidth="1"/>
    <col min="20" max="21" width="8.77734375" style="11"/>
    <col min="22" max="22" width="23.5546875" style="11" customWidth="1"/>
    <col min="23" max="23" width="8.77734375" style="11"/>
    <col min="24" max="24" width="35" style="11" customWidth="1"/>
    <col min="25" max="27" width="8.77734375" style="11"/>
    <col min="28" max="16384" width="8.77734375" style="1"/>
  </cols>
  <sheetData>
    <row r="1" spans="1:24" ht="120" customHeight="1" x14ac:dyDescent="0.25">
      <c r="A1" s="3" t="s">
        <v>5324</v>
      </c>
      <c r="B1" s="5" t="s">
        <v>5325</v>
      </c>
      <c r="C1" s="3" t="s">
        <v>5373</v>
      </c>
      <c r="D1" s="3"/>
      <c r="E1" s="3" t="s">
        <v>5374</v>
      </c>
      <c r="F1" s="3"/>
      <c r="G1" s="3" t="s">
        <v>5375</v>
      </c>
      <c r="H1" s="3"/>
      <c r="I1" s="3" t="s">
        <v>5376</v>
      </c>
      <c r="J1" s="3"/>
      <c r="K1" s="3" t="s">
        <v>26</v>
      </c>
      <c r="L1" s="3" t="s">
        <v>5377</v>
      </c>
      <c r="M1" s="3" t="s">
        <v>5378</v>
      </c>
      <c r="N1" s="3" t="s">
        <v>5379</v>
      </c>
      <c r="O1" s="3"/>
      <c r="P1" s="19" t="s">
        <v>5380</v>
      </c>
      <c r="Q1" s="17" t="s">
        <v>5371</v>
      </c>
      <c r="R1" s="17" t="s">
        <v>5372</v>
      </c>
      <c r="S1" s="12" t="s">
        <v>5215</v>
      </c>
      <c r="T1" s="12" t="s">
        <v>5212</v>
      </c>
      <c r="U1" s="18"/>
      <c r="V1" s="18" t="s">
        <v>5327</v>
      </c>
      <c r="W1" s="18" t="s">
        <v>5326</v>
      </c>
      <c r="X1" s="18" t="s">
        <v>6579</v>
      </c>
    </row>
    <row r="2" spans="1:24" ht="25.05" customHeight="1" x14ac:dyDescent="0.3">
      <c r="B2" s="1"/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2</v>
      </c>
      <c r="L2" s="1" t="s">
        <v>2</v>
      </c>
      <c r="M2" s="1" t="s">
        <v>4</v>
      </c>
      <c r="N2" s="1" t="s">
        <v>2</v>
      </c>
      <c r="O2" s="1" t="s">
        <v>0</v>
      </c>
    </row>
    <row r="3" spans="1:24" ht="25.05" customHeight="1" x14ac:dyDescent="0.3">
      <c r="A3" s="2" t="s">
        <v>27</v>
      </c>
      <c r="B3" s="2" t="s">
        <v>27</v>
      </c>
      <c r="C3" s="1">
        <v>18</v>
      </c>
      <c r="D3" s="1">
        <v>9</v>
      </c>
      <c r="E3" s="1">
        <v>11</v>
      </c>
      <c r="F3" s="1">
        <v>0</v>
      </c>
      <c r="K3" s="6">
        <v>56710</v>
      </c>
      <c r="L3" s="6">
        <v>14032286</v>
      </c>
      <c r="M3" s="7" t="s">
        <v>28</v>
      </c>
      <c r="N3" s="6">
        <v>1412</v>
      </c>
      <c r="O3" s="1">
        <v>19</v>
      </c>
      <c r="P3" s="1">
        <v>16</v>
      </c>
      <c r="Q3" s="11">
        <f>'Table H'!$J$400</f>
        <v>0.92034638548069436</v>
      </c>
      <c r="R3" s="11">
        <f>Q3*L3</f>
        <v>12914563.700131351</v>
      </c>
      <c r="S3" s="11" t="s">
        <v>27</v>
      </c>
      <c r="T3" s="11" t="s">
        <v>5211</v>
      </c>
      <c r="V3" s="11" t="s">
        <v>3000</v>
      </c>
      <c r="W3" s="11" t="s">
        <v>3002</v>
      </c>
      <c r="X3" s="11" t="str">
        <f>INDEX('Lookup 1961'!$C$2:$C$1300, MATCH(V3, 'Lookup 1961'!$A$2:$A$1300,0))</f>
        <v>Inner London</v>
      </c>
    </row>
    <row r="4" spans="1:24" ht="25.05" customHeight="1" x14ac:dyDescent="0.3">
      <c r="A4" s="2" t="s">
        <v>3</v>
      </c>
      <c r="B4" s="2" t="s">
        <v>3</v>
      </c>
      <c r="C4" s="1">
        <v>21</v>
      </c>
      <c r="D4" s="1">
        <v>0</v>
      </c>
      <c r="E4" s="1">
        <v>14</v>
      </c>
      <c r="F4" s="1">
        <v>4</v>
      </c>
      <c r="K4" s="6">
        <v>6400</v>
      </c>
      <c r="L4" s="6">
        <v>1606495</v>
      </c>
      <c r="M4" s="7" t="s">
        <v>29</v>
      </c>
      <c r="N4" s="1">
        <v>10</v>
      </c>
      <c r="O4" s="1">
        <v>1</v>
      </c>
      <c r="P4" s="1">
        <v>10.4</v>
      </c>
      <c r="Q4" s="11">
        <f>'Table H'!$J$400</f>
        <v>0.92034638548069436</v>
      </c>
      <c r="R4" s="11">
        <f t="shared" ref="R4:R67" si="0">Q4*L4</f>
        <v>1478531.866542808</v>
      </c>
      <c r="S4" s="11" t="str">
        <f>_xlfn.CONCAT(B4," ",T4)</f>
        <v>Battersea MB</v>
      </c>
      <c r="T4" s="11" t="s">
        <v>5211</v>
      </c>
      <c r="V4" s="11" t="str">
        <f>INDEX('Lookup 1961'!$A$2:$A$1300, MATCH(S4, 'Lookup 1961'!$B$2:$B$1300,0))</f>
        <v>J04000102</v>
      </c>
      <c r="W4" s="11" t="str">
        <f>INDEX('Lookup 1961'!$F$2:$F$1300, MATCH(S4, 'Lookup 1961'!$B$2:$B$1300,0))</f>
        <v>e140408</v>
      </c>
      <c r="X4" s="11" t="str">
        <f>INDEX('Lookup 1961'!$C$2:$C$1300, MATCH(V4, 'Lookup 1961'!$A$2:$A$1300,0))</f>
        <v>Inner London</v>
      </c>
    </row>
    <row r="5" spans="1:24" ht="25.05" customHeight="1" x14ac:dyDescent="0.3">
      <c r="A5" s="2" t="s">
        <v>5</v>
      </c>
      <c r="B5" s="2" t="s">
        <v>5</v>
      </c>
      <c r="C5" s="1">
        <v>23</v>
      </c>
      <c r="D5" s="1">
        <v>6</v>
      </c>
      <c r="E5" s="1">
        <v>15</v>
      </c>
      <c r="F5" s="1">
        <v>6</v>
      </c>
      <c r="K5" s="6">
        <v>5550</v>
      </c>
      <c r="L5" s="6">
        <v>1402136</v>
      </c>
      <c r="M5" s="7" t="s">
        <v>30</v>
      </c>
      <c r="N5" s="1">
        <v>18</v>
      </c>
      <c r="O5" s="1">
        <v>9</v>
      </c>
      <c r="P5" s="1">
        <v>33.299999999999997</v>
      </c>
      <c r="Q5" s="11">
        <f>'Table H'!$J$400</f>
        <v>0.92034638548069436</v>
      </c>
      <c r="R5" s="11">
        <f t="shared" si="0"/>
        <v>1290450.7995523589</v>
      </c>
      <c r="S5" s="11" t="str">
        <f t="shared" ref="S5:S68" si="1">_xlfn.CONCAT(B5," ",T5)</f>
        <v>Bermondsey MB</v>
      </c>
      <c r="T5" s="11" t="s">
        <v>5211</v>
      </c>
      <c r="V5" s="11" t="str">
        <f>INDEX('Lookup 1961'!$A$2:$A$1300, MATCH(S5, 'Lookup 1961'!$B$2:$B$1300,0))</f>
        <v>J04000127</v>
      </c>
      <c r="W5" s="11" t="str">
        <f>INDEX('Lookup 1961'!$F$2:$F$1300, MATCH(S5, 'Lookup 1961'!$B$2:$B$1300,0))</f>
        <v>e140402</v>
      </c>
      <c r="X5" s="11" t="str">
        <f>INDEX('Lookup 1961'!$C$2:$C$1300, MATCH(V5, 'Lookup 1961'!$A$2:$A$1300,0))</f>
        <v>Inner London</v>
      </c>
    </row>
    <row r="6" spans="1:24" ht="25.05" customHeight="1" x14ac:dyDescent="0.3">
      <c r="A6" s="2" t="s">
        <v>6</v>
      </c>
      <c r="B6" s="2" t="s">
        <v>6</v>
      </c>
      <c r="C6" s="1">
        <v>23</v>
      </c>
      <c r="D6" s="1">
        <v>8</v>
      </c>
      <c r="E6" s="1">
        <v>16</v>
      </c>
      <c r="F6" s="1">
        <v>4</v>
      </c>
      <c r="K6" s="6">
        <v>2700</v>
      </c>
      <c r="L6" s="6">
        <v>704170</v>
      </c>
      <c r="M6" s="7" t="s">
        <v>31</v>
      </c>
      <c r="N6" s="1">
        <v>10</v>
      </c>
      <c r="O6" s="1">
        <v>11</v>
      </c>
      <c r="P6" s="1">
        <v>11.4</v>
      </c>
      <c r="Q6" s="11">
        <f>'Table H'!$J$400</f>
        <v>0.92034638548069436</v>
      </c>
      <c r="R6" s="11">
        <f t="shared" si="0"/>
        <v>648080.31426394056</v>
      </c>
      <c r="S6" s="11" t="str">
        <f t="shared" si="1"/>
        <v>Bethnal Green MB</v>
      </c>
      <c r="T6" s="11" t="s">
        <v>5211</v>
      </c>
      <c r="V6" s="11" t="str">
        <f>INDEX('Lookup 1961'!$A$2:$A$1300, MATCH(S6, 'Lookup 1961'!$B$2:$B$1300,0))</f>
        <v>J04000130</v>
      </c>
      <c r="W6" s="11" t="str">
        <f>INDEX('Lookup 1961'!$F$2:$F$1300, MATCH(S6, 'Lookup 1961'!$B$2:$B$1300,0))</f>
        <v>e140405</v>
      </c>
      <c r="X6" s="11" t="str">
        <f>INDEX('Lookup 1961'!$C$2:$C$1300, MATCH(V6, 'Lookup 1961'!$A$2:$A$1300,0))</f>
        <v>Inner London</v>
      </c>
    </row>
    <row r="7" spans="1:24" ht="25.05" customHeight="1" x14ac:dyDescent="0.3">
      <c r="A7" s="2" t="s">
        <v>7</v>
      </c>
      <c r="B7" s="2" t="s">
        <v>7</v>
      </c>
      <c r="C7" s="1">
        <v>19</v>
      </c>
      <c r="D7" s="1">
        <v>8</v>
      </c>
      <c r="E7" s="1">
        <v>14</v>
      </c>
      <c r="F7" s="1">
        <v>0</v>
      </c>
      <c r="K7" s="6">
        <v>9710</v>
      </c>
      <c r="L7" s="6">
        <v>2467129</v>
      </c>
      <c r="M7" s="7" t="s">
        <v>32</v>
      </c>
      <c r="N7" s="1">
        <v>9</v>
      </c>
      <c r="O7" s="1">
        <v>6</v>
      </c>
      <c r="P7" s="1">
        <v>3.5</v>
      </c>
      <c r="Q7" s="11">
        <f>'Table H'!$J$400</f>
        <v>0.92034638548069436</v>
      </c>
      <c r="R7" s="11">
        <f t="shared" si="0"/>
        <v>2270613.2576645999</v>
      </c>
      <c r="S7" s="11" t="str">
        <f t="shared" si="1"/>
        <v>Camberwell MB</v>
      </c>
      <c r="T7" s="11" t="s">
        <v>5211</v>
      </c>
      <c r="V7" s="11" t="str">
        <f>INDEX('Lookup 1961'!$A$2:$A$1300, MATCH(S7, 'Lookup 1961'!$B$2:$B$1300,0))</f>
        <v>J04000254</v>
      </c>
      <c r="W7" s="11" t="str">
        <f>INDEX('Lookup 1961'!$F$2:$F$1300, MATCH(S7, 'Lookup 1961'!$B$2:$B$1300,0))</f>
        <v>e140402</v>
      </c>
      <c r="X7" s="11" t="str">
        <f>INDEX('Lookup 1961'!$C$2:$C$1300, MATCH(V7, 'Lookup 1961'!$A$2:$A$1300,0))</f>
        <v>Inner London</v>
      </c>
    </row>
    <row r="8" spans="1:24" ht="25.05" customHeight="1" x14ac:dyDescent="0.3">
      <c r="A8" s="2" t="s">
        <v>8</v>
      </c>
      <c r="B8" s="2" t="s">
        <v>8</v>
      </c>
      <c r="C8" s="1">
        <v>19</v>
      </c>
      <c r="D8" s="1">
        <v>10</v>
      </c>
      <c r="E8" s="1">
        <v>14</v>
      </c>
      <c r="F8" s="1">
        <v>4</v>
      </c>
      <c r="K8" s="6">
        <v>7850</v>
      </c>
      <c r="L8" s="6">
        <v>2039636</v>
      </c>
      <c r="M8" s="7" t="s">
        <v>33</v>
      </c>
      <c r="N8" s="1">
        <v>26</v>
      </c>
      <c r="O8" s="1">
        <v>13</v>
      </c>
      <c r="P8" s="1">
        <v>8</v>
      </c>
      <c r="Q8" s="11">
        <f>'Table H'!$J$400</f>
        <v>0.92034638548069436</v>
      </c>
      <c r="R8" s="11">
        <f t="shared" si="0"/>
        <v>1877171.6202963016</v>
      </c>
      <c r="S8" s="11" t="str">
        <f t="shared" si="1"/>
        <v>Chelsea MB</v>
      </c>
      <c r="T8" s="11" t="s">
        <v>5211</v>
      </c>
      <c r="V8" s="11" t="str">
        <f>INDEX('Lookup 1961'!$A$2:$A$1300, MATCH(S8, 'Lookup 1961'!$B$2:$B$1300,0))</f>
        <v>J04000290</v>
      </c>
      <c r="W8" s="11" t="str">
        <f>INDEX('Lookup 1961'!$F$2:$F$1300, MATCH(S8, 'Lookup 1961'!$B$2:$B$1300,0))</f>
        <v>e140392</v>
      </c>
      <c r="X8" s="11" t="str">
        <f>INDEX('Lookup 1961'!$C$2:$C$1300, MATCH(V8, 'Lookup 1961'!$A$2:$A$1300,0))</f>
        <v>Inner London</v>
      </c>
    </row>
    <row r="9" spans="1:24" ht="25.05" customHeight="1" x14ac:dyDescent="0.3">
      <c r="A9" s="2" t="s">
        <v>9</v>
      </c>
      <c r="B9" s="2" t="s">
        <v>9</v>
      </c>
      <c r="C9" s="1">
        <v>20</v>
      </c>
      <c r="D9" s="1">
        <v>0</v>
      </c>
      <c r="E9" s="1">
        <v>14</v>
      </c>
      <c r="F9" s="1">
        <v>8</v>
      </c>
      <c r="K9" s="6">
        <v>3522</v>
      </c>
      <c r="L9" s="6">
        <v>912209</v>
      </c>
      <c r="M9" s="7" t="s">
        <v>34</v>
      </c>
      <c r="N9" s="1">
        <v>8</v>
      </c>
      <c r="O9" s="1">
        <v>17</v>
      </c>
      <c r="P9" s="1">
        <v>10.9</v>
      </c>
      <c r="Q9" s="11">
        <f>'Table H'!$J$400</f>
        <v>0.92034638548069436</v>
      </c>
      <c r="R9" s="11">
        <f t="shared" si="0"/>
        <v>839548.25595295872</v>
      </c>
      <c r="S9" s="11" t="str">
        <f t="shared" si="1"/>
        <v>Deptford MB</v>
      </c>
      <c r="T9" s="11" t="s">
        <v>5211</v>
      </c>
      <c r="V9" s="11" t="str">
        <f>INDEX('Lookup 1961'!$A$2:$A$1300, MATCH(S9, 'Lookup 1961'!$B$2:$B$1300,0))</f>
        <v>J04000399</v>
      </c>
      <c r="W9" s="11" t="str">
        <f>INDEX('Lookup 1961'!$F$2:$F$1300, MATCH(S9, 'Lookup 1961'!$B$2:$B$1300,0))</f>
        <v>e140397</v>
      </c>
      <c r="X9" s="11" t="str">
        <f>INDEX('Lookup 1961'!$C$2:$C$1300, MATCH(V9, 'Lookup 1961'!$A$2:$A$1300,0))</f>
        <v>Inner London</v>
      </c>
    </row>
    <row r="10" spans="1:24" ht="25.05" customHeight="1" x14ac:dyDescent="0.3">
      <c r="A10" s="2" t="s">
        <v>10</v>
      </c>
      <c r="B10" s="2" t="s">
        <v>10</v>
      </c>
      <c r="C10" s="1">
        <v>23</v>
      </c>
      <c r="D10" s="1">
        <v>0</v>
      </c>
      <c r="E10" s="1">
        <v>15</v>
      </c>
      <c r="F10" s="1">
        <v>0</v>
      </c>
      <c r="K10" s="6">
        <v>8900</v>
      </c>
      <c r="L10" s="6">
        <v>2296964</v>
      </c>
      <c r="M10" s="7" t="s">
        <v>35</v>
      </c>
      <c r="N10" s="1">
        <v>46</v>
      </c>
      <c r="O10" s="1">
        <v>5</v>
      </c>
      <c r="P10" s="1">
        <v>40.5</v>
      </c>
      <c r="Q10" s="11">
        <f>'Table H'!$J$400</f>
        <v>0.92034638548069436</v>
      </c>
      <c r="R10" s="11">
        <f t="shared" si="0"/>
        <v>2114002.5149792777</v>
      </c>
      <c r="S10" s="11" t="str">
        <f t="shared" si="1"/>
        <v>Finsbury MB</v>
      </c>
      <c r="T10" s="11" t="s">
        <v>5211</v>
      </c>
      <c r="V10" s="11" t="str">
        <f>INDEX('Lookup 1961'!$A$2:$A$1300, MATCH(S10, 'Lookup 1961'!$B$2:$B$1300,0))</f>
        <v>J04000504</v>
      </c>
      <c r="W10" s="11" t="str">
        <f>INDEX('Lookup 1961'!$F$2:$F$1300, MATCH(S10, 'Lookup 1961'!$B$2:$B$1300,0))</f>
        <v>e140390</v>
      </c>
      <c r="X10" s="11" t="str">
        <f>INDEX('Lookup 1961'!$C$2:$C$1300, MATCH(V10, 'Lookup 1961'!$A$2:$A$1300,0))</f>
        <v>Inner London</v>
      </c>
    </row>
    <row r="11" spans="1:24" ht="25.05" customHeight="1" x14ac:dyDescent="0.3">
      <c r="A11" s="2" t="s">
        <v>11</v>
      </c>
      <c r="B11" s="2" t="s">
        <v>11</v>
      </c>
      <c r="C11" s="1">
        <v>20</v>
      </c>
      <c r="D11" s="1">
        <v>6</v>
      </c>
      <c r="E11" s="1">
        <v>14</v>
      </c>
      <c r="F11" s="1">
        <v>0</v>
      </c>
      <c r="K11" s="6">
        <v>7200</v>
      </c>
      <c r="L11" s="6">
        <v>1853383</v>
      </c>
      <c r="M11" s="7" t="s">
        <v>36</v>
      </c>
      <c r="N11" s="1">
        <v>10</v>
      </c>
      <c r="O11" s="1">
        <v>9</v>
      </c>
      <c r="P11" s="1">
        <v>3.2</v>
      </c>
      <c r="Q11" s="11">
        <f>'Table H'!$J$400</f>
        <v>0.92034638548069436</v>
      </c>
      <c r="R11" s="11">
        <f t="shared" si="0"/>
        <v>1705754.3449613657</v>
      </c>
      <c r="S11" s="11" t="str">
        <f t="shared" si="1"/>
        <v>Fulham MB</v>
      </c>
      <c r="T11" s="11" t="s">
        <v>5211</v>
      </c>
      <c r="V11" s="11" t="str">
        <f>INDEX('Lookup 1961'!$A$2:$A$1300, MATCH(S11, 'Lookup 1961'!$B$2:$B$1300,0))</f>
        <v>J04000521</v>
      </c>
      <c r="W11" s="11" t="str">
        <f>INDEX('Lookup 1961'!$F$2:$F$1300, MATCH(S11, 'Lookup 1961'!$B$2:$B$1300,0))</f>
        <v>e140384</v>
      </c>
      <c r="X11" s="11" t="str">
        <f>INDEX('Lookup 1961'!$C$2:$C$1300, MATCH(V11, 'Lookup 1961'!$A$2:$A$1300,0))</f>
        <v>Inner London</v>
      </c>
    </row>
    <row r="12" spans="1:24" ht="25.05" customHeight="1" x14ac:dyDescent="0.3">
      <c r="A12" s="2" t="s">
        <v>12</v>
      </c>
      <c r="B12" s="2" t="s">
        <v>12</v>
      </c>
      <c r="C12" s="1">
        <v>20</v>
      </c>
      <c r="D12" s="1">
        <v>4</v>
      </c>
      <c r="E12" s="1">
        <v>13</v>
      </c>
      <c r="F12" s="1">
        <v>0</v>
      </c>
      <c r="K12" s="6">
        <v>5755</v>
      </c>
      <c r="L12" s="6">
        <v>1402911</v>
      </c>
      <c r="M12" s="7" t="s">
        <v>37</v>
      </c>
      <c r="N12" s="1">
        <v>10</v>
      </c>
      <c r="O12" s="1">
        <v>4</v>
      </c>
      <c r="P12" s="1">
        <v>8.9</v>
      </c>
      <c r="Q12" s="11">
        <f>'Table H'!$J$400</f>
        <v>0.92034638548069436</v>
      </c>
      <c r="R12" s="11">
        <f t="shared" si="0"/>
        <v>1291164.0680011064</v>
      </c>
      <c r="S12" s="11" t="str">
        <f t="shared" si="1"/>
        <v>Greenwich MB</v>
      </c>
      <c r="T12" s="11" t="s">
        <v>5211</v>
      </c>
      <c r="V12" s="11" t="str">
        <f>INDEX('Lookup 1961'!$A$2:$A$1300, MATCH(S12, 'Lookup 1961'!$B$2:$B$1300,0))</f>
        <v>J04000553</v>
      </c>
      <c r="W12" s="11" t="str">
        <f>INDEX('Lookup 1961'!$F$2:$F$1300, MATCH(S12, 'Lookup 1961'!$B$2:$B$1300,0))</f>
        <v>e140381</v>
      </c>
      <c r="X12" s="11" t="str">
        <f>INDEX('Lookup 1961'!$C$2:$C$1300, MATCH(V12, 'Lookup 1961'!$A$2:$A$1300,0))</f>
        <v>Inner London</v>
      </c>
    </row>
    <row r="13" spans="1:24" ht="25.05" customHeight="1" x14ac:dyDescent="0.3">
      <c r="A13" s="2" t="s">
        <v>13</v>
      </c>
      <c r="B13" s="2" t="s">
        <v>13</v>
      </c>
      <c r="C13" s="1">
        <v>20</v>
      </c>
      <c r="D13" s="1">
        <v>4</v>
      </c>
      <c r="E13" s="1">
        <v>13</v>
      </c>
      <c r="F13" s="1">
        <v>8</v>
      </c>
      <c r="K13" s="6">
        <v>9860</v>
      </c>
      <c r="L13" s="6">
        <v>2491633</v>
      </c>
      <c r="M13" s="7" t="s">
        <v>38</v>
      </c>
      <c r="N13" s="1">
        <v>9</v>
      </c>
      <c r="O13" s="1">
        <v>19</v>
      </c>
      <c r="P13" s="1">
        <v>14.2</v>
      </c>
      <c r="Q13" s="11">
        <f>'Table H'!$J$400</f>
        <v>0.92034638548069436</v>
      </c>
      <c r="R13" s="11">
        <f t="shared" si="0"/>
        <v>2293165.4254944189</v>
      </c>
      <c r="S13" s="11" t="str">
        <f t="shared" si="1"/>
        <v>Hackney MB</v>
      </c>
      <c r="T13" s="11" t="s">
        <v>5211</v>
      </c>
      <c r="V13" s="11" t="str">
        <f>INDEX('Lookup 1961'!$A$2:$A$1300, MATCH(S13, 'Lookup 1961'!$B$2:$B$1300,0))</f>
        <v>J04000560</v>
      </c>
      <c r="W13" s="11" t="str">
        <f>INDEX('Lookup 1961'!$F$2:$F$1300, MATCH(S13, 'Lookup 1961'!$B$2:$B$1300,0))</f>
        <v>e140382</v>
      </c>
      <c r="X13" s="11" t="str">
        <f>INDEX('Lookup 1961'!$C$2:$C$1300, MATCH(V13, 'Lookup 1961'!$A$2:$A$1300,0))</f>
        <v>Inner London</v>
      </c>
    </row>
    <row r="14" spans="1:24" ht="25.05" customHeight="1" x14ac:dyDescent="0.3">
      <c r="A14" s="2" t="s">
        <v>14</v>
      </c>
      <c r="B14" s="2" t="s">
        <v>14</v>
      </c>
      <c r="C14" s="1">
        <v>20</v>
      </c>
      <c r="D14" s="1">
        <v>4</v>
      </c>
      <c r="E14" s="1">
        <v>13</v>
      </c>
      <c r="F14" s="1">
        <v>2</v>
      </c>
      <c r="K14" s="6">
        <v>8900</v>
      </c>
      <c r="L14" s="6">
        <v>2218926</v>
      </c>
      <c r="M14" s="7" t="s">
        <v>39</v>
      </c>
      <c r="N14" s="1">
        <v>12</v>
      </c>
      <c r="O14" s="1">
        <v>9</v>
      </c>
      <c r="P14" s="1">
        <v>11.6</v>
      </c>
      <c r="Q14" s="11">
        <f>'Table H'!$J$400</f>
        <v>0.92034638548069436</v>
      </c>
      <c r="R14" s="11">
        <f t="shared" si="0"/>
        <v>2042180.5237491352</v>
      </c>
      <c r="S14" s="11" t="str">
        <f t="shared" si="1"/>
        <v>Hammersmith MB</v>
      </c>
      <c r="T14" s="11" t="s">
        <v>5211</v>
      </c>
      <c r="V14" s="11" t="str">
        <f>INDEX('Lookup 1961'!$A$2:$A$1300, MATCH(S14, 'Lookup 1961'!$B$2:$B$1300,0))</f>
        <v>J04000572</v>
      </c>
      <c r="W14" s="11" t="str">
        <f>INDEX('Lookup 1961'!$F$2:$F$1300, MATCH(S14, 'Lookup 1961'!$B$2:$B$1300,0))</f>
        <v>e140384</v>
      </c>
      <c r="X14" s="11" t="str">
        <f>INDEX('Lookup 1961'!$C$2:$C$1300, MATCH(V14, 'Lookup 1961'!$A$2:$A$1300,0))</f>
        <v>Inner London</v>
      </c>
    </row>
    <row r="15" spans="1:24" ht="25.05" customHeight="1" x14ac:dyDescent="0.3">
      <c r="A15" s="2" t="s">
        <v>15</v>
      </c>
      <c r="B15" s="2" t="s">
        <v>15</v>
      </c>
      <c r="C15" s="1">
        <v>20</v>
      </c>
      <c r="D15" s="1">
        <v>2</v>
      </c>
      <c r="E15" s="1">
        <v>13</v>
      </c>
      <c r="F15" s="1">
        <v>10</v>
      </c>
      <c r="K15" s="6">
        <v>8936</v>
      </c>
      <c r="L15" s="6">
        <v>2236845</v>
      </c>
      <c r="M15" s="7" t="s">
        <v>40</v>
      </c>
      <c r="N15" s="1">
        <v>15</v>
      </c>
      <c r="O15" s="1">
        <v>9</v>
      </c>
      <c r="P15" s="1">
        <v>-10.4</v>
      </c>
      <c r="Q15" s="11">
        <f>'Table H'!$J$400</f>
        <v>0.92034638548069436</v>
      </c>
      <c r="R15" s="11">
        <f t="shared" si="0"/>
        <v>2058672.2106305638</v>
      </c>
      <c r="S15" s="11" t="str">
        <f t="shared" si="1"/>
        <v>Hampstead MB</v>
      </c>
      <c r="T15" s="11" t="s">
        <v>5211</v>
      </c>
      <c r="V15" s="11" t="str">
        <f>INDEX('Lookup 1961'!$A$2:$A$1300, MATCH(S15, 'Lookup 1961'!$B$2:$B$1300,0))</f>
        <v>J04000573</v>
      </c>
      <c r="W15" s="11" t="str">
        <f>INDEX('Lookup 1961'!$F$2:$F$1300, MATCH(S15, 'Lookup 1961'!$B$2:$B$1300,0))</f>
        <v>e140376</v>
      </c>
      <c r="X15" s="11" t="str">
        <f>INDEX('Lookup 1961'!$C$2:$C$1300, MATCH(V15, 'Lookup 1961'!$A$2:$A$1300,0))</f>
        <v>Inner London</v>
      </c>
    </row>
    <row r="16" spans="1:24" ht="25.05" customHeight="1" x14ac:dyDescent="0.3">
      <c r="A16" s="2" t="s">
        <v>25</v>
      </c>
      <c r="B16" s="2" t="s">
        <v>25</v>
      </c>
      <c r="C16" s="1">
        <v>19</v>
      </c>
      <c r="D16" s="1">
        <v>0</v>
      </c>
      <c r="E16" s="1">
        <v>11</v>
      </c>
      <c r="F16" s="1">
        <v>6</v>
      </c>
      <c r="K16" s="6">
        <v>15700</v>
      </c>
      <c r="L16" s="6">
        <v>3761424</v>
      </c>
      <c r="M16" s="7" t="s">
        <v>41</v>
      </c>
      <c r="N16" s="1">
        <v>96</v>
      </c>
      <c r="O16" s="1">
        <v>4</v>
      </c>
      <c r="P16" s="1">
        <v>39.5</v>
      </c>
      <c r="Q16" s="11">
        <f>'Table H'!$J$400</f>
        <v>0.92034638548069436</v>
      </c>
      <c r="R16" s="11">
        <f t="shared" si="0"/>
        <v>3461812.9826603355</v>
      </c>
      <c r="S16" s="11" t="str">
        <f t="shared" si="1"/>
        <v>Holborn MB</v>
      </c>
      <c r="T16" s="11" t="s">
        <v>5211</v>
      </c>
      <c r="V16" s="11" t="str">
        <f>INDEX('Lookup 1961'!$A$2:$A$1300, MATCH(S16, 'Lookup 1961'!$B$2:$B$1300,0))</f>
        <v>J04000630</v>
      </c>
      <c r="W16" s="11" t="str">
        <f>INDEX('Lookup 1961'!$F$2:$F$1300, MATCH(S16, 'Lookup 1961'!$B$2:$B$1300,0))</f>
        <v>e140376</v>
      </c>
      <c r="X16" s="11" t="str">
        <f>INDEX('Lookup 1961'!$C$2:$C$1300, MATCH(V16, 'Lookup 1961'!$A$2:$A$1300,0))</f>
        <v>Inner London</v>
      </c>
    </row>
    <row r="17" spans="1:24" ht="25.05" customHeight="1" x14ac:dyDescent="0.3">
      <c r="A17" s="2" t="s">
        <v>16</v>
      </c>
      <c r="B17" s="2" t="s">
        <v>16</v>
      </c>
      <c r="C17" s="1">
        <v>19</v>
      </c>
      <c r="D17" s="1">
        <v>4</v>
      </c>
      <c r="E17" s="1">
        <v>13</v>
      </c>
      <c r="F17" s="1">
        <v>4</v>
      </c>
      <c r="K17" s="6">
        <v>12650</v>
      </c>
      <c r="L17" s="6">
        <v>3203966</v>
      </c>
      <c r="M17" s="7" t="s">
        <v>42</v>
      </c>
      <c r="N17" s="1">
        <v>9</v>
      </c>
      <c r="O17" s="1">
        <v>0</v>
      </c>
      <c r="P17" s="1">
        <v>6.6</v>
      </c>
      <c r="Q17" s="11">
        <f>'Table H'!$J$400</f>
        <v>0.92034638548069436</v>
      </c>
      <c r="R17" s="11">
        <f t="shared" si="0"/>
        <v>2948758.5273030382</v>
      </c>
      <c r="S17" s="11" t="str">
        <f t="shared" si="1"/>
        <v>Islington MB</v>
      </c>
      <c r="T17" s="11" t="s">
        <v>5211</v>
      </c>
      <c r="V17" s="11" t="str">
        <f>INDEX('Lookup 1961'!$A$2:$A$1300, MATCH(S17, 'Lookup 1961'!$B$2:$B$1300,0))</f>
        <v>J04000677</v>
      </c>
      <c r="W17" s="11" t="str">
        <f>INDEX('Lookup 1961'!$F$2:$F$1300, MATCH(S17, 'Lookup 1961'!$B$2:$B$1300,0))</f>
        <v>e140390</v>
      </c>
      <c r="X17" s="11" t="str">
        <f>INDEX('Lookup 1961'!$C$2:$C$1300, MATCH(V17, 'Lookup 1961'!$A$2:$A$1300,0))</f>
        <v>Inner London</v>
      </c>
    </row>
    <row r="18" spans="1:24" ht="25.05" customHeight="1" x14ac:dyDescent="0.3">
      <c r="A18" s="2" t="s">
        <v>17</v>
      </c>
      <c r="B18" s="2" t="s">
        <v>17</v>
      </c>
      <c r="C18" s="1">
        <v>19</v>
      </c>
      <c r="D18" s="1">
        <v>4</v>
      </c>
      <c r="E18" s="1">
        <v>13</v>
      </c>
      <c r="F18" s="1">
        <v>6</v>
      </c>
      <c r="K18" s="6">
        <v>21600</v>
      </c>
      <c r="L18" s="6">
        <v>5462926</v>
      </c>
      <c r="M18" s="7" t="s">
        <v>43</v>
      </c>
      <c r="N18" s="1">
        <v>20</v>
      </c>
      <c r="O18" s="1">
        <v>15</v>
      </c>
      <c r="P18" s="1">
        <v>7</v>
      </c>
      <c r="Q18" s="11">
        <f>'Table H'!$J$400</f>
        <v>0.92034638548069436</v>
      </c>
      <c r="R18" s="11">
        <f t="shared" si="0"/>
        <v>5027784.1982485075</v>
      </c>
      <c r="S18" s="11" t="str">
        <f t="shared" si="1"/>
        <v>Kensington MB</v>
      </c>
      <c r="T18" s="11" t="s">
        <v>5211</v>
      </c>
      <c r="V18" s="11" t="str">
        <f>INDEX('Lookup 1961'!$A$2:$A$1300, MATCH(S18, 'Lookup 1961'!$B$2:$B$1300,0))</f>
        <v>J04000684</v>
      </c>
      <c r="W18" s="11" t="str">
        <f>INDEX('Lookup 1961'!$F$2:$F$1300, MATCH(S18, 'Lookup 1961'!$B$2:$B$1300,0))</f>
        <v>e140392</v>
      </c>
      <c r="X18" s="11" t="str">
        <f>INDEX('Lookup 1961'!$C$2:$C$1300, MATCH(V18, 'Lookup 1961'!$A$2:$A$1300,0))</f>
        <v>Inner London</v>
      </c>
    </row>
    <row r="19" spans="1:24" ht="25.05" customHeight="1" x14ac:dyDescent="0.3">
      <c r="A19" s="2" t="s">
        <v>24</v>
      </c>
      <c r="B19" s="2" t="s">
        <v>24</v>
      </c>
      <c r="C19" s="1">
        <v>20</v>
      </c>
      <c r="D19" s="1">
        <v>0</v>
      </c>
      <c r="E19" s="1">
        <v>13</v>
      </c>
      <c r="F19" s="1">
        <v>4</v>
      </c>
      <c r="K19" s="6">
        <v>15200</v>
      </c>
      <c r="L19" s="6">
        <v>3898091</v>
      </c>
      <c r="M19" s="7" t="s">
        <v>44</v>
      </c>
      <c r="N19" s="1">
        <v>11</v>
      </c>
      <c r="O19" s="1">
        <v>1</v>
      </c>
      <c r="P19" s="1">
        <v>11.8</v>
      </c>
      <c r="Q19" s="11">
        <f>'Table H'!$J$400</f>
        <v>0.92034638548069436</v>
      </c>
      <c r="R19" s="11">
        <f t="shared" si="0"/>
        <v>3587593.9621248255</v>
      </c>
      <c r="S19" s="11" t="str">
        <f t="shared" si="1"/>
        <v>Lambeth MB</v>
      </c>
      <c r="T19" s="11" t="s">
        <v>5211</v>
      </c>
      <c r="V19" s="11" t="str">
        <f>INDEX('Lookup 1961'!$A$2:$A$1300, MATCH(S19, 'Lookup 1961'!$B$2:$B$1300,0))</f>
        <v>J04000716</v>
      </c>
      <c r="W19" s="11" t="str">
        <f>INDEX('Lookup 1961'!$F$2:$F$1300, MATCH(S19, 'Lookup 1961'!$B$2:$B$1300,0))</f>
        <v>e140395</v>
      </c>
      <c r="X19" s="11" t="str">
        <f>INDEX('Lookup 1961'!$C$2:$C$1300, MATCH(V19, 'Lookup 1961'!$A$2:$A$1300,0))</f>
        <v>Inner London</v>
      </c>
    </row>
    <row r="20" spans="1:24" ht="25.05" customHeight="1" x14ac:dyDescent="0.3">
      <c r="A20" s="2" t="s">
        <v>18</v>
      </c>
      <c r="B20" s="2" t="s">
        <v>18</v>
      </c>
      <c r="C20" s="1">
        <v>19</v>
      </c>
      <c r="D20" s="1">
        <v>10</v>
      </c>
      <c r="E20" s="1">
        <v>12</v>
      </c>
      <c r="F20" s="1">
        <v>10</v>
      </c>
      <c r="K20" s="6">
        <v>12100</v>
      </c>
      <c r="L20" s="6">
        <v>3092894</v>
      </c>
      <c r="M20" s="7" t="s">
        <v>29</v>
      </c>
      <c r="N20" s="1">
        <v>8</v>
      </c>
      <c r="O20" s="1">
        <v>10</v>
      </c>
      <c r="P20" s="1">
        <v>2.6</v>
      </c>
      <c r="Q20" s="11">
        <f>'Table H'!$J$400</f>
        <v>0.92034638548069436</v>
      </c>
      <c r="R20" s="11">
        <f t="shared" si="0"/>
        <v>2846533.8135749269</v>
      </c>
      <c r="S20" s="11" t="str">
        <f t="shared" si="1"/>
        <v>Lewisham MB</v>
      </c>
      <c r="T20" s="11" t="s">
        <v>5211</v>
      </c>
      <c r="V20" s="11" t="str">
        <f>INDEX('Lookup 1961'!$A$2:$A$1300, MATCH(S20, 'Lookup 1961'!$B$2:$B$1300,0))</f>
        <v>J04000739</v>
      </c>
      <c r="W20" s="11" t="str">
        <f>INDEX('Lookup 1961'!$F$2:$F$1300, MATCH(S20, 'Lookup 1961'!$B$2:$B$1300,0))</f>
        <v>e140397</v>
      </c>
      <c r="X20" s="11" t="str">
        <f>INDEX('Lookup 1961'!$C$2:$C$1300, MATCH(V20, 'Lookup 1961'!$A$2:$A$1300,0))</f>
        <v>Inner London</v>
      </c>
    </row>
    <row r="21" spans="1:24" ht="25.05" customHeight="1" x14ac:dyDescent="0.3">
      <c r="A21" s="2" t="s">
        <v>19</v>
      </c>
      <c r="B21" s="2" t="s">
        <v>19</v>
      </c>
      <c r="C21" s="1">
        <v>21</v>
      </c>
      <c r="D21" s="1">
        <v>2</v>
      </c>
      <c r="E21" s="1">
        <v>14</v>
      </c>
      <c r="F21" s="1">
        <v>4</v>
      </c>
      <c r="K21" s="6">
        <v>10700</v>
      </c>
      <c r="L21" s="6">
        <v>2654898</v>
      </c>
      <c r="M21" s="7" t="s">
        <v>45</v>
      </c>
      <c r="N21" s="1">
        <v>15</v>
      </c>
      <c r="O21" s="1">
        <v>3</v>
      </c>
      <c r="P21" s="1">
        <v>-0.9</v>
      </c>
      <c r="Q21" s="11">
        <f>'Table H'!$J$400</f>
        <v>0.92034638548069436</v>
      </c>
      <c r="R21" s="11">
        <f t="shared" si="0"/>
        <v>2443425.7781199245</v>
      </c>
      <c r="S21" s="11" t="str">
        <f t="shared" si="1"/>
        <v>Paddington MB</v>
      </c>
      <c r="T21" s="11" t="s">
        <v>5211</v>
      </c>
      <c r="V21" s="11" t="str">
        <f>INDEX('Lookup 1961'!$A$2:$A$1300, MATCH(S21, 'Lookup 1961'!$B$2:$B$1300,0))</f>
        <v>J04000968</v>
      </c>
      <c r="W21" s="11" t="str">
        <f>INDEX('Lookup 1961'!$F$2:$F$1300, MATCH(S21, 'Lookup 1961'!$B$2:$B$1300,0))</f>
        <v>e140409</v>
      </c>
      <c r="X21" s="11" t="str">
        <f>INDEX('Lookup 1961'!$C$2:$C$1300, MATCH(V21, 'Lookup 1961'!$A$2:$A$1300,0))</f>
        <v>Inner London</v>
      </c>
    </row>
    <row r="22" spans="1:24" ht="25.05" customHeight="1" x14ac:dyDescent="0.3">
      <c r="A22" s="2" t="s">
        <v>20</v>
      </c>
      <c r="B22" s="2" t="s">
        <v>20</v>
      </c>
      <c r="C22" s="1">
        <v>21</v>
      </c>
      <c r="D22" s="1">
        <v>8</v>
      </c>
      <c r="E22" s="1">
        <v>15</v>
      </c>
      <c r="F22" s="1">
        <v>0</v>
      </c>
      <c r="K22" s="6">
        <v>4180</v>
      </c>
      <c r="L22" s="6">
        <v>1081320</v>
      </c>
      <c r="M22" s="7" t="s">
        <v>46</v>
      </c>
      <c r="N22" s="1">
        <v>11</v>
      </c>
      <c r="O22" s="1">
        <v>3</v>
      </c>
      <c r="P22" s="1">
        <v>25.5</v>
      </c>
      <c r="Q22" s="11">
        <f>'Table H'!$J$400</f>
        <v>0.92034638548069436</v>
      </c>
      <c r="R22" s="11">
        <f t="shared" si="0"/>
        <v>995188.95354798448</v>
      </c>
      <c r="S22" s="11" t="str">
        <f t="shared" si="1"/>
        <v>Poplar MB</v>
      </c>
      <c r="T22" s="11" t="s">
        <v>5211</v>
      </c>
      <c r="V22" s="11" t="str">
        <f>INDEX('Lookup 1961'!$A$2:$A$1300, MATCH(S22, 'Lookup 1961'!$B$2:$B$1300,0))</f>
        <v>J04001005</v>
      </c>
      <c r="W22" s="11" t="str">
        <f>INDEX('Lookup 1961'!$F$2:$F$1300, MATCH(S22, 'Lookup 1961'!$B$2:$B$1300,0))</f>
        <v>e140405</v>
      </c>
      <c r="X22" s="11" t="str">
        <f>INDEX('Lookup 1961'!$C$2:$C$1300, MATCH(V22, 'Lookup 1961'!$A$2:$A$1300,0))</f>
        <v>Inner London</v>
      </c>
    </row>
    <row r="23" spans="1:24" ht="25.05" customHeight="1" x14ac:dyDescent="0.3">
      <c r="A23" s="2" t="s">
        <v>21</v>
      </c>
      <c r="B23" s="2" t="s">
        <v>21</v>
      </c>
      <c r="C23" s="1">
        <v>19</v>
      </c>
      <c r="D23" s="1">
        <v>2</v>
      </c>
      <c r="E23" s="1">
        <v>12</v>
      </c>
      <c r="F23" s="1">
        <v>2</v>
      </c>
      <c r="K23" s="6">
        <v>25900</v>
      </c>
      <c r="L23" s="6">
        <v>6679740</v>
      </c>
      <c r="M23" s="7" t="s">
        <v>47</v>
      </c>
      <c r="N23" s="1">
        <v>52</v>
      </c>
      <c r="O23" s="1">
        <v>4</v>
      </c>
      <c r="P23" s="1">
        <v>16.8</v>
      </c>
      <c r="Q23" s="11">
        <f>'Table H'!$J$400</f>
        <v>0.92034638548069436</v>
      </c>
      <c r="R23" s="11">
        <f t="shared" si="0"/>
        <v>6147674.5649508135</v>
      </c>
      <c r="S23" s="11" t="str">
        <f t="shared" si="1"/>
        <v>St. Marylebone MB</v>
      </c>
      <c r="T23" s="11" t="s">
        <v>5211</v>
      </c>
      <c r="V23" s="11" t="str">
        <f>INDEX('Lookup 1961'!$A$2:$A$1300, MATCH(S23, 'Lookup 1961'!$B$2:$B$1300,0))</f>
        <v>J04001191</v>
      </c>
      <c r="W23" s="11" t="str">
        <f>INDEX('Lookup 1961'!$F$2:$F$1300, MATCH(S23, 'Lookup 1961'!$B$2:$B$1300,0))</f>
        <v>e140409</v>
      </c>
      <c r="X23" s="11" t="str">
        <f>INDEX('Lookup 1961'!$C$2:$C$1300, MATCH(V23, 'Lookup 1961'!$A$2:$A$1300,0))</f>
        <v>Inner London</v>
      </c>
    </row>
    <row r="24" spans="1:24" ht="25.05" customHeight="1" x14ac:dyDescent="0.3">
      <c r="A24" s="2" t="s">
        <v>22</v>
      </c>
      <c r="B24" s="2" t="s">
        <v>22</v>
      </c>
      <c r="C24" s="1">
        <v>21</v>
      </c>
      <c r="D24" s="1">
        <v>0</v>
      </c>
      <c r="E24" s="1">
        <v>14</v>
      </c>
      <c r="F24" s="1">
        <v>6</v>
      </c>
      <c r="K24" s="6">
        <v>14425</v>
      </c>
      <c r="L24" s="6">
        <v>3732700</v>
      </c>
      <c r="M24" s="7" t="s">
        <v>48</v>
      </c>
      <c r="N24" s="1">
        <v>19</v>
      </c>
      <c r="O24" s="1">
        <v>0</v>
      </c>
      <c r="P24" s="1">
        <v>16.2</v>
      </c>
      <c r="Q24" s="11">
        <f>'Table H'!$J$400</f>
        <v>0.92034638548069436</v>
      </c>
      <c r="R24" s="11">
        <f t="shared" si="0"/>
        <v>3435376.953083788</v>
      </c>
      <c r="S24" s="11" t="str">
        <f t="shared" si="1"/>
        <v>St. Pancras MB</v>
      </c>
      <c r="T24" s="11" t="s">
        <v>5211</v>
      </c>
      <c r="V24" s="11" t="str">
        <f>INDEX('Lookup 1961'!$A$2:$A$1300, MATCH(S24, 'Lookup 1961'!$B$2:$B$1300,0))</f>
        <v>J04001194</v>
      </c>
      <c r="W24" s="11" t="str">
        <f>INDEX('Lookup 1961'!$F$2:$F$1300, MATCH(S24, 'Lookup 1961'!$B$2:$B$1300,0))</f>
        <v>e140376</v>
      </c>
      <c r="X24" s="11" t="str">
        <f>INDEX('Lookup 1961'!$C$2:$C$1300, MATCH(V24, 'Lookup 1961'!$A$2:$A$1300,0))</f>
        <v>Inner London</v>
      </c>
    </row>
    <row r="25" spans="1:24" ht="25.05" customHeight="1" x14ac:dyDescent="0.3">
      <c r="A25" s="2" t="s">
        <v>23</v>
      </c>
      <c r="B25" s="2" t="s">
        <v>23</v>
      </c>
      <c r="C25" s="1">
        <v>23</v>
      </c>
      <c r="D25" s="1">
        <v>0</v>
      </c>
      <c r="E25" s="1">
        <v>14</v>
      </c>
      <c r="F25" s="1">
        <v>8</v>
      </c>
      <c r="K25" s="6">
        <v>4100</v>
      </c>
      <c r="L25" s="6">
        <v>1058161</v>
      </c>
      <c r="M25" s="7" t="s">
        <v>49</v>
      </c>
      <c r="N25" s="1">
        <v>16</v>
      </c>
      <c r="O25" s="1">
        <v>10</v>
      </c>
      <c r="P25" s="1">
        <v>4.4000000000000004</v>
      </c>
      <c r="Q25" s="11">
        <f>'Table H'!$J$400</f>
        <v>0.92034638548069436</v>
      </c>
      <c r="R25" s="11">
        <f t="shared" si="0"/>
        <v>973874.65160663705</v>
      </c>
      <c r="S25" s="11" t="str">
        <f t="shared" si="1"/>
        <v>Shoreditch MB</v>
      </c>
      <c r="T25" s="11" t="s">
        <v>5211</v>
      </c>
      <c r="V25" s="11" t="str">
        <f>INDEX('Lookup 1961'!$A$2:$A$1300, MATCH(S25, 'Lookup 1961'!$B$2:$B$1300,0))</f>
        <v>J04001138</v>
      </c>
      <c r="W25" s="11" t="str">
        <f>INDEX('Lookup 1961'!$F$2:$F$1300, MATCH(S25, 'Lookup 1961'!$B$2:$B$1300,0))</f>
        <v>e140382</v>
      </c>
      <c r="X25" s="11" t="str">
        <f>INDEX('Lookup 1961'!$C$2:$C$1300, MATCH(V25, 'Lookup 1961'!$A$2:$A$1300,0))</f>
        <v>Inner London</v>
      </c>
    </row>
    <row r="26" spans="1:24" ht="25.05" customHeight="1" x14ac:dyDescent="0.3">
      <c r="A26" s="2" t="s">
        <v>50</v>
      </c>
      <c r="B26" s="2" t="s">
        <v>2989</v>
      </c>
      <c r="M26" s="7"/>
      <c r="X26" s="11" t="e">
        <f>INDEX('Lookup 1961'!$C$2:$C$1300, MATCH(V26, 'Lookup 1961'!$A$2:$A$1300,0))</f>
        <v>#N/A</v>
      </c>
    </row>
    <row r="27" spans="1:24" ht="25.05" customHeight="1" x14ac:dyDescent="0.3">
      <c r="A27" s="2" t="s">
        <v>51</v>
      </c>
      <c r="B27" s="2" t="s">
        <v>5256</v>
      </c>
      <c r="M27" s="7"/>
      <c r="X27" s="11" t="e">
        <f>INDEX('Lookup 1961'!$C$2:$C$1300, MATCH(V27, 'Lookup 1961'!$A$2:$A$1300,0))</f>
        <v>#N/A</v>
      </c>
    </row>
    <row r="28" spans="1:24" ht="25.05" customHeight="1" x14ac:dyDescent="0.3">
      <c r="A28" s="5" t="s">
        <v>52</v>
      </c>
      <c r="B28" s="5" t="s">
        <v>52</v>
      </c>
      <c r="C28" s="1">
        <v>21</v>
      </c>
      <c r="D28" s="1">
        <v>0</v>
      </c>
      <c r="E28" s="1">
        <v>14</v>
      </c>
      <c r="F28" s="1">
        <v>5</v>
      </c>
      <c r="M28" s="7"/>
      <c r="S28" s="11" t="str">
        <f t="shared" si="1"/>
        <v>St. George-the-Martyr and Christchurch MB</v>
      </c>
      <c r="T28" s="11" t="s">
        <v>5211</v>
      </c>
      <c r="V28" s="11" t="e">
        <f>INDEX('Lookup 1961'!$A$2:$A$1300, MATCH(S28, 'Lookup 1961'!$B$2:$B$1300,0))</f>
        <v>#N/A</v>
      </c>
      <c r="W28" s="11" t="e">
        <f>INDEX('Lookup 1961'!$F$2:$F$1300, MATCH(S28, 'Lookup 1961'!$B$2:$B$1300,0))</f>
        <v>#N/A</v>
      </c>
      <c r="X28" s="11" t="e">
        <f>INDEX('Lookup 1961'!$C$2:$C$1300, MATCH(V28, 'Lookup 1961'!$A$2:$A$1300,0))</f>
        <v>#N/A</v>
      </c>
    </row>
    <row r="29" spans="1:24" ht="25.05" customHeight="1" x14ac:dyDescent="0.3">
      <c r="A29" s="2" t="s">
        <v>54</v>
      </c>
      <c r="B29" s="2" t="s">
        <v>2989</v>
      </c>
      <c r="C29" s="1">
        <v>20</v>
      </c>
      <c r="D29" s="1">
        <v>10</v>
      </c>
      <c r="E29" s="1">
        <v>14</v>
      </c>
      <c r="F29" s="1">
        <v>3</v>
      </c>
      <c r="K29" s="6">
        <v>7330</v>
      </c>
      <c r="L29" s="6">
        <v>1871918</v>
      </c>
      <c r="M29" s="7" t="s">
        <v>53</v>
      </c>
      <c r="N29" s="1">
        <v>13</v>
      </c>
      <c r="O29" s="1">
        <v>17</v>
      </c>
      <c r="P29" s="1">
        <v>19</v>
      </c>
      <c r="Q29" s="11">
        <f>'Table H'!$J$400</f>
        <v>0.92034638548069436</v>
      </c>
      <c r="R29" s="11">
        <f t="shared" si="0"/>
        <v>1722812.9652162504</v>
      </c>
      <c r="S29" s="11" t="str">
        <f t="shared" si="1"/>
        <v>Southwark MB</v>
      </c>
      <c r="T29" s="11" t="s">
        <v>5211</v>
      </c>
      <c r="V29" s="11" t="str">
        <f>INDEX('Lookup 1961'!$A$2:$A$1300, MATCH(S29, 'Lookup 1961'!$B$2:$B$1300,0))</f>
        <v>J04001169</v>
      </c>
      <c r="W29" s="11" t="str">
        <f>INDEX('Lookup 1961'!$F$2:$F$1300, MATCH(S29, 'Lookup 1961'!$B$2:$B$1300,0))</f>
        <v>e140402</v>
      </c>
      <c r="X29" s="11" t="str">
        <f>INDEX('Lookup 1961'!$C$2:$C$1300, MATCH(V29, 'Lookup 1961'!$A$2:$A$1300,0))</f>
        <v>Inner London</v>
      </c>
    </row>
    <row r="30" spans="1:24" ht="25.05" customHeight="1" x14ac:dyDescent="0.3">
      <c r="A30" s="2" t="s">
        <v>55</v>
      </c>
      <c r="B30" s="2" t="s">
        <v>55</v>
      </c>
      <c r="C30" s="1">
        <v>20</v>
      </c>
      <c r="D30" s="1">
        <v>6</v>
      </c>
      <c r="E30" s="1">
        <v>14</v>
      </c>
      <c r="F30" s="1">
        <v>1</v>
      </c>
      <c r="M30" s="7"/>
      <c r="S30" s="11" t="str">
        <f t="shared" si="1"/>
        <v>St. Saviour MB</v>
      </c>
      <c r="T30" s="11" t="s">
        <v>5211</v>
      </c>
      <c r="V30" s="11" t="e">
        <f>INDEX('Lookup 1961'!$A$2:$A$1300, MATCH(S30, 'Lookup 1961'!$B$2:$B$1300,0))</f>
        <v>#N/A</v>
      </c>
      <c r="W30" s="11" t="e">
        <f>INDEX('Lookup 1961'!$F$2:$F$1300, MATCH(S30, 'Lookup 1961'!$B$2:$B$1300,0))</f>
        <v>#N/A</v>
      </c>
      <c r="X30" s="11" t="e">
        <f>INDEX('Lookup 1961'!$C$2:$C$1300, MATCH(V30, 'Lookup 1961'!$A$2:$A$1300,0))</f>
        <v>#N/A</v>
      </c>
    </row>
    <row r="31" spans="1:24" ht="25.05" customHeight="1" x14ac:dyDescent="0.3">
      <c r="A31" s="2" t="s">
        <v>56</v>
      </c>
      <c r="B31" s="2" t="s">
        <v>5328</v>
      </c>
      <c r="C31" s="1">
        <v>23</v>
      </c>
      <c r="D31" s="1">
        <v>4</v>
      </c>
      <c r="E31" s="1">
        <v>15</v>
      </c>
      <c r="F31" s="1">
        <v>8</v>
      </c>
      <c r="K31" s="6">
        <v>8500</v>
      </c>
      <c r="L31" s="6">
        <v>2261525</v>
      </c>
      <c r="M31" s="7" t="s">
        <v>61</v>
      </c>
      <c r="N31" s="1">
        <v>17</v>
      </c>
      <c r="O31" s="1">
        <v>1</v>
      </c>
      <c r="P31" s="1">
        <v>16.2</v>
      </c>
      <c r="Q31" s="11">
        <f>'Table H'!$J$400</f>
        <v>0.92034638548069436</v>
      </c>
      <c r="R31" s="11">
        <f t="shared" si="0"/>
        <v>2081386.3594242274</v>
      </c>
      <c r="S31" s="11" t="str">
        <f t="shared" si="1"/>
        <v>Stepney MB</v>
      </c>
      <c r="T31" s="11" t="s">
        <v>5211</v>
      </c>
      <c r="V31" s="11" t="str">
        <f>INDEX('Lookup 1961'!$A$2:$A$1300, MATCH(S31, 'Lookup 1961'!$B$2:$B$1300,0))</f>
        <v>J04001206</v>
      </c>
      <c r="W31" s="11" t="str">
        <f>INDEX('Lookup 1961'!$F$2:$F$1300, MATCH(S31, 'Lookup 1961'!$B$2:$B$1300,0))</f>
        <v>e140405</v>
      </c>
      <c r="X31" s="11" t="str">
        <f>INDEX('Lookup 1961'!$C$2:$C$1300, MATCH(V31, 'Lookup 1961'!$A$2:$A$1300,0))</f>
        <v>Inner London</v>
      </c>
    </row>
    <row r="32" spans="1:24" ht="25.05" customHeight="1" x14ac:dyDescent="0.3">
      <c r="A32" s="2" t="s">
        <v>57</v>
      </c>
      <c r="B32" s="2" t="s">
        <v>57</v>
      </c>
      <c r="C32" s="1">
        <v>20</v>
      </c>
      <c r="D32" s="1">
        <v>6</v>
      </c>
      <c r="E32" s="1">
        <v>15</v>
      </c>
      <c r="F32" s="1">
        <v>4</v>
      </c>
      <c r="K32" s="6">
        <v>2700</v>
      </c>
      <c r="L32" s="6">
        <v>694646</v>
      </c>
      <c r="M32" s="7" t="s">
        <v>62</v>
      </c>
      <c r="N32" s="1">
        <v>10</v>
      </c>
      <c r="O32" s="1">
        <v>7</v>
      </c>
      <c r="P32" s="1">
        <v>14.7</v>
      </c>
      <c r="Q32" s="11">
        <f>'Table H'!$J$400</f>
        <v>0.92034638548069436</v>
      </c>
      <c r="R32" s="11">
        <f t="shared" si="0"/>
        <v>639314.93528862239</v>
      </c>
      <c r="S32" s="11" t="str">
        <f t="shared" si="1"/>
        <v>Stoke Newington MB</v>
      </c>
      <c r="T32" s="11" t="s">
        <v>5211</v>
      </c>
      <c r="V32" s="11" t="str">
        <f>INDEX('Lookup 1961'!$A$2:$A$1300, MATCH(S32, 'Lookup 1961'!$B$2:$B$1300,0))</f>
        <v>J04001212</v>
      </c>
      <c r="W32" s="11" t="str">
        <f>INDEX('Lookup 1961'!$F$2:$F$1300, MATCH(S32, 'Lookup 1961'!$B$2:$B$1300,0))</f>
        <v>e140382</v>
      </c>
      <c r="X32" s="11" t="str">
        <f>INDEX('Lookup 1961'!$C$2:$C$1300, MATCH(V32, 'Lookup 1961'!$A$2:$A$1300,0))</f>
        <v>Inner London</v>
      </c>
    </row>
    <row r="33" spans="1:24" ht="25.05" customHeight="1" x14ac:dyDescent="0.3">
      <c r="A33" s="2" t="s">
        <v>58</v>
      </c>
      <c r="B33" s="2" t="s">
        <v>58</v>
      </c>
      <c r="C33" s="1">
        <v>19</v>
      </c>
      <c r="D33" s="1">
        <v>0</v>
      </c>
      <c r="E33" s="1">
        <v>12</v>
      </c>
      <c r="F33" s="1">
        <v>8</v>
      </c>
      <c r="K33" s="6">
        <v>20900</v>
      </c>
      <c r="L33" s="6">
        <v>5344015</v>
      </c>
      <c r="M33" s="7" t="s">
        <v>63</v>
      </c>
      <c r="N33" s="1">
        <v>9</v>
      </c>
      <c r="O33" s="1">
        <v>19</v>
      </c>
      <c r="P33" s="1">
        <v>2.2000000000000002</v>
      </c>
      <c r="Q33" s="11">
        <f>'Table H'!$J$400</f>
        <v>0.92034638548069436</v>
      </c>
      <c r="R33" s="11">
        <f t="shared" si="0"/>
        <v>4918344.8892046129</v>
      </c>
      <c r="S33" s="11" t="str">
        <f t="shared" si="1"/>
        <v>Wandsworth MB</v>
      </c>
      <c r="T33" s="11" t="s">
        <v>5211</v>
      </c>
      <c r="V33" s="11" t="str">
        <f>INDEX('Lookup 1961'!$A$2:$A$1300, MATCH(S33, 'Lookup 1961'!$B$2:$B$1300,0))</f>
        <v>J04001334</v>
      </c>
      <c r="W33" s="11" t="str">
        <f>INDEX('Lookup 1961'!$F$2:$F$1300, MATCH(S33, 'Lookup 1961'!$B$2:$B$1300,0))</f>
        <v>e140408</v>
      </c>
      <c r="X33" s="11" t="str">
        <f>INDEX('Lookup 1961'!$C$2:$C$1300, MATCH(V33, 'Lookup 1961'!$A$2:$A$1300,0))</f>
        <v>Inner London</v>
      </c>
    </row>
    <row r="34" spans="1:24" ht="25.05" customHeight="1" x14ac:dyDescent="0.3">
      <c r="A34" s="2" t="s">
        <v>59</v>
      </c>
      <c r="B34" s="2" t="s">
        <v>59</v>
      </c>
      <c r="C34" s="1">
        <v>17</v>
      </c>
      <c r="D34" s="1">
        <v>4</v>
      </c>
      <c r="E34" s="1">
        <v>10</v>
      </c>
      <c r="F34" s="1">
        <v>10</v>
      </c>
      <c r="K34" s="6">
        <v>91500</v>
      </c>
      <c r="L34" s="6">
        <v>22459277</v>
      </c>
      <c r="M34" s="7" t="s">
        <v>64</v>
      </c>
      <c r="N34" s="1">
        <v>128</v>
      </c>
      <c r="O34" s="1">
        <v>12</v>
      </c>
      <c r="P34" s="1">
        <v>31.5</v>
      </c>
      <c r="Q34" s="11">
        <f>'Table H'!$J$400</f>
        <v>0.92034638548069436</v>
      </c>
      <c r="R34" s="11">
        <f t="shared" si="0"/>
        <v>20670314.407459691</v>
      </c>
      <c r="S34" s="11" t="str">
        <f t="shared" si="1"/>
        <v>Westminster MB</v>
      </c>
      <c r="T34" s="11" t="s">
        <v>5211</v>
      </c>
      <c r="V34" s="11" t="str">
        <f>INDEX('Lookup 1961'!$A$2:$A$1300, MATCH(S34, 'Lookup 1961'!$B$2:$B$1300,0))</f>
        <v>J04001391</v>
      </c>
      <c r="W34" s="11" t="str">
        <f>INDEX('Lookup 1961'!$F$2:$F$1300, MATCH(S34, 'Lookup 1961'!$B$2:$B$1300,0))</f>
        <v>e140409</v>
      </c>
      <c r="X34" s="11" t="str">
        <f>INDEX('Lookup 1961'!$C$2:$C$1300, MATCH(V34, 'Lookup 1961'!$A$2:$A$1300,0))</f>
        <v>Inner London</v>
      </c>
    </row>
    <row r="35" spans="1:24" ht="25.05" customHeight="1" x14ac:dyDescent="0.3">
      <c r="A35" s="2" t="s">
        <v>60</v>
      </c>
      <c r="B35" s="2" t="s">
        <v>5216</v>
      </c>
      <c r="C35" s="1">
        <v>20</v>
      </c>
      <c r="D35" s="1">
        <v>11</v>
      </c>
      <c r="E35" s="1">
        <v>13</v>
      </c>
      <c r="F35" s="1">
        <v>6</v>
      </c>
      <c r="K35" s="6">
        <v>9827</v>
      </c>
      <c r="L35" s="6">
        <v>2421106</v>
      </c>
      <c r="M35" s="7" t="s">
        <v>65</v>
      </c>
      <c r="N35" s="1">
        <v>10</v>
      </c>
      <c r="O35" s="1">
        <v>19</v>
      </c>
      <c r="P35" s="1">
        <v>23.3</v>
      </c>
      <c r="Q35" s="11">
        <f>'Table H'!$J$400</f>
        <v>0.92034638548069436</v>
      </c>
      <c r="R35" s="11">
        <f t="shared" si="0"/>
        <v>2228256.155965622</v>
      </c>
      <c r="S35" s="11" t="str">
        <f t="shared" si="1"/>
        <v>Woolwich MB</v>
      </c>
      <c r="T35" s="11" t="s">
        <v>5211</v>
      </c>
      <c r="V35" s="11" t="str">
        <f>INDEX('Lookup 1961'!$A$2:$A$1300, MATCH(S35, 'Lookup 1961'!$B$2:$B$1300,0))</f>
        <v>J04001449</v>
      </c>
      <c r="W35" s="11" t="str">
        <f>INDEX('Lookup 1961'!$F$2:$F$1300, MATCH(S35, 'Lookup 1961'!$B$2:$B$1300,0))</f>
        <v>e140381</v>
      </c>
      <c r="X35" s="11" t="str">
        <f>INDEX('Lookup 1961'!$C$2:$C$1300, MATCH(V35, 'Lookup 1961'!$A$2:$A$1300,0))</f>
        <v>Inner London</v>
      </c>
    </row>
    <row r="36" spans="1:24" ht="25.05" customHeight="1" x14ac:dyDescent="0.3">
      <c r="A36" s="2" t="s">
        <v>66</v>
      </c>
      <c r="B36" s="2" t="s">
        <v>66</v>
      </c>
      <c r="C36" s="1">
        <v>23</v>
      </c>
      <c r="D36" s="1">
        <v>3</v>
      </c>
      <c r="E36" s="1">
        <v>18</v>
      </c>
      <c r="F36" s="1">
        <v>6</v>
      </c>
      <c r="K36" s="6">
        <v>2703</v>
      </c>
      <c r="L36" s="6">
        <v>705970</v>
      </c>
      <c r="M36" s="1">
        <v>64</v>
      </c>
      <c r="N36" s="1">
        <v>8</v>
      </c>
      <c r="O36" s="1">
        <v>8</v>
      </c>
      <c r="P36" s="1">
        <v>31.7</v>
      </c>
      <c r="Q36" s="11">
        <f>'Table H'!J311</f>
        <v>0.92522486791223424</v>
      </c>
      <c r="R36" s="11">
        <f t="shared" si="0"/>
        <v>653181</v>
      </c>
      <c r="S36" s="11" t="str">
        <f t="shared" si="1"/>
        <v>Barnsley CB</v>
      </c>
      <c r="T36" s="11" t="s">
        <v>5213</v>
      </c>
      <c r="V36" s="11" t="str">
        <f>INDEX('Lookup 1961'!$A$2:$A$1300, MATCH(S36, 'Lookup 1961'!$B$2:$B$1300,0))</f>
        <v>J04000087</v>
      </c>
      <c r="W36" s="11" t="str">
        <f>INDEX('Lookup 1961'!$F$2:$F$1300, MATCH(S36, 'Lookup 1961'!$B$2:$B$1300,0))</f>
        <v>e461199</v>
      </c>
      <c r="X36" s="11" t="str">
        <f>INDEX('Lookup 1961'!$C$2:$C$1300, MATCH(V36, 'Lookup 1961'!$A$2:$A$1300,0))</f>
        <v>South Yorkshire</v>
      </c>
    </row>
    <row r="37" spans="1:24" ht="25.05" customHeight="1" x14ac:dyDescent="0.3">
      <c r="A37" s="2" t="s">
        <v>67</v>
      </c>
      <c r="B37" s="2" t="s">
        <v>67</v>
      </c>
      <c r="C37" s="1">
        <v>25</v>
      </c>
      <c r="D37" s="1">
        <v>4</v>
      </c>
      <c r="E37" s="1">
        <v>19</v>
      </c>
      <c r="F37" s="1">
        <v>0</v>
      </c>
      <c r="K37" s="6">
        <v>2950</v>
      </c>
      <c r="L37" s="6">
        <v>734374</v>
      </c>
      <c r="M37" s="1">
        <v>61.6</v>
      </c>
      <c r="N37" s="1">
        <v>10</v>
      </c>
      <c r="O37" s="1">
        <v>10</v>
      </c>
      <c r="P37" s="1">
        <v>22.2</v>
      </c>
      <c r="Q37" s="11">
        <f>'Table H'!J312</f>
        <v>0.87674944919073927</v>
      </c>
      <c r="R37" s="11">
        <f t="shared" si="0"/>
        <v>643862</v>
      </c>
      <c r="S37" s="11" t="str">
        <f t="shared" si="1"/>
        <v>Barrow-in-Furness CB</v>
      </c>
      <c r="T37" s="11" t="s">
        <v>5213</v>
      </c>
      <c r="V37" s="11" t="str">
        <f>INDEX('Lookup 1961'!$A$2:$A$1300, MATCH(S37, 'Lookup 1961'!$B$2:$B$1300,0))</f>
        <v>J04000092</v>
      </c>
      <c r="W37" s="11" t="str">
        <f>INDEX('Lookup 1961'!$F$2:$F$1300, MATCH(S37, 'Lookup 1961'!$B$2:$B$1300,0))</f>
        <v>e200560</v>
      </c>
      <c r="X37" s="11" t="str">
        <f>INDEX('Lookup 1961'!$C$2:$C$1300, MATCH(V37, 'Lookup 1961'!$A$2:$A$1300,0))</f>
        <v>Cumbria</v>
      </c>
    </row>
    <row r="38" spans="1:24" ht="25.05" customHeight="1" x14ac:dyDescent="0.3">
      <c r="A38" s="2" t="s">
        <v>68</v>
      </c>
      <c r="B38" s="2" t="s">
        <v>5217</v>
      </c>
      <c r="C38" s="1">
        <v>23</v>
      </c>
      <c r="D38" s="1">
        <v>4</v>
      </c>
      <c r="E38" s="1">
        <v>17</v>
      </c>
      <c r="F38" s="1">
        <v>0</v>
      </c>
      <c r="K38" s="6">
        <v>4480</v>
      </c>
      <c r="L38" s="6">
        <v>1145778</v>
      </c>
      <c r="M38" s="1">
        <v>63.6</v>
      </c>
      <c r="N38" s="1">
        <v>11</v>
      </c>
      <c r="O38" s="1">
        <v>9</v>
      </c>
      <c r="P38" s="1">
        <v>15.3</v>
      </c>
      <c r="Q38" s="11">
        <f>'Table H'!J313</f>
        <v>0.95866651305924877</v>
      </c>
      <c r="R38" s="11">
        <f t="shared" si="0"/>
        <v>1098419</v>
      </c>
      <c r="S38" s="11" t="str">
        <f t="shared" si="1"/>
        <v>Bath, city of CB</v>
      </c>
      <c r="T38" s="11" t="s">
        <v>5213</v>
      </c>
      <c r="V38" s="11" t="str">
        <f>INDEX('Lookup 1961'!$A$2:$A$1300, MATCH(S38, 'Lookup 1961'!$B$2:$B$1300,0))</f>
        <v>J04000099</v>
      </c>
      <c r="W38" s="11" t="str">
        <f>INDEX('Lookup 1961'!$F$2:$F$1300, MATCH(S38, 'Lookup 1961'!$B$2:$B$1300,0))</f>
        <v>e320902</v>
      </c>
      <c r="X38" s="11" t="str">
        <f>INDEX('Lookup 1961'!$C$2:$C$1300, MATCH(V38, 'Lookup 1961'!$A$2:$A$1300,0))</f>
        <v>Avon</v>
      </c>
    </row>
    <row r="39" spans="1:24" ht="25.05" customHeight="1" x14ac:dyDescent="0.3">
      <c r="A39" s="2" t="s">
        <v>69</v>
      </c>
      <c r="B39" s="2" t="s">
        <v>1222</v>
      </c>
      <c r="C39" s="1">
        <v>23</v>
      </c>
      <c r="D39" s="1">
        <v>6</v>
      </c>
      <c r="E39" s="1">
        <v>16</v>
      </c>
      <c r="F39" s="1">
        <v>3</v>
      </c>
      <c r="K39" s="6">
        <v>6045</v>
      </c>
      <c r="L39" s="6">
        <v>1559984</v>
      </c>
      <c r="M39" s="1">
        <v>46.1</v>
      </c>
      <c r="N39" s="1">
        <v>8</v>
      </c>
      <c r="O39" s="1">
        <v>12</v>
      </c>
      <c r="P39" s="1">
        <v>0.8</v>
      </c>
      <c r="Q39" s="11">
        <f>'Table H'!J314</f>
        <v>0.92126265397593821</v>
      </c>
      <c r="R39" s="11">
        <f t="shared" si="0"/>
        <v>1437155</v>
      </c>
      <c r="S39" s="11" t="str">
        <f t="shared" si="1"/>
        <v>Birkenhead CB</v>
      </c>
      <c r="T39" s="11" t="s">
        <v>5213</v>
      </c>
      <c r="V39" s="11" t="str">
        <f>INDEX('Lookup 1961'!$A$2:$A$1300, MATCH(S39, 'Lookup 1961'!$B$2:$B$1300,0))</f>
        <v>J04000149</v>
      </c>
      <c r="W39" s="11" t="str">
        <f>INDEX('Lookup 1961'!$F$2:$F$1300, MATCH(S39, 'Lookup 1961'!$B$2:$B$1300,0))</f>
        <v>e050068</v>
      </c>
      <c r="X39" s="11" t="str">
        <f>INDEX('Lookup 1961'!$C$2:$C$1300, MATCH(V39, 'Lookup 1961'!$A$2:$A$1300,0))</f>
        <v>Merseyside</v>
      </c>
    </row>
    <row r="40" spans="1:24" ht="25.05" customHeight="1" x14ac:dyDescent="0.3">
      <c r="A40" s="2" t="s">
        <v>70</v>
      </c>
      <c r="B40" s="2" t="s">
        <v>5218</v>
      </c>
      <c r="C40" s="1">
        <v>25</v>
      </c>
      <c r="D40" s="1">
        <v>0</v>
      </c>
      <c r="E40" s="1">
        <v>18</v>
      </c>
      <c r="F40" s="1">
        <v>6</v>
      </c>
      <c r="K40" s="6">
        <v>61850</v>
      </c>
      <c r="L40" s="6">
        <v>16006667</v>
      </c>
      <c r="M40" s="1">
        <v>105.1</v>
      </c>
      <c r="N40" s="1">
        <v>12</v>
      </c>
      <c r="O40" s="1">
        <v>12</v>
      </c>
      <c r="P40" s="1">
        <v>48.7</v>
      </c>
      <c r="Q40" s="11">
        <f>'Table H'!J315</f>
        <v>0.89616789054210977</v>
      </c>
      <c r="R40" s="11">
        <f t="shared" si="0"/>
        <v>14344661</v>
      </c>
      <c r="S40" s="11" t="str">
        <f t="shared" si="1"/>
        <v>Birmingham, city of CB</v>
      </c>
      <c r="T40" s="11" t="s">
        <v>5213</v>
      </c>
      <c r="V40" s="11" t="str">
        <f>INDEX('Lookup 1961'!$A$2:$A$1300, MATCH(S40, 'Lookup 1961'!$B$2:$B$1300,0))</f>
        <v>J04000150</v>
      </c>
      <c r="W40" s="11" t="str">
        <f>INDEX('Lookup 1961'!$F$2:$F$1300, MATCH(S40, 'Lookup 1961'!$B$2:$B$1300,0))</f>
        <v>e391064</v>
      </c>
      <c r="X40" s="11" t="str">
        <f>INDEX('Lookup 1961'!$C$2:$C$1300, MATCH(V40, 'Lookup 1961'!$A$2:$A$1300,0))</f>
        <v>West Midlands</v>
      </c>
    </row>
    <row r="41" spans="1:24" ht="25.05" customHeight="1" x14ac:dyDescent="0.3">
      <c r="A41" s="2" t="s">
        <v>71</v>
      </c>
      <c r="B41" s="2" t="s">
        <v>71</v>
      </c>
      <c r="C41" s="1">
        <v>25</v>
      </c>
      <c r="D41" s="1">
        <v>0</v>
      </c>
      <c r="E41" s="1">
        <v>19</v>
      </c>
      <c r="F41" s="1">
        <v>6</v>
      </c>
      <c r="K41" s="6">
        <v>4368</v>
      </c>
      <c r="L41" s="6">
        <v>1122356</v>
      </c>
      <c r="M41" s="1">
        <v>43.1</v>
      </c>
      <c r="N41" s="1">
        <v>9</v>
      </c>
      <c r="O41" s="1">
        <v>6</v>
      </c>
      <c r="P41" s="1">
        <v>9.5</v>
      </c>
      <c r="Q41" s="11">
        <f>'Table H'!J316</f>
        <v>0.90406074364996492</v>
      </c>
      <c r="R41" s="11">
        <f t="shared" si="0"/>
        <v>1014678</v>
      </c>
      <c r="S41" s="11" t="str">
        <f t="shared" si="1"/>
        <v>Blackburn CB</v>
      </c>
      <c r="T41" s="11" t="s">
        <v>5213</v>
      </c>
      <c r="V41" s="11" t="str">
        <f>INDEX('Lookup 1961'!$A$2:$A$1300, MATCH(S41, 'Lookup 1961'!$B$2:$B$1300,0))</f>
        <v>J04000155</v>
      </c>
      <c r="W41" s="11" t="str">
        <f>INDEX('Lookup 1961'!$F$2:$F$1300, MATCH(S41, 'Lookup 1961'!$B$2:$B$1300,0))</f>
        <v>e200561</v>
      </c>
      <c r="X41" s="11" t="str">
        <f>INDEX('Lookup 1961'!$C$2:$C$1300, MATCH(V41, 'Lookup 1961'!$A$2:$A$1300,0))</f>
        <v>Lancashire</v>
      </c>
    </row>
    <row r="42" spans="1:24" ht="25.05" customHeight="1" x14ac:dyDescent="0.3">
      <c r="A42" s="2" t="s">
        <v>72</v>
      </c>
      <c r="B42" s="2" t="s">
        <v>72</v>
      </c>
      <c r="C42" s="1">
        <v>19</v>
      </c>
      <c r="D42" s="1">
        <v>0</v>
      </c>
      <c r="E42" s="1">
        <v>11</v>
      </c>
      <c r="F42" s="1">
        <v>6</v>
      </c>
      <c r="K42" s="6">
        <v>14000</v>
      </c>
      <c r="L42" s="6">
        <v>3518409</v>
      </c>
      <c r="M42" s="1">
        <v>86.6</v>
      </c>
      <c r="N42" s="1">
        <v>13</v>
      </c>
      <c r="O42" s="1">
        <v>10</v>
      </c>
      <c r="P42" s="1">
        <v>12.6</v>
      </c>
      <c r="Q42" s="11">
        <f>'Table H'!J317</f>
        <v>0.9795092043022855</v>
      </c>
      <c r="R42" s="11">
        <f t="shared" si="0"/>
        <v>3446314</v>
      </c>
      <c r="S42" s="11" t="str">
        <f t="shared" si="1"/>
        <v>Blackpool CB</v>
      </c>
      <c r="T42" s="11" t="s">
        <v>5213</v>
      </c>
      <c r="V42" s="11" t="str">
        <f>INDEX('Lookup 1961'!$A$2:$A$1300, MATCH(S42, 'Lookup 1961'!$B$2:$B$1300,0))</f>
        <v>J04000157</v>
      </c>
      <c r="W42" s="11" t="str">
        <f>INDEX('Lookup 1961'!$F$2:$F$1300, MATCH(S42, 'Lookup 1961'!$B$2:$B$1300,0))</f>
        <v>e200562</v>
      </c>
      <c r="X42" s="11" t="str">
        <f>INDEX('Lookup 1961'!$C$2:$C$1300, MATCH(V42, 'Lookup 1961'!$A$2:$A$1300,0))</f>
        <v>Lancashire</v>
      </c>
    </row>
    <row r="43" spans="1:24" ht="25.05" customHeight="1" x14ac:dyDescent="0.3">
      <c r="A43" s="2" t="s">
        <v>73</v>
      </c>
      <c r="B43" s="2" t="s">
        <v>73</v>
      </c>
      <c r="C43" s="1">
        <v>25</v>
      </c>
      <c r="D43" s="1">
        <v>6</v>
      </c>
      <c r="E43" s="1">
        <v>18</v>
      </c>
      <c r="F43" s="1">
        <v>6</v>
      </c>
      <c r="K43" s="6">
        <v>7000</v>
      </c>
      <c r="L43" s="6">
        <v>1824305</v>
      </c>
      <c r="M43" s="1">
        <v>52.8</v>
      </c>
      <c r="N43" s="1">
        <v>9</v>
      </c>
      <c r="O43" s="1">
        <v>11</v>
      </c>
      <c r="P43" s="1">
        <v>6</v>
      </c>
      <c r="Q43" s="11">
        <f>'Table H'!J318</f>
        <v>0.88360444114333947</v>
      </c>
      <c r="R43" s="11">
        <f t="shared" si="0"/>
        <v>1611964</v>
      </c>
      <c r="S43" s="11" t="str">
        <f t="shared" si="1"/>
        <v>Bolton CB</v>
      </c>
      <c r="T43" s="11" t="s">
        <v>5213</v>
      </c>
      <c r="V43" s="11" t="str">
        <f>INDEX('Lookup 1961'!$A$2:$A$1300, MATCH(S43, 'Lookup 1961'!$B$2:$B$1300,0))</f>
        <v>J04000173</v>
      </c>
      <c r="W43" s="11" t="str">
        <f>INDEX('Lookup 1961'!$F$2:$F$1300, MATCH(S43, 'Lookup 1961'!$B$2:$B$1300,0))</f>
        <v>e200563</v>
      </c>
      <c r="X43" s="11" t="str">
        <f>INDEX('Lookup 1961'!$C$2:$C$1300, MATCH(V43, 'Lookup 1961'!$A$2:$A$1300,0))</f>
        <v>Greater Manchester</v>
      </c>
    </row>
    <row r="44" spans="1:24" ht="25.05" customHeight="1" x14ac:dyDescent="0.3">
      <c r="A44" s="2" t="s">
        <v>74</v>
      </c>
      <c r="B44" s="2" t="s">
        <v>74</v>
      </c>
      <c r="C44" s="1">
        <v>24</v>
      </c>
      <c r="D44" s="1">
        <v>11</v>
      </c>
      <c r="E44" s="1">
        <v>21</v>
      </c>
      <c r="F44" s="1">
        <v>4</v>
      </c>
      <c r="K44" s="6">
        <v>3370</v>
      </c>
      <c r="L44" s="6">
        <v>871470</v>
      </c>
      <c r="M44" s="1">
        <v>47.7</v>
      </c>
      <c r="N44" s="1">
        <v>10</v>
      </c>
      <c r="O44" s="1">
        <v>15</v>
      </c>
      <c r="P44" s="1">
        <v>18.7</v>
      </c>
      <c r="Q44" s="11">
        <f>'Table H'!J319</f>
        <v>0.84939125844836882</v>
      </c>
      <c r="R44" s="11">
        <f t="shared" si="0"/>
        <v>740219</v>
      </c>
      <c r="S44" s="11" t="str">
        <f t="shared" si="1"/>
        <v>Bootle CB</v>
      </c>
      <c r="T44" s="11" t="s">
        <v>5213</v>
      </c>
      <c r="V44" s="11" t="str">
        <f>INDEX('Lookup 1961'!$A$2:$A$1300, MATCH(S44, 'Lookup 1961'!$B$2:$B$1300,0))</f>
        <v>J04000174</v>
      </c>
      <c r="W44" s="11" t="str">
        <f>INDEX('Lookup 1961'!$F$2:$F$1300, MATCH(S44, 'Lookup 1961'!$B$2:$B$1300,0))</f>
        <v>e200564</v>
      </c>
      <c r="X44" s="11" t="str">
        <f>INDEX('Lookup 1961'!$C$2:$C$1300, MATCH(V44, 'Lookup 1961'!$A$2:$A$1300,0))</f>
        <v>Merseyside</v>
      </c>
    </row>
    <row r="45" spans="1:24" ht="25.05" customHeight="1" x14ac:dyDescent="0.3">
      <c r="A45" s="2" t="s">
        <v>75</v>
      </c>
      <c r="B45" s="2" t="s">
        <v>75</v>
      </c>
      <c r="C45" s="1">
        <v>15</v>
      </c>
      <c r="D45" s="1">
        <v>2</v>
      </c>
      <c r="E45" s="1">
        <v>10</v>
      </c>
      <c r="F45" s="1">
        <v>0</v>
      </c>
      <c r="K45" s="6">
        <v>15700</v>
      </c>
      <c r="L45" s="6">
        <v>3906018</v>
      </c>
      <c r="M45" s="1">
        <v>81.900000000000006</v>
      </c>
      <c r="N45" s="1">
        <v>13</v>
      </c>
      <c r="O45" s="1">
        <v>6</v>
      </c>
      <c r="P45" s="1">
        <v>16.899999999999999</v>
      </c>
      <c r="Q45" s="11">
        <f>'Table H'!J320</f>
        <v>0.98904203718467243</v>
      </c>
      <c r="R45" s="11">
        <f t="shared" si="0"/>
        <v>3863216</v>
      </c>
      <c r="S45" s="11" t="str">
        <f t="shared" si="1"/>
        <v>Bournemouth CB</v>
      </c>
      <c r="T45" s="11" t="s">
        <v>5213</v>
      </c>
      <c r="V45" s="11" t="str">
        <f>INDEX('Lookup 1961'!$A$2:$A$1300, MATCH(S45, 'Lookup 1961'!$B$2:$B$1300,0))</f>
        <v>J04000179</v>
      </c>
      <c r="W45" s="11" t="str">
        <f>INDEX('Lookup 1961'!$F$2:$F$1300, MATCH(S45, 'Lookup 1961'!$B$2:$B$1300,0))</f>
        <v>e150411</v>
      </c>
      <c r="X45" s="11" t="str">
        <f>INDEX('Lookup 1961'!$C$2:$C$1300, MATCH(V45, 'Lookup 1961'!$A$2:$A$1300,0))</f>
        <v>Dorset</v>
      </c>
    </row>
    <row r="46" spans="1:24" ht="25.05" customHeight="1" x14ac:dyDescent="0.3">
      <c r="A46" s="2" t="s">
        <v>76</v>
      </c>
      <c r="B46" s="2" t="s">
        <v>5219</v>
      </c>
      <c r="C46" s="1">
        <v>26</v>
      </c>
      <c r="D46" s="1">
        <v>0</v>
      </c>
      <c r="E46" s="1">
        <v>18</v>
      </c>
      <c r="F46" s="1">
        <v>0</v>
      </c>
      <c r="K46" s="6">
        <v>12500</v>
      </c>
      <c r="L46" s="6">
        <v>3283834</v>
      </c>
      <c r="M46" s="1">
        <v>46.6</v>
      </c>
      <c r="N46" s="1">
        <v>9</v>
      </c>
      <c r="O46" s="1">
        <v>11</v>
      </c>
      <c r="P46" s="1">
        <v>-2.7</v>
      </c>
      <c r="Q46" s="11">
        <f>'Table H'!J321</f>
        <v>0.89677462380863349</v>
      </c>
      <c r="R46" s="11">
        <f t="shared" si="0"/>
        <v>2944859</v>
      </c>
      <c r="S46" s="11" t="str">
        <f t="shared" si="1"/>
        <v>Bradford, city of CB</v>
      </c>
      <c r="T46" s="11" t="s">
        <v>5213</v>
      </c>
      <c r="V46" s="11" t="str">
        <f>INDEX('Lookup 1961'!$A$2:$A$1300, MATCH(S46, 'Lookup 1961'!$B$2:$B$1300,0))</f>
        <v>J04000187</v>
      </c>
      <c r="W46" s="11" t="str">
        <f>INDEX('Lookup 1961'!$F$2:$F$1300, MATCH(S46, 'Lookup 1961'!$B$2:$B$1300,0))</f>
        <v>e461200</v>
      </c>
      <c r="X46" s="11" t="str">
        <f>INDEX('Lookup 1961'!$C$2:$C$1300, MATCH(V46, 'Lookup 1961'!$A$2:$A$1300,0))</f>
        <v>West Yorkshire</v>
      </c>
    </row>
    <row r="47" spans="1:24" ht="25.05" customHeight="1" x14ac:dyDescent="0.3">
      <c r="A47" s="2" t="s">
        <v>77</v>
      </c>
      <c r="B47" s="2" t="s">
        <v>77</v>
      </c>
      <c r="C47" s="1">
        <v>17</v>
      </c>
      <c r="D47" s="1">
        <v>4</v>
      </c>
      <c r="E47" s="1">
        <v>12</v>
      </c>
      <c r="F47" s="1">
        <v>3</v>
      </c>
      <c r="K47" s="6">
        <v>14397</v>
      </c>
      <c r="L47" s="6">
        <v>3712135</v>
      </c>
      <c r="M47" s="1">
        <v>72.3</v>
      </c>
      <c r="N47" s="1">
        <v>13</v>
      </c>
      <c r="O47" s="1">
        <v>19</v>
      </c>
      <c r="P47" s="1">
        <v>19.3</v>
      </c>
      <c r="Q47" s="11">
        <f>'Table H'!J322</f>
        <v>0.97401279856470735</v>
      </c>
      <c r="R47" s="11">
        <f t="shared" si="0"/>
        <v>3615667</v>
      </c>
      <c r="S47" s="11" t="str">
        <f t="shared" si="1"/>
        <v>Brighton CB</v>
      </c>
      <c r="T47" s="11" t="s">
        <v>5213</v>
      </c>
      <c r="V47" s="11" t="str">
        <f>INDEX('Lookup 1961'!$A$2:$A$1300, MATCH(S47, 'Lookup 1961'!$B$2:$B$1300,0))</f>
        <v>J04000212</v>
      </c>
      <c r="W47" s="11" t="str">
        <f>INDEX('Lookup 1961'!$F$2:$F$1300, MATCH(S47, 'Lookup 1961'!$B$2:$B$1300,0))</f>
        <v>e371029</v>
      </c>
      <c r="X47" s="11" t="str">
        <f>INDEX('Lookup 1961'!$C$2:$C$1300, MATCH(V47, 'Lookup 1961'!$A$2:$A$1300,0))</f>
        <v>East Sussex</v>
      </c>
    </row>
    <row r="48" spans="1:24" ht="25.05" customHeight="1" x14ac:dyDescent="0.3">
      <c r="A48" s="2" t="s">
        <v>78</v>
      </c>
      <c r="B48" s="2" t="s">
        <v>5220</v>
      </c>
      <c r="C48" s="1">
        <v>21</v>
      </c>
      <c r="D48" s="1">
        <v>6</v>
      </c>
      <c r="E48" s="1">
        <v>16</v>
      </c>
      <c r="F48" s="1">
        <v>0</v>
      </c>
      <c r="K48" s="6">
        <v>26300</v>
      </c>
      <c r="L48" s="6">
        <v>6694368</v>
      </c>
      <c r="M48" s="1">
        <v>71.599999999999994</v>
      </c>
      <c r="N48" s="1">
        <v>11</v>
      </c>
      <c r="O48" s="1">
        <v>16</v>
      </c>
      <c r="P48" s="1">
        <v>24.6</v>
      </c>
      <c r="Q48" s="11">
        <f>'Table H'!J323</f>
        <v>0.92384732957614524</v>
      </c>
      <c r="R48" s="11">
        <f t="shared" si="0"/>
        <v>6184574</v>
      </c>
      <c r="S48" s="11" t="str">
        <f t="shared" si="1"/>
        <v>Bristol, city and county of CB</v>
      </c>
      <c r="T48" s="11" t="s">
        <v>5213</v>
      </c>
      <c r="V48" s="11" t="str">
        <f>INDEX('Lookup 1961'!$A$2:$A$1300, MATCH(S48, 'Lookup 1961'!$B$2:$B$1300,0))</f>
        <v>J04000213</v>
      </c>
      <c r="W48" s="11" t="str">
        <f>INDEX('Lookup 1961'!$F$2:$F$1300, MATCH(S48, 'Lookup 1961'!$B$2:$B$1300,0))</f>
        <v>e130345</v>
      </c>
      <c r="X48" s="11" t="str">
        <f>INDEX('Lookup 1961'!$C$2:$C$1300, MATCH(V48, 'Lookup 1961'!$A$2:$A$1300,0))</f>
        <v>Avon</v>
      </c>
    </row>
    <row r="49" spans="1:24" ht="25.05" customHeight="1" x14ac:dyDescent="0.3">
      <c r="A49" s="2" t="s">
        <v>79</v>
      </c>
      <c r="B49" s="2" t="s">
        <v>79</v>
      </c>
      <c r="C49" s="1">
        <v>27</v>
      </c>
      <c r="D49" s="1">
        <v>0</v>
      </c>
      <c r="E49" s="1">
        <v>19</v>
      </c>
      <c r="F49" s="1">
        <v>6</v>
      </c>
      <c r="K49" s="6">
        <v>3280</v>
      </c>
      <c r="L49" s="6">
        <v>830277</v>
      </c>
      <c r="M49" s="1">
        <v>37.200000000000003</v>
      </c>
      <c r="N49" s="1">
        <v>9</v>
      </c>
      <c r="O49" s="1">
        <v>7</v>
      </c>
      <c r="P49" s="1">
        <v>-0.9</v>
      </c>
      <c r="Q49" s="11">
        <f>'Table H'!J324</f>
        <v>0.89960699862816862</v>
      </c>
      <c r="R49" s="11">
        <f t="shared" si="0"/>
        <v>746923</v>
      </c>
      <c r="S49" s="11" t="str">
        <f t="shared" si="1"/>
        <v>Burnley CB</v>
      </c>
      <c r="T49" s="11" t="s">
        <v>5213</v>
      </c>
      <c r="V49" s="11" t="str">
        <f>INDEX('Lookup 1961'!$A$2:$A$1300, MATCH(S49, 'Lookup 1961'!$B$2:$B$1300,0))</f>
        <v>J04000239</v>
      </c>
      <c r="W49" s="11" t="str">
        <f>INDEX('Lookup 1961'!$F$2:$F$1300, MATCH(S49, 'Lookup 1961'!$B$2:$B$1300,0))</f>
        <v>e200565</v>
      </c>
      <c r="X49" s="11" t="str">
        <f>INDEX('Lookup 1961'!$C$2:$C$1300, MATCH(V49, 'Lookup 1961'!$A$2:$A$1300,0))</f>
        <v>Lancashire</v>
      </c>
    </row>
    <row r="50" spans="1:24" ht="25.05" customHeight="1" x14ac:dyDescent="0.3">
      <c r="A50" s="2" t="s">
        <v>80</v>
      </c>
      <c r="B50" s="2" t="s">
        <v>5221</v>
      </c>
      <c r="C50" s="1">
        <v>27</v>
      </c>
      <c r="D50" s="1">
        <v>0</v>
      </c>
      <c r="E50" s="1">
        <v>19</v>
      </c>
      <c r="F50" s="1">
        <v>6</v>
      </c>
      <c r="K50" s="6">
        <v>2519</v>
      </c>
      <c r="L50" s="6">
        <v>632253</v>
      </c>
      <c r="M50" s="1">
        <v>83.6</v>
      </c>
      <c r="N50" s="1">
        <v>12</v>
      </c>
      <c r="O50" s="1">
        <v>4</v>
      </c>
      <c r="P50" s="1">
        <v>28.2</v>
      </c>
      <c r="Q50" s="11">
        <f>'Table H'!J325</f>
        <v>0.8495950197152089</v>
      </c>
      <c r="R50" s="11">
        <f t="shared" si="0"/>
        <v>537159</v>
      </c>
      <c r="S50" s="11" t="str">
        <f t="shared" si="1"/>
        <v>Burton upon Trent CB</v>
      </c>
      <c r="T50" s="11" t="s">
        <v>5213</v>
      </c>
      <c r="V50" s="11" t="str">
        <f>INDEX('Lookup 1961'!$A$2:$A$1300, MATCH(S50, 'Lookup 1961'!$B$2:$B$1300,0))</f>
        <v>J04000243</v>
      </c>
      <c r="W50" s="11" t="str">
        <f>INDEX('Lookup 1961'!$F$2:$F$1300, MATCH(S50, 'Lookup 1961'!$B$2:$B$1300,0))</f>
        <v>e330940</v>
      </c>
      <c r="X50" s="11" t="str">
        <f>INDEX('Lookup 1961'!$C$2:$C$1300, MATCH(V50, 'Lookup 1961'!$A$2:$A$1300,0))</f>
        <v>Staffordshire</v>
      </c>
    </row>
    <row r="51" spans="1:24" ht="25.05" customHeight="1" x14ac:dyDescent="0.3">
      <c r="A51" s="2" t="s">
        <v>81</v>
      </c>
      <c r="B51" s="2" t="s">
        <v>81</v>
      </c>
      <c r="C51" s="1">
        <v>25</v>
      </c>
      <c r="D51" s="1">
        <v>0</v>
      </c>
      <c r="E51" s="1">
        <v>18</v>
      </c>
      <c r="F51" s="1">
        <v>0</v>
      </c>
      <c r="K51" s="6">
        <v>2500</v>
      </c>
      <c r="L51" s="6">
        <v>663896</v>
      </c>
      <c r="M51" s="1">
        <v>58.5</v>
      </c>
      <c r="N51" s="1">
        <v>9</v>
      </c>
      <c r="O51" s="1">
        <v>18</v>
      </c>
      <c r="P51" s="1">
        <v>12.3</v>
      </c>
      <c r="Q51" s="11">
        <f>'Table H'!J326</f>
        <v>0.88751400821815463</v>
      </c>
      <c r="R51" s="11">
        <f t="shared" si="0"/>
        <v>589217</v>
      </c>
      <c r="S51" s="11" t="str">
        <f t="shared" si="1"/>
        <v>Bury CB</v>
      </c>
      <c r="T51" s="11" t="s">
        <v>5213</v>
      </c>
      <c r="V51" s="11" t="str">
        <f>INDEX('Lookup 1961'!$A$2:$A$1300, MATCH(S51, 'Lookup 1961'!$B$2:$B$1300,0))</f>
        <v>J04000244</v>
      </c>
      <c r="W51" s="11" t="str">
        <f>INDEX('Lookup 1961'!$F$2:$F$1300, MATCH(S51, 'Lookup 1961'!$B$2:$B$1300,0))</f>
        <v>e200566</v>
      </c>
      <c r="X51" s="11" t="str">
        <f>INDEX('Lookup 1961'!$C$2:$C$1300, MATCH(V51, 'Lookup 1961'!$A$2:$A$1300,0))</f>
        <v>Greater Manchester</v>
      </c>
    </row>
    <row r="52" spans="1:24" ht="25.05" customHeight="1" x14ac:dyDescent="0.3">
      <c r="A52" s="2" t="s">
        <v>82</v>
      </c>
      <c r="B52" s="2" t="s">
        <v>5222</v>
      </c>
      <c r="C52" s="1">
        <v>21</v>
      </c>
      <c r="D52" s="1">
        <v>6</v>
      </c>
      <c r="E52" s="1">
        <v>15</v>
      </c>
      <c r="F52" s="1">
        <v>0</v>
      </c>
      <c r="K52" s="6">
        <v>2000</v>
      </c>
      <c r="L52" s="6">
        <v>509471</v>
      </c>
      <c r="M52" s="1">
        <v>79.7</v>
      </c>
      <c r="N52" s="1">
        <v>12</v>
      </c>
      <c r="O52" s="1">
        <v>2</v>
      </c>
      <c r="P52" s="1">
        <v>19.7</v>
      </c>
      <c r="Q52" s="11">
        <f>'Table H'!J327</f>
        <v>0.92819610929768326</v>
      </c>
      <c r="R52" s="11">
        <f t="shared" si="0"/>
        <v>472889</v>
      </c>
      <c r="S52" s="11" t="str">
        <f t="shared" si="1"/>
        <v>Canterbury, city and county of CB</v>
      </c>
      <c r="T52" s="11" t="s">
        <v>5213</v>
      </c>
      <c r="V52" s="11" t="str">
        <f>INDEX('Lookup 1961'!$A$2:$A$1300, MATCH(S52, 'Lookup 1961'!$B$2:$B$1300,0))</f>
        <v>J04000260</v>
      </c>
      <c r="W52" s="11" t="str">
        <f>INDEX('Lookup 1961'!$F$2:$F$1300, MATCH(S52, 'Lookup 1961'!$B$2:$B$1300,0))</f>
        <v>e190513</v>
      </c>
      <c r="X52" s="11" t="str">
        <f>INDEX('Lookup 1961'!$C$2:$C$1300, MATCH(V52, 'Lookup 1961'!$A$2:$A$1300,0))</f>
        <v>Kent</v>
      </c>
    </row>
    <row r="53" spans="1:24" ht="25.05" customHeight="1" x14ac:dyDescent="0.3">
      <c r="A53" s="2" t="s">
        <v>83</v>
      </c>
      <c r="B53" s="2" t="s">
        <v>5223</v>
      </c>
      <c r="C53" s="1">
        <v>23</v>
      </c>
      <c r="D53" s="1">
        <v>8</v>
      </c>
      <c r="E53" s="1">
        <v>16</v>
      </c>
      <c r="F53" s="1">
        <v>6</v>
      </c>
      <c r="K53" s="6">
        <v>3020</v>
      </c>
      <c r="L53" s="6">
        <v>762300</v>
      </c>
      <c r="M53" s="1">
        <v>51.7</v>
      </c>
      <c r="N53" s="1">
        <v>9</v>
      </c>
      <c r="O53" s="1">
        <v>5</v>
      </c>
      <c r="P53" s="1">
        <v>8.9</v>
      </c>
      <c r="Q53" s="11">
        <f>'Table H'!J328</f>
        <v>0.94008920372556737</v>
      </c>
      <c r="R53" s="11">
        <f t="shared" si="0"/>
        <v>716630</v>
      </c>
      <c r="S53" s="11" t="str">
        <f t="shared" si="1"/>
        <v>Carlisle, city of CB</v>
      </c>
      <c r="T53" s="11" t="s">
        <v>5213</v>
      </c>
      <c r="V53" s="11" t="str">
        <f>INDEX('Lookup 1961'!$A$2:$A$1300, MATCH(S53, 'Lookup 1961'!$B$2:$B$1300,0))</f>
        <v>J04000265</v>
      </c>
      <c r="W53" s="11" t="str">
        <f>INDEX('Lookup 1961'!$F$2:$F$1300, MATCH(S53, 'Lookup 1961'!$B$2:$B$1300,0))</f>
        <v>e070149</v>
      </c>
      <c r="X53" s="11" t="str">
        <f>INDEX('Lookup 1961'!$C$2:$C$1300, MATCH(V53, 'Lookup 1961'!$A$2:$A$1300,0))</f>
        <v>Cumbria</v>
      </c>
    </row>
    <row r="54" spans="1:24" ht="25.05" customHeight="1" x14ac:dyDescent="0.3">
      <c r="A54" s="2" t="s">
        <v>84</v>
      </c>
      <c r="B54" s="2" t="s">
        <v>5224</v>
      </c>
      <c r="C54" s="1">
        <v>22</v>
      </c>
      <c r="D54" s="1">
        <v>6</v>
      </c>
      <c r="E54" s="1">
        <v>16</v>
      </c>
      <c r="F54" s="1">
        <v>0</v>
      </c>
      <c r="K54" s="6">
        <v>3594</v>
      </c>
      <c r="L54" s="6">
        <v>881989</v>
      </c>
      <c r="M54" s="1">
        <v>71.599999999999994</v>
      </c>
      <c r="N54" s="1">
        <v>11</v>
      </c>
      <c r="O54" s="1">
        <v>18</v>
      </c>
      <c r="P54" s="1">
        <v>22</v>
      </c>
      <c r="Q54" s="11">
        <f>'Table H'!J329</f>
        <v>0.95569445877442916</v>
      </c>
      <c r="R54" s="11">
        <f t="shared" si="0"/>
        <v>842912</v>
      </c>
      <c r="S54" s="11" t="str">
        <f t="shared" si="1"/>
        <v>Chester, city and county of CB</v>
      </c>
      <c r="T54" s="11" t="s">
        <v>5213</v>
      </c>
      <c r="V54" s="11" t="str">
        <f>INDEX('Lookup 1961'!$A$2:$A$1300, MATCH(S54, 'Lookup 1961'!$B$2:$B$1300,0))</f>
        <v>J04000301</v>
      </c>
      <c r="W54" s="11" t="str">
        <f>INDEX('Lookup 1961'!$F$2:$F$1300, MATCH(S54, 'Lookup 1961'!$B$2:$B$1300,0))</f>
        <v>e050069</v>
      </c>
      <c r="X54" s="11" t="str">
        <f>INDEX('Lookup 1961'!$C$2:$C$1300, MATCH(V54, 'Lookup 1961'!$A$2:$A$1300,0))</f>
        <v>Cheshire</v>
      </c>
    </row>
    <row r="55" spans="1:24" ht="25.05" customHeight="1" x14ac:dyDescent="0.3">
      <c r="A55" s="2" t="s">
        <v>85</v>
      </c>
      <c r="B55" s="2" t="s">
        <v>5225</v>
      </c>
      <c r="C55" s="1">
        <v>23</v>
      </c>
      <c r="D55" s="1">
        <v>6</v>
      </c>
      <c r="E55" s="1">
        <v>16</v>
      </c>
      <c r="F55" s="1">
        <v>4</v>
      </c>
      <c r="K55" s="6">
        <v>15998</v>
      </c>
      <c r="L55" s="6">
        <v>3956513</v>
      </c>
      <c r="M55" s="1">
        <v>92.7</v>
      </c>
      <c r="N55" s="1">
        <v>11</v>
      </c>
      <c r="O55" s="1">
        <v>9</v>
      </c>
      <c r="P55" s="1">
        <v>24.7</v>
      </c>
      <c r="Q55" s="11">
        <f>'Table H'!J330</f>
        <v>0.87877810587251959</v>
      </c>
      <c r="R55" s="11">
        <f t="shared" si="0"/>
        <v>3476897</v>
      </c>
      <c r="S55" s="11" t="str">
        <f t="shared" si="1"/>
        <v>Coventry, city of CB</v>
      </c>
      <c r="T55" s="11" t="s">
        <v>5213</v>
      </c>
      <c r="V55" s="11" t="str">
        <f>INDEX('Lookup 1961'!$A$2:$A$1300, MATCH(S55, 'Lookup 1961'!$B$2:$B$1300,0))</f>
        <v>J04000352</v>
      </c>
      <c r="W55" s="11" t="str">
        <f>INDEX('Lookup 1961'!$F$2:$F$1300, MATCH(S55, 'Lookup 1961'!$B$2:$B$1300,0))</f>
        <v>e391067</v>
      </c>
      <c r="X55" s="11" t="str">
        <f>INDEX('Lookup 1961'!$C$2:$C$1300, MATCH(V55, 'Lookup 1961'!$A$2:$A$1300,0))</f>
        <v>West Midlands</v>
      </c>
    </row>
    <row r="56" spans="1:24" ht="25.05" customHeight="1" x14ac:dyDescent="0.3">
      <c r="A56" s="2" t="s">
        <v>86</v>
      </c>
      <c r="B56" s="2" t="s">
        <v>86</v>
      </c>
      <c r="C56" s="1">
        <v>17</v>
      </c>
      <c r="D56" s="1">
        <v>10</v>
      </c>
      <c r="E56" s="1">
        <v>13</v>
      </c>
      <c r="F56" s="1">
        <v>2</v>
      </c>
      <c r="K56" s="6">
        <v>18473</v>
      </c>
      <c r="L56" s="6">
        <v>4575818</v>
      </c>
      <c r="M56" s="1">
        <v>62.7</v>
      </c>
      <c r="N56" s="1">
        <v>11</v>
      </c>
      <c r="O56" s="1">
        <v>17</v>
      </c>
      <c r="P56" s="1">
        <v>19.7</v>
      </c>
      <c r="Q56" s="11">
        <f>'Table H'!J331</f>
        <v>0.95645740280754177</v>
      </c>
      <c r="R56" s="11">
        <f t="shared" si="0"/>
        <v>4376575</v>
      </c>
      <c r="S56" s="11" t="str">
        <f t="shared" si="1"/>
        <v>Croydon CB</v>
      </c>
      <c r="T56" s="11" t="s">
        <v>5213</v>
      </c>
      <c r="V56" s="11" t="str">
        <f>INDEX('Lookup 1961'!$A$2:$A$1300, MATCH(S56, 'Lookup 1961'!$B$2:$B$1300,0))</f>
        <v>J04000371</v>
      </c>
      <c r="W56" s="11" t="str">
        <f>INDEX('Lookup 1961'!$F$2:$F$1300, MATCH(S56, 'Lookup 1961'!$B$2:$B$1300,0))</f>
        <v>e140378</v>
      </c>
      <c r="X56" s="11" t="str">
        <f>INDEX('Lookup 1961'!$C$2:$C$1300, MATCH(V56, 'Lookup 1961'!$A$2:$A$1300,0))</f>
        <v>Outer London</v>
      </c>
    </row>
    <row r="57" spans="1:24" ht="25.05" customHeight="1" x14ac:dyDescent="0.3">
      <c r="A57" s="2" t="s">
        <v>87</v>
      </c>
      <c r="B57" s="2" t="s">
        <v>87</v>
      </c>
      <c r="C57" s="1">
        <v>19</v>
      </c>
      <c r="D57" s="1">
        <v>0</v>
      </c>
      <c r="E57" s="1">
        <v>14</v>
      </c>
      <c r="F57" s="1">
        <v>0</v>
      </c>
      <c r="K57" s="6">
        <v>4580</v>
      </c>
      <c r="L57" s="6">
        <v>1191820</v>
      </c>
      <c r="M57" s="1">
        <v>80.7</v>
      </c>
      <c r="N57" s="1">
        <v>9</v>
      </c>
      <c r="O57" s="1">
        <v>15</v>
      </c>
      <c r="P57" s="1">
        <v>30.2</v>
      </c>
      <c r="Q57" s="11">
        <f>'Table H'!J332</f>
        <v>0.88741420684331529</v>
      </c>
      <c r="R57" s="11">
        <f t="shared" si="0"/>
        <v>1057638</v>
      </c>
      <c r="S57" s="11" t="str">
        <f t="shared" si="1"/>
        <v>Darlington CB</v>
      </c>
      <c r="T57" s="11" t="s">
        <v>5213</v>
      </c>
      <c r="V57" s="11" t="str">
        <f>INDEX('Lookup 1961'!$A$2:$A$1300, MATCH(S57, 'Lookup 1961'!$B$2:$B$1300,0))</f>
        <v>J04000381</v>
      </c>
      <c r="W57" s="11" t="str">
        <f>INDEX('Lookup 1961'!$F$2:$F$1300, MATCH(S57, 'Lookup 1961'!$B$2:$B$1300,0))</f>
        <v>e110260</v>
      </c>
      <c r="X57" s="11" t="str">
        <f>INDEX('Lookup 1961'!$C$2:$C$1300, MATCH(V57, 'Lookup 1961'!$A$2:$A$1300,0))</f>
        <v>Durham</v>
      </c>
    </row>
    <row r="58" spans="1:24" ht="25.05" customHeight="1" x14ac:dyDescent="0.3">
      <c r="A58" s="2" t="s">
        <v>88</v>
      </c>
      <c r="B58" s="2" t="s">
        <v>88</v>
      </c>
      <c r="C58" s="1">
        <v>24</v>
      </c>
      <c r="D58" s="1">
        <v>8</v>
      </c>
      <c r="E58" s="1">
        <v>17</v>
      </c>
      <c r="F58" s="1">
        <v>0</v>
      </c>
      <c r="K58" s="6">
        <v>7725</v>
      </c>
      <c r="L58" s="6">
        <v>1968024</v>
      </c>
      <c r="M58" s="1">
        <v>81.599999999999994</v>
      </c>
      <c r="N58" s="1">
        <v>11</v>
      </c>
      <c r="O58" s="1">
        <v>14</v>
      </c>
      <c r="P58" s="1">
        <v>26</v>
      </c>
      <c r="Q58" s="11">
        <f>'Table H'!J333</f>
        <v>0.89404397507347466</v>
      </c>
      <c r="R58" s="11">
        <f t="shared" si="0"/>
        <v>1759500</v>
      </c>
      <c r="S58" s="11" t="str">
        <f t="shared" si="1"/>
        <v>Derby CB</v>
      </c>
      <c r="T58" s="11" t="s">
        <v>5213</v>
      </c>
      <c r="V58" s="11" t="str">
        <f>INDEX('Lookup 1961'!$A$2:$A$1300, MATCH(S58, 'Lookup 1961'!$B$2:$B$1300,0))</f>
        <v>J04000401</v>
      </c>
      <c r="W58" s="11" t="str">
        <f>INDEX('Lookup 1961'!$F$2:$F$1300, MATCH(S58, 'Lookup 1961'!$B$2:$B$1300,0))</f>
        <v>e080163</v>
      </c>
      <c r="X58" s="11" t="str">
        <f>INDEX('Lookup 1961'!$C$2:$C$1300, MATCH(V58, 'Lookup 1961'!$A$2:$A$1300,0))</f>
        <v>Derbyshire</v>
      </c>
    </row>
    <row r="59" spans="1:24" ht="25.05" customHeight="1" x14ac:dyDescent="0.3">
      <c r="A59" s="2" t="s">
        <v>89</v>
      </c>
      <c r="B59" s="2" t="s">
        <v>89</v>
      </c>
      <c r="C59" s="1">
        <v>25</v>
      </c>
      <c r="D59" s="1">
        <v>0</v>
      </c>
      <c r="E59" s="1">
        <v>17</v>
      </c>
      <c r="F59" s="1">
        <v>6</v>
      </c>
      <c r="K59" s="6">
        <v>2000</v>
      </c>
      <c r="L59" s="6">
        <v>504553</v>
      </c>
      <c r="M59" s="1">
        <v>51.7</v>
      </c>
      <c r="N59" s="1">
        <v>8</v>
      </c>
      <c r="O59" s="1">
        <v>0</v>
      </c>
      <c r="P59" s="1">
        <v>5.8</v>
      </c>
      <c r="Q59" s="11">
        <f>'Table H'!J334</f>
        <v>0.89459779250148153</v>
      </c>
      <c r="R59" s="11">
        <f t="shared" si="0"/>
        <v>451372</v>
      </c>
      <c r="S59" s="11" t="str">
        <f t="shared" si="1"/>
        <v>Dewsbury CB</v>
      </c>
      <c r="T59" s="11" t="s">
        <v>5213</v>
      </c>
      <c r="V59" s="11" t="str">
        <f>INDEX('Lookup 1961'!$A$2:$A$1300, MATCH(S59, 'Lookup 1961'!$B$2:$B$1300,0))</f>
        <v>J04000407</v>
      </c>
      <c r="W59" s="11" t="str">
        <f>INDEX('Lookup 1961'!$F$2:$F$1300, MATCH(S59, 'Lookup 1961'!$B$2:$B$1300,0))</f>
        <v>e461201</v>
      </c>
      <c r="X59" s="11" t="str">
        <f>INDEX('Lookup 1961'!$C$2:$C$1300, MATCH(V59, 'Lookup 1961'!$A$2:$A$1300,0))</f>
        <v>West Yorkshire</v>
      </c>
    </row>
    <row r="60" spans="1:24" ht="25.05" customHeight="1" x14ac:dyDescent="0.3">
      <c r="A60" s="2" t="s">
        <v>90</v>
      </c>
      <c r="B60" s="2" t="s">
        <v>90</v>
      </c>
      <c r="C60" s="1">
        <v>24</v>
      </c>
      <c r="D60" s="1">
        <v>0</v>
      </c>
      <c r="E60" s="1">
        <v>18</v>
      </c>
      <c r="F60" s="1">
        <v>0</v>
      </c>
      <c r="K60" s="6">
        <v>4500</v>
      </c>
      <c r="L60" s="6">
        <v>1128518</v>
      </c>
      <c r="M60" s="1">
        <v>53.1</v>
      </c>
      <c r="N60" s="1">
        <v>12</v>
      </c>
      <c r="O60" s="1">
        <v>7</v>
      </c>
      <c r="P60" s="1">
        <v>16.8</v>
      </c>
      <c r="Q60" s="11">
        <f>'Table H'!J335</f>
        <v>0.94110328767463169</v>
      </c>
      <c r="R60" s="11">
        <f t="shared" si="0"/>
        <v>1062052</v>
      </c>
      <c r="S60" s="11" t="str">
        <f t="shared" si="1"/>
        <v>Doncaster CB</v>
      </c>
      <c r="T60" s="11" t="s">
        <v>5213</v>
      </c>
      <c r="V60" s="11" t="str">
        <f>INDEX('Lookup 1961'!$A$2:$A$1300, MATCH(S60, 'Lookup 1961'!$B$2:$B$1300,0))</f>
        <v>J04000414</v>
      </c>
      <c r="W60" s="11" t="str">
        <f>INDEX('Lookup 1961'!$F$2:$F$1300, MATCH(S60, 'Lookup 1961'!$B$2:$B$1300,0))</f>
        <v>e461202</v>
      </c>
      <c r="X60" s="11" t="str">
        <f>INDEX('Lookup 1961'!$C$2:$C$1300, MATCH(V60, 'Lookup 1961'!$A$2:$A$1300,0))</f>
        <v>South Yorkshire</v>
      </c>
    </row>
    <row r="61" spans="1:24" ht="25.05" customHeight="1" x14ac:dyDescent="0.3">
      <c r="A61" s="2" t="s">
        <v>91</v>
      </c>
      <c r="B61" s="2" t="s">
        <v>91</v>
      </c>
      <c r="C61" s="1">
        <v>23</v>
      </c>
      <c r="D61" s="1">
        <v>0</v>
      </c>
      <c r="E61" s="1">
        <v>16</v>
      </c>
      <c r="F61" s="1">
        <v>8</v>
      </c>
      <c r="K61" s="6">
        <v>3000</v>
      </c>
      <c r="L61" s="6">
        <v>742555</v>
      </c>
      <c r="M61" s="1">
        <v>102.5</v>
      </c>
      <c r="N61" s="1">
        <v>9</v>
      </c>
      <c r="O61" s="1">
        <v>9</v>
      </c>
      <c r="P61" s="1">
        <v>47.6</v>
      </c>
      <c r="Q61" s="11">
        <f>'Table H'!J336</f>
        <v>0.9103177542404266</v>
      </c>
      <c r="R61" s="11">
        <f t="shared" si="0"/>
        <v>675961</v>
      </c>
      <c r="S61" s="11" t="str">
        <f t="shared" si="1"/>
        <v>Dudley CB</v>
      </c>
      <c r="T61" s="11" t="s">
        <v>5213</v>
      </c>
      <c r="V61" s="11" t="str">
        <f>INDEX('Lookup 1961'!$A$2:$A$1300, MATCH(S61, 'Lookup 1961'!$B$2:$B$1300,0))</f>
        <v>J04000433</v>
      </c>
      <c r="W61" s="11" t="str">
        <f>INDEX('Lookup 1961'!$F$2:$F$1300, MATCH(S61, 'Lookup 1961'!$B$2:$B$1300,0))</f>
        <v>e330941</v>
      </c>
      <c r="X61" s="11" t="str">
        <f>INDEX('Lookup 1961'!$C$2:$C$1300, MATCH(V61, 'Lookup 1961'!$A$2:$A$1300,0))</f>
        <v>West Midlands</v>
      </c>
    </row>
    <row r="62" spans="1:24" ht="25.05" customHeight="1" x14ac:dyDescent="0.3">
      <c r="A62" s="2" t="s">
        <v>92</v>
      </c>
      <c r="B62" s="2" t="s">
        <v>92</v>
      </c>
      <c r="C62" s="1">
        <v>15</v>
      </c>
      <c r="D62" s="1">
        <v>0</v>
      </c>
      <c r="E62" s="1">
        <v>12</v>
      </c>
      <c r="F62" s="1">
        <v>0</v>
      </c>
      <c r="K62" s="6">
        <v>5610</v>
      </c>
      <c r="L62" s="6">
        <v>1415517</v>
      </c>
      <c r="M62" s="1">
        <v>43.5</v>
      </c>
      <c r="N62" s="1">
        <v>14</v>
      </c>
      <c r="O62" s="1">
        <v>2</v>
      </c>
      <c r="P62" s="1">
        <v>12.1</v>
      </c>
      <c r="Q62" s="11">
        <f>'Table H'!J337</f>
        <v>0.97669614706146235</v>
      </c>
      <c r="R62" s="11">
        <f t="shared" si="0"/>
        <v>1382530</v>
      </c>
      <c r="S62" s="11" t="str">
        <f t="shared" si="1"/>
        <v>Eastbourne CB</v>
      </c>
      <c r="T62" s="11" t="s">
        <v>5213</v>
      </c>
      <c r="V62" s="11" t="str">
        <f>INDEX('Lookup 1961'!$A$2:$A$1300, MATCH(S62, 'Lookup 1961'!$B$2:$B$1300,0))</f>
        <v>J04000455</v>
      </c>
      <c r="W62" s="11" t="str">
        <f>INDEX('Lookup 1961'!$F$2:$F$1300, MATCH(S62, 'Lookup 1961'!$B$2:$B$1300,0))</f>
        <v>e371030</v>
      </c>
      <c r="X62" s="11" t="str">
        <f>INDEX('Lookup 1961'!$C$2:$C$1300, MATCH(V62, 'Lookup 1961'!$A$2:$A$1300,0))</f>
        <v>East Sussex</v>
      </c>
    </row>
    <row r="63" spans="1:24" ht="25.05" customHeight="1" x14ac:dyDescent="0.3">
      <c r="A63" s="2" t="s">
        <v>93</v>
      </c>
      <c r="B63" s="2" t="s">
        <v>93</v>
      </c>
      <c r="C63" s="1">
        <v>27</v>
      </c>
      <c r="D63" s="1">
        <v>0</v>
      </c>
      <c r="E63" s="1">
        <v>19</v>
      </c>
      <c r="F63" s="1">
        <v>6</v>
      </c>
      <c r="K63" s="6">
        <v>6100</v>
      </c>
      <c r="L63" s="6">
        <v>1519812</v>
      </c>
      <c r="M63" s="1">
        <v>92.9</v>
      </c>
      <c r="N63" s="1">
        <v>12</v>
      </c>
      <c r="O63" s="1">
        <v>14</v>
      </c>
      <c r="P63" s="1">
        <v>38.700000000000003</v>
      </c>
      <c r="Q63" s="11">
        <f>'Table H'!J338</f>
        <v>0.95751514003047744</v>
      </c>
      <c r="R63" s="11">
        <f t="shared" si="0"/>
        <v>1455243</v>
      </c>
      <c r="S63" s="11" t="str">
        <f t="shared" si="1"/>
        <v>East Ham CB</v>
      </c>
      <c r="T63" s="11" t="s">
        <v>5213</v>
      </c>
      <c r="V63" s="11" t="str">
        <f>INDEX('Lookup 1961'!$A$2:$A$1300, MATCH(S63, 'Lookup 1961'!$B$2:$B$1300,0))</f>
        <v>J04000451</v>
      </c>
      <c r="W63" s="11" t="str">
        <f>INDEX('Lookup 1961'!$F$2:$F$1300, MATCH(S63, 'Lookup 1961'!$B$2:$B$1300,0))</f>
        <v>e140399</v>
      </c>
      <c r="X63" s="11" t="str">
        <f>INDEX('Lookup 1961'!$C$2:$C$1300, MATCH(V63, 'Lookup 1961'!$A$2:$A$1300,0))</f>
        <v>Outer London</v>
      </c>
    </row>
    <row r="64" spans="1:24" ht="25.05" customHeight="1" x14ac:dyDescent="0.3">
      <c r="A64" s="2" t="s">
        <v>94</v>
      </c>
      <c r="B64" s="2" t="s">
        <v>5226</v>
      </c>
      <c r="C64" s="1">
        <v>20</v>
      </c>
      <c r="D64" s="1">
        <v>0</v>
      </c>
      <c r="E64" s="1">
        <v>12</v>
      </c>
      <c r="F64" s="1">
        <v>4</v>
      </c>
      <c r="K64" s="6">
        <v>6320</v>
      </c>
      <c r="L64" s="6">
        <v>1664696</v>
      </c>
      <c r="M64" s="1">
        <v>89.5</v>
      </c>
      <c r="N64" s="1">
        <v>12</v>
      </c>
      <c r="O64" s="1">
        <v>2</v>
      </c>
      <c r="P64" s="1">
        <v>7.1</v>
      </c>
      <c r="Q64" s="11">
        <f>'Table H'!J339</f>
        <v>0.9551882145448779</v>
      </c>
      <c r="R64" s="11">
        <f t="shared" si="0"/>
        <v>1590098</v>
      </c>
      <c r="S64" s="11" t="str">
        <f t="shared" si="1"/>
        <v>Exeter, city and county of CB</v>
      </c>
      <c r="T64" s="11" t="s">
        <v>5213</v>
      </c>
      <c r="V64" s="11" t="str">
        <f>INDEX('Lookup 1961'!$A$2:$A$1300, MATCH(S64, 'Lookup 1961'!$B$2:$B$1300,0))</f>
        <v>J04000486</v>
      </c>
      <c r="W64" s="11" t="str">
        <f>INDEX('Lookup 1961'!$F$2:$F$1300, MATCH(S64, 'Lookup 1961'!$B$2:$B$1300,0))</f>
        <v>e090196</v>
      </c>
      <c r="X64" s="11" t="str">
        <f>INDEX('Lookup 1961'!$C$2:$C$1300, MATCH(V64, 'Lookup 1961'!$A$2:$A$1300,0))</f>
        <v>Devon</v>
      </c>
    </row>
    <row r="65" spans="1:24" ht="25.05" customHeight="1" x14ac:dyDescent="0.3">
      <c r="A65" s="2" t="s">
        <v>95</v>
      </c>
      <c r="B65" s="2" t="s">
        <v>95</v>
      </c>
      <c r="C65" s="1">
        <v>25</v>
      </c>
      <c r="D65" s="1">
        <v>0</v>
      </c>
      <c r="E65" s="1">
        <v>18</v>
      </c>
      <c r="F65" s="1">
        <v>0</v>
      </c>
      <c r="K65" s="6">
        <v>4040</v>
      </c>
      <c r="L65" s="6">
        <v>1049269</v>
      </c>
      <c r="M65" s="1">
        <v>60</v>
      </c>
      <c r="N65" s="1">
        <v>8</v>
      </c>
      <c r="O65" s="1">
        <v>0</v>
      </c>
      <c r="P65" s="1">
        <v>14</v>
      </c>
      <c r="Q65" s="11">
        <f>'Table H'!J340</f>
        <v>0.85568143154901177</v>
      </c>
      <c r="R65" s="11">
        <f t="shared" si="0"/>
        <v>897840</v>
      </c>
      <c r="S65" s="11" t="str">
        <f t="shared" si="1"/>
        <v>Gateshead CB</v>
      </c>
      <c r="T65" s="11" t="s">
        <v>5213</v>
      </c>
      <c r="V65" s="11" t="str">
        <f>INDEX('Lookup 1961'!$A$2:$A$1300, MATCH(S65, 'Lookup 1961'!$B$2:$B$1300,0))</f>
        <v>J04000528</v>
      </c>
      <c r="W65" s="11" t="str">
        <f>INDEX('Lookup 1961'!$F$2:$F$1300, MATCH(S65, 'Lookup 1961'!$B$2:$B$1300,0))</f>
        <v>e110261</v>
      </c>
      <c r="X65" s="11" t="str">
        <f>INDEX('Lookup 1961'!$C$2:$C$1300, MATCH(V65, 'Lookup 1961'!$A$2:$A$1300,0))</f>
        <v>Tyne And Wear</v>
      </c>
    </row>
    <row r="66" spans="1:24" ht="25.05" customHeight="1" x14ac:dyDescent="0.3">
      <c r="A66" s="2" t="s">
        <v>96</v>
      </c>
      <c r="B66" s="2" t="s">
        <v>5227</v>
      </c>
      <c r="C66" s="1">
        <v>25</v>
      </c>
      <c r="D66" s="1">
        <v>0</v>
      </c>
      <c r="E66" s="1">
        <v>17</v>
      </c>
      <c r="F66" s="1">
        <v>11</v>
      </c>
      <c r="K66" s="6">
        <v>3755</v>
      </c>
      <c r="L66" s="6">
        <v>947156</v>
      </c>
      <c r="M66" s="1">
        <v>84.2</v>
      </c>
      <c r="N66" s="1">
        <v>12</v>
      </c>
      <c r="O66" s="1">
        <v>1</v>
      </c>
      <c r="P66" s="1">
        <v>27.3</v>
      </c>
      <c r="Q66" s="11">
        <f>'Table H'!J341</f>
        <v>0.91534023962261757</v>
      </c>
      <c r="R66" s="11">
        <f t="shared" si="0"/>
        <v>866970</v>
      </c>
      <c r="S66" s="11" t="str">
        <f t="shared" si="1"/>
        <v>Gloucester, city and county of CB</v>
      </c>
      <c r="T66" s="11" t="s">
        <v>5213</v>
      </c>
      <c r="V66" s="11" t="str">
        <f>INDEX('Lookup 1961'!$A$2:$A$1300, MATCH(S66, 'Lookup 1961'!$B$2:$B$1300,0))</f>
        <v>J04000537</v>
      </c>
      <c r="W66" s="11" t="str">
        <f>INDEX('Lookup 1961'!$F$2:$F$1300, MATCH(S66, 'Lookup 1961'!$B$2:$B$1300,0))</f>
        <v>e130346</v>
      </c>
      <c r="X66" s="11" t="str">
        <f>INDEX('Lookup 1961'!$C$2:$C$1300, MATCH(V66, 'Lookup 1961'!$A$2:$A$1300,0))</f>
        <v>Gloucestershire</v>
      </c>
    </row>
    <row r="67" spans="1:24" ht="25.05" customHeight="1" x14ac:dyDescent="0.3">
      <c r="A67" s="2" t="s">
        <v>97</v>
      </c>
      <c r="B67" s="2" t="s">
        <v>97</v>
      </c>
      <c r="C67" s="1">
        <v>25</v>
      </c>
      <c r="D67" s="1">
        <v>10</v>
      </c>
      <c r="E67" s="1">
        <v>16</v>
      </c>
      <c r="F67" s="1">
        <v>10</v>
      </c>
      <c r="K67" s="6">
        <v>3350</v>
      </c>
      <c r="L67" s="6">
        <v>850431</v>
      </c>
      <c r="M67" s="1">
        <v>101.8</v>
      </c>
      <c r="N67" s="1">
        <v>13</v>
      </c>
      <c r="O67" s="1">
        <v>5</v>
      </c>
      <c r="P67" s="1">
        <v>28.5</v>
      </c>
      <c r="Q67" s="11">
        <f>'Table H'!J342</f>
        <v>0.95546728658762436</v>
      </c>
      <c r="R67" s="11">
        <f t="shared" si="0"/>
        <v>812559</v>
      </c>
      <c r="S67" s="11" t="str">
        <f t="shared" si="1"/>
        <v>Great Yarmouth CB</v>
      </c>
      <c r="T67" s="11" t="s">
        <v>5213</v>
      </c>
      <c r="V67" s="11" t="str">
        <f>INDEX('Lookup 1961'!$A$2:$A$1300, MATCH(S67, 'Lookup 1961'!$B$2:$B$1300,0))</f>
        <v>J04000552</v>
      </c>
      <c r="W67" s="11" t="str">
        <f>INDEX('Lookup 1961'!$F$2:$F$1300, MATCH(S67, 'Lookup 1961'!$B$2:$B$1300,0))</f>
        <v>e250758</v>
      </c>
      <c r="X67" s="11" t="str">
        <f>INDEX('Lookup 1961'!$C$2:$C$1300, MATCH(V67, 'Lookup 1961'!$A$2:$A$1300,0))</f>
        <v>Norfolk</v>
      </c>
    </row>
    <row r="68" spans="1:24" ht="25.05" customHeight="1" x14ac:dyDescent="0.3">
      <c r="A68" s="2" t="s">
        <v>98</v>
      </c>
      <c r="B68" s="2" t="s">
        <v>98</v>
      </c>
      <c r="C68" s="1">
        <v>25</v>
      </c>
      <c r="D68" s="1">
        <v>8</v>
      </c>
      <c r="E68" s="1">
        <v>18</v>
      </c>
      <c r="F68" s="1">
        <v>2</v>
      </c>
      <c r="K68" s="6">
        <v>4200</v>
      </c>
      <c r="L68" s="6">
        <v>1103255</v>
      </c>
      <c r="M68" s="1">
        <v>83</v>
      </c>
      <c r="N68" s="1">
        <v>10</v>
      </c>
      <c r="O68" s="1">
        <v>2</v>
      </c>
      <c r="P68" s="1">
        <v>26.6</v>
      </c>
      <c r="Q68" s="11">
        <f>'Table H'!J343</f>
        <v>0.9400646269448133</v>
      </c>
      <c r="R68" s="11">
        <f t="shared" ref="R68:R131" si="2">Q68*L68</f>
        <v>1037131</v>
      </c>
      <c r="S68" s="11" t="str">
        <f t="shared" si="1"/>
        <v>Grimsby CB</v>
      </c>
      <c r="T68" s="11" t="s">
        <v>5213</v>
      </c>
      <c r="V68" s="11" t="str">
        <f>INDEX('Lookup 1961'!$A$2:$A$1300, MATCH(S68, 'Lookup 1961'!$B$2:$B$1300,0))</f>
        <v>J04000554</v>
      </c>
      <c r="W68" s="11" t="str">
        <f>INDEX('Lookup 1961'!$F$2:$F$1300, MATCH(S68, 'Lookup 1961'!$B$2:$B$1300,0))</f>
        <v>e240736</v>
      </c>
      <c r="X68" s="11" t="str">
        <f>INDEX('Lookup 1961'!$C$2:$C$1300, MATCH(V68, 'Lookup 1961'!$A$2:$A$1300,0))</f>
        <v>Humberside</v>
      </c>
    </row>
    <row r="69" spans="1:24" ht="25.05" customHeight="1" x14ac:dyDescent="0.3">
      <c r="A69" s="2" t="s">
        <v>99</v>
      </c>
      <c r="B69" s="2" t="s">
        <v>99</v>
      </c>
      <c r="C69" s="1">
        <v>26</v>
      </c>
      <c r="D69" s="1">
        <v>0</v>
      </c>
      <c r="E69" s="1">
        <v>18</v>
      </c>
      <c r="F69" s="1">
        <v>10</v>
      </c>
      <c r="K69" s="6">
        <v>4000</v>
      </c>
      <c r="L69" s="6">
        <v>1013742</v>
      </c>
      <c r="M69" s="1">
        <v>53.1</v>
      </c>
      <c r="N69" s="1">
        <v>9</v>
      </c>
      <c r="O69" s="1">
        <v>15</v>
      </c>
      <c r="P69" s="1">
        <v>12.2</v>
      </c>
      <c r="Q69" s="11">
        <f>'Table H'!J344</f>
        <v>0.90665968264114538</v>
      </c>
      <c r="R69" s="11">
        <f t="shared" si="2"/>
        <v>919119</v>
      </c>
      <c r="S69" s="11" t="str">
        <f t="shared" ref="S69:S132" si="3">_xlfn.CONCAT(B69," ",T69)</f>
        <v>Halifax CB</v>
      </c>
      <c r="T69" s="11" t="s">
        <v>5213</v>
      </c>
      <c r="V69" s="11" t="str">
        <f>INDEX('Lookup 1961'!$A$2:$A$1300, MATCH(S69, 'Lookup 1961'!$B$2:$B$1300,0))</f>
        <v>J04000566</v>
      </c>
      <c r="W69" s="11" t="str">
        <f>INDEX('Lookup 1961'!$F$2:$F$1300, MATCH(S69, 'Lookup 1961'!$B$2:$B$1300,0))</f>
        <v>e461203</v>
      </c>
      <c r="X69" s="11" t="str">
        <f>INDEX('Lookup 1961'!$C$2:$C$1300, MATCH(V69, 'Lookup 1961'!$A$2:$A$1300,0))</f>
        <v>West Yorkshire</v>
      </c>
    </row>
    <row r="70" spans="1:24" ht="25.05" customHeight="1" x14ac:dyDescent="0.3">
      <c r="A70" s="2" t="s">
        <v>100</v>
      </c>
      <c r="B70" s="2" t="s">
        <v>100</v>
      </c>
      <c r="C70" s="1">
        <v>19</v>
      </c>
      <c r="D70" s="1">
        <v>6</v>
      </c>
      <c r="E70" s="1">
        <v>16</v>
      </c>
      <c r="F70" s="1">
        <v>0</v>
      </c>
      <c r="K70" s="6">
        <v>4300</v>
      </c>
      <c r="L70" s="6">
        <v>1116748</v>
      </c>
      <c r="M70" s="1">
        <v>42.4</v>
      </c>
      <c r="N70" s="1">
        <v>12</v>
      </c>
      <c r="O70" s="1">
        <v>18</v>
      </c>
      <c r="P70" s="1">
        <v>12.3</v>
      </c>
      <c r="Q70" s="11">
        <f>'Table H'!J345</f>
        <v>0.98238546207380717</v>
      </c>
      <c r="R70" s="11">
        <f t="shared" si="2"/>
        <v>1097077</v>
      </c>
      <c r="S70" s="11" t="str">
        <f t="shared" si="3"/>
        <v>Hastings CB</v>
      </c>
      <c r="T70" s="11" t="s">
        <v>5213</v>
      </c>
      <c r="V70" s="11" t="str">
        <f>INDEX('Lookup 1961'!$A$2:$A$1300, MATCH(S70, 'Lookup 1961'!$B$2:$B$1300,0))</f>
        <v>J04000584</v>
      </c>
      <c r="W70" s="11" t="str">
        <f>INDEX('Lookup 1961'!$F$2:$F$1300, MATCH(S70, 'Lookup 1961'!$B$2:$B$1300,0))</f>
        <v>e371031</v>
      </c>
      <c r="X70" s="11" t="str">
        <f>INDEX('Lookup 1961'!$C$2:$C$1300, MATCH(V70, 'Lookup 1961'!$A$2:$A$1300,0))</f>
        <v>East Sussex</v>
      </c>
    </row>
    <row r="71" spans="1:24" ht="25.05" customHeight="1" x14ac:dyDescent="0.3">
      <c r="A71" s="2" t="s">
        <v>101</v>
      </c>
      <c r="B71" s="2" t="s">
        <v>101</v>
      </c>
      <c r="C71" s="1">
        <v>22</v>
      </c>
      <c r="D71" s="1">
        <v>6</v>
      </c>
      <c r="E71" s="1">
        <v>17</v>
      </c>
      <c r="F71" s="1">
        <v>6</v>
      </c>
      <c r="K71" s="6">
        <v>6000</v>
      </c>
      <c r="L71" s="6">
        <v>1481459</v>
      </c>
      <c r="M71" s="1">
        <v>36.5</v>
      </c>
      <c r="N71" s="1">
        <v>10</v>
      </c>
      <c r="O71" s="1">
        <v>4</v>
      </c>
      <c r="P71" s="1">
        <v>6.1</v>
      </c>
      <c r="Q71" s="11">
        <f>'Table H'!J346</f>
        <v>0.89448914887283415</v>
      </c>
      <c r="R71" s="11">
        <f t="shared" si="2"/>
        <v>1325149</v>
      </c>
      <c r="S71" s="11" t="str">
        <f t="shared" si="3"/>
        <v>Huddersfield CB</v>
      </c>
      <c r="T71" s="11" t="s">
        <v>5213</v>
      </c>
      <c r="V71" s="11" t="str">
        <f>INDEX('Lookup 1961'!$A$2:$A$1300, MATCH(S71, 'Lookup 1961'!$B$2:$B$1300,0))</f>
        <v>J04000657</v>
      </c>
      <c r="W71" s="11" t="str">
        <f>INDEX('Lookup 1961'!$F$2:$F$1300, MATCH(S71, 'Lookup 1961'!$B$2:$B$1300,0))</f>
        <v>e461204</v>
      </c>
      <c r="X71" s="11" t="str">
        <f>INDEX('Lookup 1961'!$C$2:$C$1300, MATCH(V71, 'Lookup 1961'!$A$2:$A$1300,0))</f>
        <v>West Yorkshire</v>
      </c>
    </row>
    <row r="72" spans="1:24" ht="25.05" customHeight="1" x14ac:dyDescent="0.3">
      <c r="A72" s="2" t="s">
        <v>102</v>
      </c>
      <c r="B72" s="2" t="s">
        <v>102</v>
      </c>
      <c r="C72" s="1">
        <v>24</v>
      </c>
      <c r="D72" s="1">
        <v>0</v>
      </c>
      <c r="E72" s="1">
        <v>15</v>
      </c>
      <c r="F72" s="1">
        <v>0</v>
      </c>
      <c r="K72" s="6">
        <v>6500</v>
      </c>
      <c r="L72" s="6">
        <v>1690202</v>
      </c>
      <c r="M72" s="1">
        <v>114.3</v>
      </c>
      <c r="N72" s="1">
        <v>10</v>
      </c>
      <c r="O72" s="1">
        <v>13</v>
      </c>
      <c r="P72" s="1">
        <v>25.6</v>
      </c>
      <c r="Q72" s="11">
        <f>'Table H'!J347</f>
        <v>0.94189925227872173</v>
      </c>
      <c r="R72" s="11">
        <f t="shared" si="2"/>
        <v>1592000</v>
      </c>
      <c r="S72" s="11" t="str">
        <f t="shared" si="3"/>
        <v>Ipswich CB</v>
      </c>
      <c r="T72" s="11" t="s">
        <v>5213</v>
      </c>
      <c r="V72" s="11" t="str">
        <f>INDEX('Lookup 1961'!$A$2:$A$1300, MATCH(S72, 'Lookup 1961'!$B$2:$B$1300,0))</f>
        <v>J04000671</v>
      </c>
      <c r="W72" s="11" t="str">
        <f>INDEX('Lookup 1961'!$F$2:$F$1300, MATCH(S72, 'Lookup 1961'!$B$2:$B$1300,0))</f>
        <v>e340971</v>
      </c>
      <c r="X72" s="11" t="str">
        <f>INDEX('Lookup 1961'!$C$2:$C$1300, MATCH(V72, 'Lookup 1961'!$A$2:$A$1300,0))</f>
        <v>Suffolk</v>
      </c>
    </row>
    <row r="73" spans="1:24" ht="25.05" customHeight="1" x14ac:dyDescent="0.3">
      <c r="A73" s="2" t="s">
        <v>103</v>
      </c>
      <c r="B73" s="2" t="s">
        <v>5228</v>
      </c>
      <c r="C73" s="1">
        <v>26</v>
      </c>
      <c r="D73" s="1">
        <v>10</v>
      </c>
      <c r="E73" s="1">
        <v>18</v>
      </c>
      <c r="F73" s="1">
        <v>6</v>
      </c>
      <c r="K73" s="6">
        <v>12560</v>
      </c>
      <c r="L73" s="6">
        <v>3329466</v>
      </c>
      <c r="M73" s="1">
        <v>67.2</v>
      </c>
      <c r="N73" s="1">
        <v>9</v>
      </c>
      <c r="O73" s="1">
        <v>14</v>
      </c>
      <c r="P73" s="1">
        <v>8</v>
      </c>
      <c r="Q73" s="11">
        <f>'Table H'!J348</f>
        <v>0.88814722841440641</v>
      </c>
      <c r="R73" s="11">
        <f t="shared" si="2"/>
        <v>2957056</v>
      </c>
      <c r="S73" s="11" t="str">
        <f t="shared" si="3"/>
        <v>Kingston upon Hull, city and county of CB</v>
      </c>
      <c r="T73" s="11" t="s">
        <v>5213</v>
      </c>
      <c r="V73" s="11" t="str">
        <f>INDEX('Lookup 1961'!$A$2:$A$1300, MATCH(S73, 'Lookup 1961'!$B$2:$B$1300,0))</f>
        <v>J04000699</v>
      </c>
      <c r="W73" s="11" t="str">
        <f>INDEX('Lookup 1961'!$F$2:$F$1300, MATCH(S73, 'Lookup 1961'!$B$2:$B$1300,0))</f>
        <v>e441148</v>
      </c>
      <c r="X73" s="11" t="str">
        <f>INDEX('Lookup 1961'!$C$2:$C$1300, MATCH(V73, 'Lookup 1961'!$A$2:$A$1300,0))</f>
        <v>Humberside</v>
      </c>
    </row>
    <row r="74" spans="1:24" ht="25.05" customHeight="1" x14ac:dyDescent="0.3">
      <c r="A74" s="2" t="s">
        <v>104</v>
      </c>
      <c r="B74" s="2" t="s">
        <v>5229</v>
      </c>
      <c r="C74" s="1">
        <v>26</v>
      </c>
      <c r="D74" s="1">
        <v>2</v>
      </c>
      <c r="E74" s="1">
        <v>18</v>
      </c>
      <c r="F74" s="1">
        <v>4</v>
      </c>
      <c r="K74" s="6">
        <v>24720</v>
      </c>
      <c r="L74" s="6">
        <v>6411779</v>
      </c>
      <c r="M74" s="1">
        <v>53.9</v>
      </c>
      <c r="N74" s="1">
        <v>11</v>
      </c>
      <c r="O74" s="1">
        <v>3</v>
      </c>
      <c r="P74" s="1">
        <v>6.7</v>
      </c>
      <c r="Q74" s="11">
        <f>'Table H'!J349</f>
        <v>0.9296245238645936</v>
      </c>
      <c r="R74" s="11">
        <f t="shared" si="2"/>
        <v>5960547</v>
      </c>
      <c r="S74" s="11" t="str">
        <f t="shared" si="3"/>
        <v>Leeds, city of CB</v>
      </c>
      <c r="T74" s="11" t="s">
        <v>5213</v>
      </c>
      <c r="V74" s="11" t="str">
        <f>INDEX('Lookup 1961'!$A$2:$A$1300, MATCH(S74, 'Lookup 1961'!$B$2:$B$1300,0))</f>
        <v>J04000727</v>
      </c>
      <c r="W74" s="11" t="str">
        <f>INDEX('Lookup 1961'!$F$2:$F$1300, MATCH(S74, 'Lookup 1961'!$B$2:$B$1300,0))</f>
        <v>e461205</v>
      </c>
      <c r="X74" s="11" t="str">
        <f>INDEX('Lookup 1961'!$C$2:$C$1300, MATCH(V74, 'Lookup 1961'!$A$2:$A$1300,0))</f>
        <v>West Yorkshire</v>
      </c>
    </row>
    <row r="75" spans="1:24" ht="25.05" customHeight="1" x14ac:dyDescent="0.3">
      <c r="A75" s="2" t="s">
        <v>105</v>
      </c>
      <c r="B75" s="2" t="s">
        <v>5230</v>
      </c>
      <c r="C75" s="1">
        <v>25</v>
      </c>
      <c r="D75" s="1">
        <v>10</v>
      </c>
      <c r="E75" s="1">
        <v>15</v>
      </c>
      <c r="F75" s="1">
        <v>8</v>
      </c>
      <c r="K75" s="6">
        <v>18175</v>
      </c>
      <c r="L75" s="6">
        <v>4443632</v>
      </c>
      <c r="M75" s="1">
        <v>93.8</v>
      </c>
      <c r="N75" s="1">
        <v>12</v>
      </c>
      <c r="O75" s="1">
        <v>4</v>
      </c>
      <c r="P75" s="1">
        <v>19.399999999999999</v>
      </c>
      <c r="Q75" s="11">
        <f>'Table H'!J350</f>
        <v>0.92918225451612557</v>
      </c>
      <c r="R75" s="11">
        <f t="shared" si="2"/>
        <v>4128944</v>
      </c>
      <c r="S75" s="11" t="str">
        <f t="shared" si="3"/>
        <v>Leicester, city of CB</v>
      </c>
      <c r="T75" s="11" t="s">
        <v>5213</v>
      </c>
      <c r="V75" s="11" t="str">
        <f>INDEX('Lookup 1961'!$A$2:$A$1300, MATCH(S75, 'Lookup 1961'!$B$2:$B$1300,0))</f>
        <v>J04000731</v>
      </c>
      <c r="W75" s="11" t="str">
        <f>INDEX('Lookup 1961'!$F$2:$F$1300, MATCH(S75, 'Lookup 1961'!$B$2:$B$1300,0))</f>
        <v>e210702</v>
      </c>
      <c r="X75" s="11" t="str">
        <f>INDEX('Lookup 1961'!$C$2:$C$1300, MATCH(V75, 'Lookup 1961'!$A$2:$A$1300,0))</f>
        <v>Leicestershire</v>
      </c>
    </row>
    <row r="76" spans="1:24" ht="25.05" customHeight="1" x14ac:dyDescent="0.3">
      <c r="A76" s="2" t="s">
        <v>106</v>
      </c>
      <c r="B76" s="2" t="s">
        <v>5231</v>
      </c>
      <c r="C76" s="1">
        <v>26</v>
      </c>
      <c r="D76" s="1">
        <v>0</v>
      </c>
      <c r="E76" s="1">
        <v>19</v>
      </c>
      <c r="F76" s="1">
        <v>0</v>
      </c>
      <c r="K76" s="6">
        <v>3200</v>
      </c>
      <c r="L76" s="6">
        <v>822468</v>
      </c>
      <c r="M76" s="1">
        <v>49.3</v>
      </c>
      <c r="N76" s="1">
        <v>10</v>
      </c>
      <c r="O76" s="1">
        <v>17</v>
      </c>
      <c r="P76" s="1">
        <v>9.3000000000000007</v>
      </c>
      <c r="Q76" s="11">
        <f>'Table H'!J351</f>
        <v>0.91257896963772456</v>
      </c>
      <c r="R76" s="11">
        <f t="shared" si="2"/>
        <v>750567</v>
      </c>
      <c r="S76" s="11" t="str">
        <f t="shared" si="3"/>
        <v>Lincoln, city and county of CB</v>
      </c>
      <c r="T76" s="11" t="s">
        <v>5213</v>
      </c>
      <c r="V76" s="11" t="str">
        <f>INDEX('Lookup 1961'!$A$2:$A$1300, MATCH(S76, 'Lookup 1961'!$B$2:$B$1300,0))</f>
        <v>J04000746</v>
      </c>
      <c r="W76" s="11" t="str">
        <f>INDEX('Lookup 1961'!$F$2:$F$1300, MATCH(S76, 'Lookup 1961'!$B$2:$B$1300,0))</f>
        <v>e230727</v>
      </c>
      <c r="X76" s="11" t="str">
        <f>INDEX('Lookup 1961'!$C$2:$C$1300, MATCH(V76, 'Lookup 1961'!$A$2:$A$1300,0))</f>
        <v>Lincolnshire</v>
      </c>
    </row>
    <row r="77" spans="1:24" ht="25.05" customHeight="1" x14ac:dyDescent="0.3">
      <c r="A77" s="2" t="s">
        <v>107</v>
      </c>
      <c r="B77" s="2" t="s">
        <v>5232</v>
      </c>
      <c r="C77" s="1">
        <v>23</v>
      </c>
      <c r="D77" s="1">
        <v>0</v>
      </c>
      <c r="E77" s="1">
        <v>18</v>
      </c>
      <c r="F77" s="1">
        <v>9</v>
      </c>
      <c r="K77" s="6">
        <v>39126</v>
      </c>
      <c r="L77" s="6">
        <v>9802178</v>
      </c>
      <c r="M77" s="1">
        <v>38.5</v>
      </c>
      <c r="N77" s="1">
        <v>11</v>
      </c>
      <c r="O77" s="1">
        <v>9</v>
      </c>
      <c r="P77" s="1">
        <v>12.2</v>
      </c>
      <c r="Q77" s="11">
        <f>'Table H'!J352</f>
        <v>0.92496606366462641</v>
      </c>
      <c r="R77" s="11">
        <f t="shared" si="2"/>
        <v>9066682</v>
      </c>
      <c r="S77" s="11" t="str">
        <f t="shared" si="3"/>
        <v>Liverpool, city of CB</v>
      </c>
      <c r="T77" s="11" t="s">
        <v>5213</v>
      </c>
      <c r="V77" s="11" t="str">
        <f>INDEX('Lookup 1961'!$A$2:$A$1300, MATCH(S77, 'Lookup 1961'!$B$2:$B$1300,0))</f>
        <v>J04000754</v>
      </c>
      <c r="W77" s="11" t="str">
        <f>INDEX('Lookup 1961'!$F$2:$F$1300, MATCH(S77, 'Lookup 1961'!$B$2:$B$1300,0))</f>
        <v>e200567</v>
      </c>
      <c r="X77" s="11" t="str">
        <f>INDEX('Lookup 1961'!$C$2:$C$1300, MATCH(V77, 'Lookup 1961'!$A$2:$A$1300,0))</f>
        <v>Merseyside</v>
      </c>
    </row>
    <row r="78" spans="1:24" ht="25.05" customHeight="1" x14ac:dyDescent="0.3">
      <c r="A78" s="2" t="s">
        <v>108</v>
      </c>
      <c r="B78" s="2" t="s">
        <v>5233</v>
      </c>
      <c r="C78" s="1">
        <v>24</v>
      </c>
      <c r="D78" s="1">
        <v>8</v>
      </c>
      <c r="E78" s="1">
        <v>18</v>
      </c>
      <c r="F78" s="1">
        <v>0</v>
      </c>
      <c r="K78" s="6">
        <v>44100</v>
      </c>
      <c r="L78" s="6">
        <v>11356557</v>
      </c>
      <c r="M78" s="1">
        <v>66.400000000000006</v>
      </c>
      <c r="N78" s="1">
        <v>14</v>
      </c>
      <c r="O78" s="1">
        <v>6</v>
      </c>
      <c r="P78" s="1">
        <v>20.8</v>
      </c>
      <c r="Q78" s="11">
        <f>'Table H'!J353</f>
        <v>0.92822261183561183</v>
      </c>
      <c r="R78" s="11">
        <f t="shared" si="2"/>
        <v>10541413</v>
      </c>
      <c r="S78" s="11" t="str">
        <f t="shared" si="3"/>
        <v>Manchester, city of CB</v>
      </c>
      <c r="T78" s="11" t="s">
        <v>5213</v>
      </c>
      <c r="V78" s="11" t="str">
        <f>INDEX('Lookup 1961'!$A$2:$A$1300, MATCH(S78, 'Lookup 1961'!$B$2:$B$1300,0))</f>
        <v>J04000821</v>
      </c>
      <c r="W78" s="11" t="str">
        <f>INDEX('Lookup 1961'!$F$2:$F$1300, MATCH(S78, 'Lookup 1961'!$B$2:$B$1300,0))</f>
        <v>e200569</v>
      </c>
      <c r="X78" s="11" t="str">
        <f>INDEX('Lookup 1961'!$C$2:$C$1300, MATCH(V78, 'Lookup 1961'!$A$2:$A$1300,0))</f>
        <v>Greater Manchester</v>
      </c>
    </row>
    <row r="79" spans="1:24" ht="25.05" customHeight="1" x14ac:dyDescent="0.3">
      <c r="A79" s="2" t="s">
        <v>109</v>
      </c>
      <c r="B79" s="2" t="s">
        <v>109</v>
      </c>
      <c r="C79" s="1">
        <v>24</v>
      </c>
      <c r="D79" s="1">
        <v>0</v>
      </c>
      <c r="E79" s="1">
        <v>16</v>
      </c>
      <c r="F79" s="1">
        <v>0</v>
      </c>
      <c r="K79" s="6">
        <v>6142</v>
      </c>
      <c r="L79" s="6">
        <v>1535173</v>
      </c>
      <c r="M79" s="1">
        <v>78.8</v>
      </c>
      <c r="N79" s="1">
        <v>7</v>
      </c>
      <c r="O79" s="1">
        <v>19</v>
      </c>
      <c r="P79" s="1">
        <v>18.3</v>
      </c>
      <c r="Q79" s="11">
        <f>'Table H'!J354</f>
        <v>0.89889673671957493</v>
      </c>
      <c r="R79" s="11">
        <f t="shared" si="2"/>
        <v>1379962</v>
      </c>
      <c r="S79" s="11" t="str">
        <f t="shared" si="3"/>
        <v>Middlesbrough CB</v>
      </c>
      <c r="T79" s="11" t="s">
        <v>5213</v>
      </c>
      <c r="V79" s="11" t="str">
        <f>INDEX('Lookup 1961'!$A$2:$A$1300, MATCH(S79, 'Lookup 1961'!$B$2:$B$1300,0))</f>
        <v>J04000852</v>
      </c>
      <c r="W79" s="11" t="str">
        <f>INDEX('Lookup 1961'!$F$2:$F$1300, MATCH(S79, 'Lookup 1961'!$B$2:$B$1300,0))</f>
        <v>e451167</v>
      </c>
      <c r="X79" s="11" t="str">
        <f>INDEX('Lookup 1961'!$C$2:$C$1300, MATCH(V79, 'Lookup 1961'!$A$2:$A$1300,0))</f>
        <v>Cleveland</v>
      </c>
    </row>
    <row r="80" spans="1:24" ht="25.05" customHeight="1" x14ac:dyDescent="0.3">
      <c r="A80" s="2" t="s">
        <v>110</v>
      </c>
      <c r="B80" s="2" t="s">
        <v>5234</v>
      </c>
      <c r="C80" s="1">
        <v>19</v>
      </c>
      <c r="D80" s="1">
        <v>6</v>
      </c>
      <c r="E80" s="1">
        <v>13</v>
      </c>
      <c r="F80" s="1">
        <v>10</v>
      </c>
      <c r="K80" s="6">
        <v>17750</v>
      </c>
      <c r="L80" s="6">
        <v>4861310</v>
      </c>
      <c r="M80" s="1">
        <v>65.400000000000006</v>
      </c>
      <c r="N80" s="1">
        <v>11</v>
      </c>
      <c r="O80" s="1">
        <v>12</v>
      </c>
      <c r="P80" s="1">
        <v>15.4</v>
      </c>
      <c r="Q80" s="11">
        <f>'Table H'!J355</f>
        <v>0.92274674933299872</v>
      </c>
      <c r="R80" s="11">
        <f t="shared" si="2"/>
        <v>4485758</v>
      </c>
      <c r="S80" s="11" t="str">
        <f t="shared" si="3"/>
        <v>Newcastle upon Tyne, city and county of CB</v>
      </c>
      <c r="T80" s="11" t="s">
        <v>5213</v>
      </c>
      <c r="V80" s="11" t="str">
        <f>INDEX('Lookup 1961'!$A$2:$A$1300, MATCH(S80, 'Lookup 1961'!$B$2:$B$1300,0))</f>
        <v>J04000902</v>
      </c>
      <c r="W80" s="11" t="str">
        <f>INDEX('Lookup 1961'!$F$2:$F$1300, MATCH(S80, 'Lookup 1961'!$B$2:$B$1300,0))</f>
        <v>e270813</v>
      </c>
      <c r="X80" s="11" t="str">
        <f>INDEX('Lookup 1961'!$C$2:$C$1300, MATCH(V80, 'Lookup 1961'!$A$2:$A$1300,0))</f>
        <v>Tyne And Wear</v>
      </c>
    </row>
    <row r="81" spans="1:24" ht="25.05" customHeight="1" x14ac:dyDescent="0.3">
      <c r="A81" s="2" t="s">
        <v>111</v>
      </c>
      <c r="B81" s="2" t="s">
        <v>111</v>
      </c>
      <c r="C81" s="1">
        <v>26</v>
      </c>
      <c r="D81" s="1">
        <v>2</v>
      </c>
      <c r="E81" s="1">
        <v>17</v>
      </c>
      <c r="F81" s="1">
        <v>2</v>
      </c>
      <c r="K81" s="6">
        <v>5920</v>
      </c>
      <c r="L81" s="6">
        <v>1466514</v>
      </c>
      <c r="M81" s="1">
        <v>70</v>
      </c>
      <c r="N81" s="1">
        <v>12</v>
      </c>
      <c r="O81" s="1">
        <v>3</v>
      </c>
      <c r="P81" s="1">
        <v>12.4</v>
      </c>
      <c r="Q81" s="11">
        <f>'Table H'!J356</f>
        <v>0.93365832170712315</v>
      </c>
      <c r="R81" s="11">
        <f t="shared" si="2"/>
        <v>1369223</v>
      </c>
      <c r="S81" s="11" t="str">
        <f t="shared" si="3"/>
        <v>Northampton CB</v>
      </c>
      <c r="T81" s="11" t="s">
        <v>5213</v>
      </c>
      <c r="V81" s="11" t="str">
        <f>INDEX('Lookup 1961'!$A$2:$A$1300, MATCH(S81, 'Lookup 1961'!$B$2:$B$1300,0))</f>
        <v>J04000932</v>
      </c>
      <c r="W81" s="11" t="str">
        <f>INDEX('Lookup 1961'!$F$2:$F$1300, MATCH(S81, 'Lookup 1961'!$B$2:$B$1300,0))</f>
        <v>e260787</v>
      </c>
      <c r="X81" s="11" t="str">
        <f>INDEX('Lookup 1961'!$C$2:$C$1300, MATCH(V81, 'Lookup 1961'!$A$2:$A$1300,0))</f>
        <v>Northamptonshire</v>
      </c>
    </row>
    <row r="82" spans="1:24" ht="25.05" customHeight="1" x14ac:dyDescent="0.3">
      <c r="A82" s="2" t="s">
        <v>112</v>
      </c>
      <c r="B82" s="2" t="s">
        <v>5235</v>
      </c>
      <c r="C82" s="1">
        <v>26</v>
      </c>
      <c r="D82" s="1">
        <v>0</v>
      </c>
      <c r="E82" s="1">
        <v>18</v>
      </c>
      <c r="F82" s="1">
        <v>6</v>
      </c>
      <c r="K82" s="6">
        <v>6700</v>
      </c>
      <c r="L82" s="6">
        <v>1702506</v>
      </c>
      <c r="M82" s="1">
        <v>67.3</v>
      </c>
      <c r="N82" s="1">
        <v>12</v>
      </c>
      <c r="O82" s="1">
        <v>10</v>
      </c>
      <c r="P82" s="1">
        <v>15.3</v>
      </c>
      <c r="Q82" s="11">
        <f>'Table H'!J357</f>
        <v>0.93828861689767906</v>
      </c>
      <c r="R82" s="11">
        <f t="shared" si="2"/>
        <v>1597442</v>
      </c>
      <c r="S82" s="11" t="str">
        <f t="shared" si="3"/>
        <v>Norwich, city and county of CB</v>
      </c>
      <c r="T82" s="11" t="s">
        <v>5213</v>
      </c>
      <c r="V82" s="11" t="str">
        <f>INDEX('Lookup 1961'!$A$2:$A$1300, MATCH(S82, 'Lookup 1961'!$B$2:$B$1300,0))</f>
        <v>J04000941</v>
      </c>
      <c r="W82" s="11" t="str">
        <f>INDEX('Lookup 1961'!$F$2:$F$1300, MATCH(S82, 'Lookup 1961'!$B$2:$B$1300,0))</f>
        <v>e250759</v>
      </c>
      <c r="X82" s="11" t="str">
        <f>INDEX('Lookup 1961'!$C$2:$C$1300, MATCH(V82, 'Lookup 1961'!$A$2:$A$1300,0))</f>
        <v>Norfolk</v>
      </c>
    </row>
    <row r="83" spans="1:24" ht="25.05" customHeight="1" x14ac:dyDescent="0.3">
      <c r="A83" s="2" t="s">
        <v>113</v>
      </c>
      <c r="B83" s="2" t="s">
        <v>5236</v>
      </c>
      <c r="C83" s="1">
        <v>23</v>
      </c>
      <c r="D83" s="1">
        <v>0</v>
      </c>
      <c r="E83" s="1">
        <v>16</v>
      </c>
      <c r="F83" s="1">
        <v>0</v>
      </c>
      <c r="K83" s="6">
        <v>17400</v>
      </c>
      <c r="L83" s="6">
        <v>4330510</v>
      </c>
      <c r="M83" s="1">
        <v>74.7</v>
      </c>
      <c r="N83" s="1">
        <v>10</v>
      </c>
      <c r="O83" s="1">
        <v>14</v>
      </c>
      <c r="P83" s="1">
        <v>20</v>
      </c>
      <c r="Q83" s="11">
        <f>'Table H'!J358</f>
        <v>0.92355634786664853</v>
      </c>
      <c r="R83" s="11">
        <f t="shared" si="2"/>
        <v>3999470</v>
      </c>
      <c r="S83" s="11" t="str">
        <f t="shared" si="3"/>
        <v>Nottingham, city and county of CB</v>
      </c>
      <c r="T83" s="11" t="s">
        <v>5213</v>
      </c>
      <c r="V83" s="11" t="str">
        <f>INDEX('Lookup 1961'!$A$2:$A$1300, MATCH(S83, 'Lookup 1961'!$B$2:$B$1300,0))</f>
        <v>J04000942</v>
      </c>
      <c r="W83" s="11" t="str">
        <f>INDEX('Lookup 1961'!$F$2:$F$1300, MATCH(S83, 'Lookup 1961'!$B$2:$B$1300,0))</f>
        <v>e280843</v>
      </c>
      <c r="X83" s="11" t="str">
        <f>INDEX('Lookup 1961'!$C$2:$C$1300, MATCH(V83, 'Lookup 1961'!$A$2:$A$1300,0))</f>
        <v>Nottinghamshire</v>
      </c>
    </row>
    <row r="84" spans="1:24" ht="25.05" customHeight="1" x14ac:dyDescent="0.3">
      <c r="A84" s="2" t="s">
        <v>114</v>
      </c>
      <c r="B84" s="2" t="s">
        <v>114</v>
      </c>
      <c r="C84" s="1">
        <v>25</v>
      </c>
      <c r="D84" s="1">
        <v>0</v>
      </c>
      <c r="E84" s="1">
        <v>19</v>
      </c>
      <c r="F84" s="1">
        <v>0</v>
      </c>
      <c r="K84" s="6">
        <v>4940</v>
      </c>
      <c r="L84" s="6">
        <v>1238995</v>
      </c>
      <c r="M84" s="1">
        <v>62.8</v>
      </c>
      <c r="N84" s="1">
        <v>9</v>
      </c>
      <c r="O84" s="1">
        <v>7</v>
      </c>
      <c r="P84" s="1">
        <v>19.7</v>
      </c>
      <c r="Q84" s="11">
        <f>'Table H'!J359</f>
        <v>0.8746169274290857</v>
      </c>
      <c r="R84" s="11">
        <f t="shared" si="2"/>
        <v>1083646</v>
      </c>
      <c r="S84" s="11" t="str">
        <f t="shared" si="3"/>
        <v>Oldham CB</v>
      </c>
      <c r="T84" s="11" t="s">
        <v>5213</v>
      </c>
      <c r="V84" s="11" t="str">
        <f>INDEX('Lookup 1961'!$A$2:$A$1300, MATCH(S84, 'Lookup 1961'!$B$2:$B$1300,0))</f>
        <v>J04000954</v>
      </c>
      <c r="W84" s="11" t="str">
        <f>INDEX('Lookup 1961'!$F$2:$F$1300, MATCH(S84, 'Lookup 1961'!$B$2:$B$1300,0))</f>
        <v>e200571</v>
      </c>
      <c r="X84" s="11" t="str">
        <f>INDEX('Lookup 1961'!$C$2:$C$1300, MATCH(V84, 'Lookup 1961'!$A$2:$A$1300,0))</f>
        <v>Greater Manchester</v>
      </c>
    </row>
    <row r="85" spans="1:24" ht="25.05" customHeight="1" x14ac:dyDescent="0.3">
      <c r="A85" s="2" t="s">
        <v>115</v>
      </c>
      <c r="B85" s="2" t="s">
        <v>5237</v>
      </c>
      <c r="C85" s="1">
        <v>21</v>
      </c>
      <c r="D85" s="1">
        <v>6</v>
      </c>
      <c r="E85" s="1">
        <v>15</v>
      </c>
      <c r="F85" s="1">
        <v>0</v>
      </c>
      <c r="K85" s="6">
        <v>7600</v>
      </c>
      <c r="L85" s="6">
        <v>2126386</v>
      </c>
      <c r="M85" s="1">
        <v>104.3</v>
      </c>
      <c r="N85" s="1">
        <v>14</v>
      </c>
      <c r="O85" s="1">
        <v>3</v>
      </c>
      <c r="P85" s="1">
        <v>35.1</v>
      </c>
      <c r="Q85" s="11">
        <f>'Table H'!J360</f>
        <v>0.93667236334324999</v>
      </c>
      <c r="R85" s="11">
        <f t="shared" si="2"/>
        <v>1991727</v>
      </c>
      <c r="S85" s="11" t="str">
        <f t="shared" si="3"/>
        <v>Oxford, city of CB</v>
      </c>
      <c r="T85" s="11" t="s">
        <v>5213</v>
      </c>
      <c r="V85" s="11" t="str">
        <f>INDEX('Lookup 1961'!$A$2:$A$1300, MATCH(S85, 'Lookup 1961'!$B$2:$B$1300,0))</f>
        <v>J04000967</v>
      </c>
      <c r="W85" s="11" t="str">
        <f>INDEX('Lookup 1961'!$F$2:$F$1300, MATCH(S85, 'Lookup 1961'!$B$2:$B$1300,0))</f>
        <v>e290865</v>
      </c>
      <c r="X85" s="11" t="str">
        <f>INDEX('Lookup 1961'!$C$2:$C$1300, MATCH(V85, 'Lookup 1961'!$A$2:$A$1300,0))</f>
        <v>Oxfordshire</v>
      </c>
    </row>
    <row r="86" spans="1:24" ht="25.05" customHeight="1" x14ac:dyDescent="0.3">
      <c r="A86" s="2" t="s">
        <v>116</v>
      </c>
      <c r="B86" s="2" t="s">
        <v>5238</v>
      </c>
      <c r="C86" s="1">
        <v>21</v>
      </c>
      <c r="D86" s="1">
        <v>0</v>
      </c>
      <c r="E86" s="1">
        <v>15</v>
      </c>
      <c r="F86" s="1">
        <v>2</v>
      </c>
      <c r="K86" s="6">
        <v>12403</v>
      </c>
      <c r="L86" s="6">
        <v>3144061</v>
      </c>
      <c r="M86" s="1">
        <v>57.5</v>
      </c>
      <c r="N86" s="1">
        <v>10</v>
      </c>
      <c r="O86" s="1">
        <v>11</v>
      </c>
      <c r="P86" s="1">
        <v>10.8</v>
      </c>
      <c r="Q86" s="11">
        <f>'Table H'!J361</f>
        <v>0.92690981504493708</v>
      </c>
      <c r="R86" s="11">
        <f t="shared" si="2"/>
        <v>2914261</v>
      </c>
      <c r="S86" s="11" t="str">
        <f t="shared" si="3"/>
        <v>Plymouth, city of CB</v>
      </c>
      <c r="T86" s="11" t="s">
        <v>5213</v>
      </c>
      <c r="V86" s="11" t="str">
        <f>INDEX('Lookup 1961'!$A$2:$A$1300, MATCH(S86, 'Lookup 1961'!$B$2:$B$1300,0))</f>
        <v>J04000996</v>
      </c>
      <c r="W86" s="11" t="str">
        <f>INDEX('Lookup 1961'!$F$2:$F$1300, MATCH(S86, 'Lookup 1961'!$B$2:$B$1300,0))</f>
        <v>e090197</v>
      </c>
      <c r="X86" s="11" t="str">
        <f>INDEX('Lookup 1961'!$C$2:$C$1300, MATCH(V86, 'Lookup 1961'!$A$2:$A$1300,0))</f>
        <v>Devon</v>
      </c>
    </row>
    <row r="87" spans="1:24" ht="25.05" customHeight="1" x14ac:dyDescent="0.3">
      <c r="A87" s="2" t="s">
        <v>117</v>
      </c>
      <c r="B87" s="2" t="s">
        <v>5239</v>
      </c>
      <c r="C87" s="1">
        <v>22</v>
      </c>
      <c r="D87" s="1">
        <v>0</v>
      </c>
      <c r="E87" s="1">
        <v>12</v>
      </c>
      <c r="F87" s="1">
        <v>4</v>
      </c>
      <c r="K87" s="6">
        <v>15590</v>
      </c>
      <c r="L87" s="6">
        <v>3872948</v>
      </c>
      <c r="M87" s="1">
        <v>97.5</v>
      </c>
      <c r="N87" s="1">
        <v>10</v>
      </c>
      <c r="O87" s="1">
        <v>5</v>
      </c>
      <c r="P87" s="1">
        <v>14.6</v>
      </c>
      <c r="Q87" s="11">
        <f>'Table H'!J362</f>
        <v>0.94329694072835468</v>
      </c>
      <c r="R87" s="11">
        <f t="shared" si="2"/>
        <v>3653340</v>
      </c>
      <c r="S87" s="11" t="str">
        <f t="shared" si="3"/>
        <v>Portsmouth, city of CB</v>
      </c>
      <c r="T87" s="11" t="s">
        <v>5213</v>
      </c>
      <c r="V87" s="11" t="str">
        <f>INDEX('Lookup 1961'!$A$2:$A$1300, MATCH(S87, 'Lookup 1961'!$B$2:$B$1300,0))</f>
        <v>J04001012</v>
      </c>
      <c r="W87" s="11" t="str">
        <f>INDEX('Lookup 1961'!$F$2:$F$1300, MATCH(S87, 'Lookup 1961'!$B$2:$B$1300,0))</f>
        <v>e150412</v>
      </c>
      <c r="X87" s="11" t="str">
        <f>INDEX('Lookup 1961'!$C$2:$C$1300, MATCH(V87, 'Lookup 1961'!$A$2:$A$1300,0))</f>
        <v>Hampshire</v>
      </c>
    </row>
    <row r="88" spans="1:24" ht="25.05" customHeight="1" x14ac:dyDescent="0.3">
      <c r="A88" s="2" t="s">
        <v>118</v>
      </c>
      <c r="B88" s="2" t="s">
        <v>118</v>
      </c>
      <c r="C88" s="1">
        <v>24</v>
      </c>
      <c r="D88" s="1">
        <v>3</v>
      </c>
      <c r="E88" s="1">
        <v>17</v>
      </c>
      <c r="F88" s="1">
        <v>6</v>
      </c>
      <c r="K88" s="6">
        <v>5328</v>
      </c>
      <c r="L88" s="6">
        <v>1326147</v>
      </c>
      <c r="M88" s="1">
        <v>66.2</v>
      </c>
      <c r="N88" s="1">
        <v>9</v>
      </c>
      <c r="O88" s="1">
        <v>12</v>
      </c>
      <c r="P88" s="1">
        <v>19.3</v>
      </c>
      <c r="Q88" s="11">
        <f>'Table H'!J363</f>
        <v>0.89783259321930375</v>
      </c>
      <c r="R88" s="11">
        <f t="shared" si="2"/>
        <v>1190658</v>
      </c>
      <c r="S88" s="11" t="str">
        <f t="shared" si="3"/>
        <v>Preston CB</v>
      </c>
      <c r="T88" s="11" t="s">
        <v>5213</v>
      </c>
      <c r="V88" s="11" t="str">
        <f>INDEX('Lookup 1961'!$A$2:$A$1300, MATCH(S88, 'Lookup 1961'!$B$2:$B$1300,0))</f>
        <v>J04001019</v>
      </c>
      <c r="W88" s="11" t="str">
        <f>INDEX('Lookup 1961'!$F$2:$F$1300, MATCH(S88, 'Lookup 1961'!$B$2:$B$1300,0))</f>
        <v>e200572</v>
      </c>
      <c r="X88" s="11" t="str">
        <f>INDEX('Lookup 1961'!$C$2:$C$1300, MATCH(V88, 'Lookup 1961'!$A$2:$A$1300,0))</f>
        <v>Lancashire</v>
      </c>
    </row>
    <row r="89" spans="1:24" ht="25.05" customHeight="1" x14ac:dyDescent="0.3">
      <c r="A89" s="2" t="s">
        <v>119</v>
      </c>
      <c r="B89" s="2" t="s">
        <v>119</v>
      </c>
      <c r="C89" s="1">
        <v>21</v>
      </c>
      <c r="D89" s="1">
        <v>0</v>
      </c>
      <c r="E89" s="1">
        <v>15</v>
      </c>
      <c r="F89" s="1">
        <v>0</v>
      </c>
      <c r="K89" s="6">
        <v>7800</v>
      </c>
      <c r="L89" s="6">
        <v>1959819</v>
      </c>
      <c r="M89" s="1">
        <v>65.099999999999994</v>
      </c>
      <c r="N89" s="1">
        <v>12</v>
      </c>
      <c r="O89" s="1">
        <v>6</v>
      </c>
      <c r="P89" s="1">
        <v>18.8</v>
      </c>
      <c r="Q89" s="11">
        <f>'Table H'!J364</f>
        <v>0.92661159015194772</v>
      </c>
      <c r="R89" s="11">
        <f t="shared" si="2"/>
        <v>1815991</v>
      </c>
      <c r="S89" s="11" t="str">
        <f t="shared" si="3"/>
        <v>Reading CB</v>
      </c>
      <c r="T89" s="11" t="s">
        <v>5213</v>
      </c>
      <c r="V89" s="11" t="str">
        <f>INDEX('Lookup 1961'!$A$2:$A$1300, MATCH(S89, 'Lookup 1961'!$B$2:$B$1300,0))</f>
        <v>J04001036</v>
      </c>
      <c r="W89" s="11" t="str">
        <f>INDEX('Lookup 1961'!$F$2:$F$1300, MATCH(S89, 'Lookup 1961'!$B$2:$B$1300,0))</f>
        <v>e020012</v>
      </c>
      <c r="X89" s="11" t="str">
        <f>INDEX('Lookup 1961'!$C$2:$C$1300, MATCH(V89, 'Lookup 1961'!$A$2:$A$1300,0))</f>
        <v>Berkshire</v>
      </c>
    </row>
    <row r="90" spans="1:24" ht="25.05" customHeight="1" x14ac:dyDescent="0.3">
      <c r="A90" s="2" t="s">
        <v>120</v>
      </c>
      <c r="B90" s="2" t="s">
        <v>120</v>
      </c>
      <c r="C90" s="1">
        <v>26</v>
      </c>
      <c r="D90" s="1">
        <v>6</v>
      </c>
      <c r="E90" s="1">
        <v>19</v>
      </c>
      <c r="F90" s="1">
        <v>0</v>
      </c>
      <c r="K90" s="6">
        <v>3750</v>
      </c>
      <c r="L90" s="6">
        <v>956515</v>
      </c>
      <c r="M90" s="1">
        <v>60.4</v>
      </c>
      <c r="N90" s="1">
        <v>10</v>
      </c>
      <c r="O90" s="1">
        <v>1</v>
      </c>
      <c r="P90" s="1">
        <v>14.5</v>
      </c>
      <c r="Q90" s="11">
        <f>'Table H'!J365</f>
        <v>0.86442449935442722</v>
      </c>
      <c r="R90" s="11">
        <f t="shared" si="2"/>
        <v>826835</v>
      </c>
      <c r="S90" s="11" t="str">
        <f t="shared" si="3"/>
        <v>Rochdale CB</v>
      </c>
      <c r="T90" s="11" t="s">
        <v>5213</v>
      </c>
      <c r="V90" s="11" t="str">
        <f>INDEX('Lookup 1961'!$A$2:$A$1300, MATCH(S90, 'Lookup 1961'!$B$2:$B$1300,0))</f>
        <v>J04001057</v>
      </c>
      <c r="W90" s="11" t="str">
        <f>INDEX('Lookup 1961'!$F$2:$F$1300, MATCH(S90, 'Lookup 1961'!$B$2:$B$1300,0))</f>
        <v>e200573</v>
      </c>
      <c r="X90" s="11" t="str">
        <f>INDEX('Lookup 1961'!$C$2:$C$1300, MATCH(V90, 'Lookup 1961'!$A$2:$A$1300,0))</f>
        <v>Greater Manchester</v>
      </c>
    </row>
    <row r="91" spans="1:24" ht="25.05" customHeight="1" x14ac:dyDescent="0.3">
      <c r="A91" s="2" t="s">
        <v>121</v>
      </c>
      <c r="B91" s="2" t="s">
        <v>121</v>
      </c>
      <c r="C91" s="1">
        <v>26</v>
      </c>
      <c r="D91" s="1">
        <v>0</v>
      </c>
      <c r="E91" s="1">
        <v>18</v>
      </c>
      <c r="F91" s="1">
        <v>0</v>
      </c>
      <c r="K91" s="6">
        <v>3575</v>
      </c>
      <c r="L91" s="6">
        <v>894225</v>
      </c>
      <c r="M91" s="1">
        <v>75.900000000000006</v>
      </c>
      <c r="N91" s="1">
        <v>9</v>
      </c>
      <c r="O91" s="1">
        <v>8</v>
      </c>
      <c r="P91" s="1">
        <v>21.3</v>
      </c>
      <c r="Q91" s="11">
        <f>'Table H'!J366</f>
        <v>0.85562693952864211</v>
      </c>
      <c r="R91" s="11">
        <f t="shared" si="2"/>
        <v>765123</v>
      </c>
      <c r="S91" s="11" t="str">
        <f t="shared" si="3"/>
        <v>Rotherham CB</v>
      </c>
      <c r="T91" s="11" t="s">
        <v>5213</v>
      </c>
      <c r="V91" s="11" t="str">
        <f>INDEX('Lookup 1961'!$A$2:$A$1300, MATCH(S91, 'Lookup 1961'!$B$2:$B$1300,0))</f>
        <v>J04001067</v>
      </c>
      <c r="W91" s="11" t="str">
        <f>INDEX('Lookup 1961'!$F$2:$F$1300, MATCH(S91, 'Lookup 1961'!$B$2:$B$1300,0))</f>
        <v>e461206</v>
      </c>
      <c r="X91" s="11" t="str">
        <f>INDEX('Lookup 1961'!$C$2:$C$1300, MATCH(V91, 'Lookup 1961'!$A$2:$A$1300,0))</f>
        <v>South Yorkshire</v>
      </c>
    </row>
    <row r="92" spans="1:24" ht="25.05" customHeight="1" x14ac:dyDescent="0.3">
      <c r="A92" s="2" t="s">
        <v>122</v>
      </c>
      <c r="B92" s="2" t="s">
        <v>122</v>
      </c>
      <c r="C92" s="1">
        <v>20</v>
      </c>
      <c r="D92" s="1">
        <v>0</v>
      </c>
      <c r="E92" s="1">
        <v>16</v>
      </c>
      <c r="F92" s="1">
        <v>0</v>
      </c>
      <c r="K92" s="6">
        <v>3425</v>
      </c>
      <c r="L92" s="6">
        <v>894733</v>
      </c>
      <c r="M92" s="1">
        <v>54.6</v>
      </c>
      <c r="N92" s="1">
        <v>6</v>
      </c>
      <c r="O92" s="1">
        <v>0</v>
      </c>
      <c r="P92" s="1">
        <v>22.7</v>
      </c>
      <c r="Q92" s="11">
        <f>'Table H'!J367</f>
        <v>0.86641713226180328</v>
      </c>
      <c r="R92" s="11">
        <f t="shared" si="2"/>
        <v>775212</v>
      </c>
      <c r="S92" s="11" t="str">
        <f t="shared" si="3"/>
        <v>St. Helens CB</v>
      </c>
      <c r="T92" s="11" t="s">
        <v>5213</v>
      </c>
      <c r="V92" s="11" t="str">
        <f>INDEX('Lookup 1961'!$A$2:$A$1300, MATCH(S92, 'Lookup 1961'!$B$2:$B$1300,0))</f>
        <v>J04001186</v>
      </c>
      <c r="W92" s="11" t="str">
        <f>INDEX('Lookup 1961'!$F$2:$F$1300, MATCH(S92, 'Lookup 1961'!$B$2:$B$1300,0))</f>
        <v>e200574</v>
      </c>
      <c r="X92" s="11" t="str">
        <f>INDEX('Lookup 1961'!$C$2:$C$1300, MATCH(V92, 'Lookup 1961'!$A$2:$A$1300,0))</f>
        <v>Merseyside</v>
      </c>
    </row>
    <row r="93" spans="1:24" ht="25.05" customHeight="1" x14ac:dyDescent="0.3">
      <c r="A93" s="2" t="s">
        <v>123</v>
      </c>
      <c r="B93" s="2" t="s">
        <v>5240</v>
      </c>
      <c r="C93" s="1">
        <v>26</v>
      </c>
      <c r="D93" s="1">
        <v>0</v>
      </c>
      <c r="E93" s="1">
        <v>17</v>
      </c>
      <c r="F93" s="1">
        <v>9</v>
      </c>
      <c r="K93" s="6">
        <v>6400</v>
      </c>
      <c r="L93" s="6">
        <v>1618426</v>
      </c>
      <c r="M93" s="1">
        <v>42.8</v>
      </c>
      <c r="N93" s="1">
        <v>8</v>
      </c>
      <c r="O93" s="1">
        <v>4</v>
      </c>
      <c r="P93" s="1">
        <v>0.4</v>
      </c>
      <c r="Q93" s="11">
        <f>'Table H'!J368</f>
        <v>0.88157011812711861</v>
      </c>
      <c r="R93" s="11">
        <f t="shared" si="2"/>
        <v>1426756</v>
      </c>
      <c r="S93" s="11" t="str">
        <f t="shared" si="3"/>
        <v>Salford, city of CB</v>
      </c>
      <c r="T93" s="11" t="s">
        <v>5213</v>
      </c>
      <c r="V93" s="11" t="str">
        <f>INDEX('Lookup 1961'!$A$2:$A$1300, MATCH(S93, 'Lookup 1961'!$B$2:$B$1300,0))</f>
        <v>J04001094</v>
      </c>
      <c r="W93" s="11" t="str">
        <f>INDEX('Lookup 1961'!$F$2:$F$1300, MATCH(S93, 'Lookup 1961'!$B$2:$B$1300,0))</f>
        <v>e200575</v>
      </c>
      <c r="X93" s="11" t="str">
        <f>INDEX('Lookup 1961'!$C$2:$C$1300, MATCH(V93, 'Lookup 1961'!$A$2:$A$1300,0))</f>
        <v>Greater Manchester</v>
      </c>
    </row>
    <row r="94" spans="1:24" ht="25.05" customHeight="1" x14ac:dyDescent="0.3">
      <c r="A94" s="2" t="s">
        <v>124</v>
      </c>
      <c r="B94" s="2" t="s">
        <v>5241</v>
      </c>
      <c r="C94" s="1">
        <v>20</v>
      </c>
      <c r="D94" s="1">
        <v>0</v>
      </c>
      <c r="E94" s="1">
        <v>16</v>
      </c>
      <c r="F94" s="1">
        <v>6</v>
      </c>
      <c r="K94" s="6">
        <v>23006</v>
      </c>
      <c r="L94" s="6">
        <v>5655692</v>
      </c>
      <c r="M94" s="1">
        <v>56.8</v>
      </c>
      <c r="N94" s="1">
        <v>9</v>
      </c>
      <c r="O94" s="1">
        <v>5</v>
      </c>
      <c r="P94" s="1">
        <v>6.4</v>
      </c>
      <c r="Q94" s="11">
        <f>'Table H'!J369</f>
        <v>0.86493465344293852</v>
      </c>
      <c r="R94" s="11">
        <f t="shared" si="2"/>
        <v>4891804</v>
      </c>
      <c r="S94" s="11" t="str">
        <f t="shared" si="3"/>
        <v>Sheffield, city of CB</v>
      </c>
      <c r="T94" s="11" t="s">
        <v>5213</v>
      </c>
      <c r="V94" s="11" t="str">
        <f>INDEX('Lookup 1961'!$A$2:$A$1300, MATCH(S94, 'Lookup 1961'!$B$2:$B$1300,0))</f>
        <v>J04001126</v>
      </c>
      <c r="W94" s="11" t="str">
        <f>INDEX('Lookup 1961'!$F$2:$F$1300, MATCH(S94, 'Lookup 1961'!$B$2:$B$1300,0))</f>
        <v>e461207</v>
      </c>
      <c r="X94" s="11" t="str">
        <f>INDEX('Lookup 1961'!$C$2:$C$1300, MATCH(V94, 'Lookup 1961'!$A$2:$A$1300,0))</f>
        <v>South Yorkshire</v>
      </c>
    </row>
    <row r="95" spans="1:24" ht="25.05" customHeight="1" x14ac:dyDescent="0.3">
      <c r="A95" s="2" t="s">
        <v>125</v>
      </c>
      <c r="B95" s="2" t="s">
        <v>125</v>
      </c>
      <c r="C95" s="1">
        <v>22</v>
      </c>
      <c r="D95" s="1">
        <v>0</v>
      </c>
      <c r="E95" s="1">
        <v>14</v>
      </c>
      <c r="F95" s="1">
        <v>0</v>
      </c>
      <c r="K95" s="6">
        <v>3000</v>
      </c>
      <c r="L95" s="6">
        <v>734703</v>
      </c>
      <c r="M95" s="1">
        <v>65.8</v>
      </c>
      <c r="N95" s="1">
        <v>6</v>
      </c>
      <c r="O95" s="1">
        <v>17</v>
      </c>
      <c r="P95" s="1">
        <v>7.8</v>
      </c>
      <c r="Q95" s="11">
        <f>'Table H'!J370</f>
        <v>0.83119981815781341</v>
      </c>
      <c r="R95" s="11">
        <f t="shared" si="2"/>
        <v>610685</v>
      </c>
      <c r="S95" s="11" t="str">
        <f t="shared" si="3"/>
        <v>Smethwick CB</v>
      </c>
      <c r="T95" s="11" t="s">
        <v>5213</v>
      </c>
      <c r="V95" s="11" t="str">
        <f>INDEX('Lookup 1961'!$A$2:$A$1300, MATCH(S95, 'Lookup 1961'!$B$2:$B$1300,0))</f>
        <v>J04001152</v>
      </c>
      <c r="W95" s="11" t="str">
        <f>INDEX('Lookup 1961'!$F$2:$F$1300, MATCH(S95, 'Lookup 1961'!$B$2:$B$1300,0))</f>
        <v>e431127</v>
      </c>
      <c r="X95" s="11" t="str">
        <f>INDEX('Lookup 1961'!$C$2:$C$1300, MATCH(V95, 'Lookup 1961'!$A$2:$A$1300,0))</f>
        <v>West Midlands</v>
      </c>
    </row>
    <row r="96" spans="1:24" ht="25.05" customHeight="1" x14ac:dyDescent="0.3">
      <c r="A96" s="2" t="s">
        <v>126</v>
      </c>
      <c r="B96" s="2" t="s">
        <v>5242</v>
      </c>
      <c r="C96" s="1">
        <v>21</v>
      </c>
      <c r="D96" s="1">
        <v>4</v>
      </c>
      <c r="E96" s="1">
        <v>14</v>
      </c>
      <c r="F96" s="1">
        <v>5</v>
      </c>
      <c r="K96" s="6">
        <v>13332</v>
      </c>
      <c r="L96" s="6">
        <v>3700779</v>
      </c>
      <c r="M96" s="1">
        <v>103</v>
      </c>
      <c r="N96" s="1">
        <v>11</v>
      </c>
      <c r="O96" s="1">
        <v>16</v>
      </c>
      <c r="P96" s="1">
        <v>20.7</v>
      </c>
      <c r="Q96" s="11">
        <f>'Table H'!J371</f>
        <v>0.95371217789551876</v>
      </c>
      <c r="R96" s="11">
        <f t="shared" si="2"/>
        <v>3529478</v>
      </c>
      <c r="S96" s="11" t="str">
        <f t="shared" si="3"/>
        <v>Southampton, city of CB</v>
      </c>
      <c r="T96" s="11" t="s">
        <v>5213</v>
      </c>
      <c r="V96" s="11" t="str">
        <f>INDEX('Lookup 1961'!$A$2:$A$1300, MATCH(S96, 'Lookup 1961'!$B$2:$B$1300,0))</f>
        <v>J04001164</v>
      </c>
      <c r="W96" s="11" t="str">
        <f>INDEX('Lookup 1961'!$F$2:$F$1300, MATCH(S96, 'Lookup 1961'!$B$2:$B$1300,0))</f>
        <v>e150413</v>
      </c>
      <c r="X96" s="11" t="str">
        <f>INDEX('Lookup 1961'!$C$2:$C$1300, MATCH(V96, 'Lookup 1961'!$A$2:$A$1300,0))</f>
        <v>Hampshire</v>
      </c>
    </row>
    <row r="97" spans="1:24" ht="25.05" customHeight="1" x14ac:dyDescent="0.3">
      <c r="A97" s="2" t="s">
        <v>127</v>
      </c>
      <c r="B97" s="2" t="s">
        <v>127</v>
      </c>
      <c r="C97" s="1">
        <v>21</v>
      </c>
      <c r="D97" s="1">
        <v>0</v>
      </c>
      <c r="E97" s="1">
        <v>14</v>
      </c>
      <c r="F97" s="1">
        <v>0</v>
      </c>
      <c r="K97" s="6">
        <v>11277</v>
      </c>
      <c r="L97" s="6">
        <v>2919378</v>
      </c>
      <c r="M97" s="1">
        <v>76.599999999999994</v>
      </c>
      <c r="N97" s="1">
        <v>12</v>
      </c>
      <c r="O97" s="1">
        <v>12</v>
      </c>
      <c r="P97" s="1">
        <v>13.5</v>
      </c>
      <c r="Q97" s="11">
        <f>'Table H'!J372</f>
        <v>0.97867353936352197</v>
      </c>
      <c r="R97" s="11">
        <f t="shared" si="2"/>
        <v>2857118</v>
      </c>
      <c r="S97" s="11" t="str">
        <f t="shared" si="3"/>
        <v>Southend-on-Sea CB</v>
      </c>
      <c r="T97" s="11" t="s">
        <v>5213</v>
      </c>
      <c r="V97" s="11" t="str">
        <f>INDEX('Lookup 1961'!$A$2:$A$1300, MATCH(S97, 'Lookup 1961'!$B$2:$B$1300,0))</f>
        <v>J04001166</v>
      </c>
      <c r="W97" s="11" t="str">
        <f>INDEX('Lookup 1961'!$F$2:$F$1300, MATCH(S97, 'Lookup 1961'!$B$2:$B$1300,0))</f>
        <v>e120307</v>
      </c>
      <c r="X97" s="11" t="str">
        <f>INDEX('Lookup 1961'!$C$2:$C$1300, MATCH(V97, 'Lookup 1961'!$A$2:$A$1300,0))</f>
        <v>Essex</v>
      </c>
    </row>
    <row r="98" spans="1:24" ht="25.05" customHeight="1" x14ac:dyDescent="0.3">
      <c r="A98" s="2" t="s">
        <v>128</v>
      </c>
      <c r="B98" s="2" t="s">
        <v>128</v>
      </c>
      <c r="C98" s="1">
        <v>17</v>
      </c>
      <c r="D98" s="1">
        <v>10</v>
      </c>
      <c r="E98" s="1">
        <v>13</v>
      </c>
      <c r="F98" s="1">
        <v>9</v>
      </c>
      <c r="K98" s="6">
        <v>6112</v>
      </c>
      <c r="L98" s="6">
        <v>1572938</v>
      </c>
      <c r="M98" s="1">
        <v>58.6</v>
      </c>
      <c r="N98" s="1">
        <v>12</v>
      </c>
      <c r="O98" s="1">
        <v>1</v>
      </c>
      <c r="P98" s="1">
        <v>16.8</v>
      </c>
      <c r="Q98" s="11">
        <f>'Table H'!J373</f>
        <v>0.98483156996652121</v>
      </c>
      <c r="R98" s="11">
        <f t="shared" si="2"/>
        <v>1549079</v>
      </c>
      <c r="S98" s="11" t="str">
        <f t="shared" si="3"/>
        <v>Southport CB</v>
      </c>
      <c r="T98" s="11" t="s">
        <v>5213</v>
      </c>
      <c r="V98" s="11" t="str">
        <f>INDEX('Lookup 1961'!$A$2:$A$1300, MATCH(S98, 'Lookup 1961'!$B$2:$B$1300,0))</f>
        <v>J04001168</v>
      </c>
      <c r="W98" s="11" t="str">
        <f>INDEX('Lookup 1961'!$F$2:$F$1300, MATCH(S98, 'Lookup 1961'!$B$2:$B$1300,0))</f>
        <v>e200576</v>
      </c>
      <c r="X98" s="11" t="str">
        <f>INDEX('Lookup 1961'!$C$2:$C$1300, MATCH(V98, 'Lookup 1961'!$A$2:$A$1300,0))</f>
        <v>Merseyside</v>
      </c>
    </row>
    <row r="99" spans="1:24" ht="25.05" customHeight="1" x14ac:dyDescent="0.3">
      <c r="A99" s="2" t="s">
        <v>129</v>
      </c>
      <c r="B99" s="2" t="s">
        <v>129</v>
      </c>
      <c r="C99" s="1">
        <v>23</v>
      </c>
      <c r="D99" s="1">
        <v>0</v>
      </c>
      <c r="E99" s="1">
        <v>16</v>
      </c>
      <c r="F99" s="1">
        <v>6</v>
      </c>
      <c r="K99" s="6">
        <v>3893</v>
      </c>
      <c r="L99" s="6">
        <v>1021707</v>
      </c>
      <c r="M99" s="1">
        <v>56.7</v>
      </c>
      <c r="N99" s="1">
        <v>7</v>
      </c>
      <c r="O99" s="1">
        <v>5</v>
      </c>
      <c r="P99" s="1">
        <v>8.4</v>
      </c>
      <c r="Q99" s="11">
        <f>'Table H'!J374</f>
        <v>0.9333634789621682</v>
      </c>
      <c r="R99" s="11">
        <f t="shared" si="2"/>
        <v>953624</v>
      </c>
      <c r="S99" s="11" t="str">
        <f t="shared" si="3"/>
        <v>South Shields CB</v>
      </c>
      <c r="T99" s="11" t="s">
        <v>5213</v>
      </c>
      <c r="V99" s="11" t="str">
        <f>INDEX('Lookup 1961'!$A$2:$A$1300, MATCH(S99, 'Lookup 1961'!$B$2:$B$1300,0))</f>
        <v>J04001160</v>
      </c>
      <c r="W99" s="11" t="str">
        <f>INDEX('Lookup 1961'!$F$2:$F$1300, MATCH(S99, 'Lookup 1961'!$B$2:$B$1300,0))</f>
        <v>e110263</v>
      </c>
      <c r="X99" s="11" t="str">
        <f>INDEX('Lookup 1961'!$C$2:$C$1300, MATCH(V99, 'Lookup 1961'!$A$2:$A$1300,0))</f>
        <v>Tyne And Wear</v>
      </c>
    </row>
    <row r="100" spans="1:24" ht="25.05" customHeight="1" x14ac:dyDescent="0.3">
      <c r="A100" s="2" t="s">
        <v>130</v>
      </c>
      <c r="B100" s="2" t="s">
        <v>130</v>
      </c>
      <c r="C100" s="1">
        <v>21</v>
      </c>
      <c r="D100" s="1">
        <v>0</v>
      </c>
      <c r="E100" s="1">
        <v>15</v>
      </c>
      <c r="F100" s="1">
        <v>3</v>
      </c>
      <c r="K100" s="6">
        <v>5935</v>
      </c>
      <c r="L100" s="6">
        <v>1508467</v>
      </c>
      <c r="M100" s="1">
        <v>54.6</v>
      </c>
      <c r="N100" s="1">
        <v>7</v>
      </c>
      <c r="O100" s="1">
        <v>18</v>
      </c>
      <c r="P100" s="1">
        <v>10</v>
      </c>
      <c r="Q100" s="11">
        <f>'Table H'!J375</f>
        <v>0.91663059251544776</v>
      </c>
      <c r="R100" s="11">
        <f t="shared" si="2"/>
        <v>1382707</v>
      </c>
      <c r="S100" s="11" t="str">
        <f t="shared" si="3"/>
        <v>Stockport CB</v>
      </c>
      <c r="T100" s="11" t="s">
        <v>5213</v>
      </c>
      <c r="V100" s="11" t="str">
        <f>INDEX('Lookup 1961'!$A$2:$A$1300, MATCH(S100, 'Lookup 1961'!$B$2:$B$1300,0))</f>
        <v>J04001208</v>
      </c>
      <c r="W100" s="11" t="str">
        <f>INDEX('Lookup 1961'!$F$2:$F$1300, MATCH(S100, 'Lookup 1961'!$B$2:$B$1300,0))</f>
        <v>e050070</v>
      </c>
      <c r="X100" s="11" t="str">
        <f>INDEX('Lookup 1961'!$C$2:$C$1300, MATCH(V100, 'Lookup 1961'!$A$2:$A$1300,0))</f>
        <v>Greater Manchester</v>
      </c>
    </row>
    <row r="101" spans="1:24" ht="25.05" customHeight="1" x14ac:dyDescent="0.3">
      <c r="A101" s="2" t="s">
        <v>131</v>
      </c>
      <c r="B101" s="2" t="s">
        <v>5243</v>
      </c>
      <c r="C101" s="1">
        <v>26</v>
      </c>
      <c r="D101" s="1">
        <v>0</v>
      </c>
      <c r="E101" s="1">
        <v>18</v>
      </c>
      <c r="F101" s="1">
        <v>10</v>
      </c>
      <c r="K101" s="6">
        <v>9780</v>
      </c>
      <c r="L101" s="6">
        <v>2477054</v>
      </c>
      <c r="M101" s="1">
        <v>63.8</v>
      </c>
      <c r="N101" s="1">
        <v>8</v>
      </c>
      <c r="O101" s="1">
        <v>8</v>
      </c>
      <c r="P101" s="1">
        <v>21.3</v>
      </c>
      <c r="Q101" s="11">
        <f>'Table H'!J376</f>
        <v>0.86397914619544025</v>
      </c>
      <c r="R101" s="11">
        <f t="shared" si="2"/>
        <v>2140123</v>
      </c>
      <c r="S101" s="11" t="str">
        <f t="shared" si="3"/>
        <v>Stoke on Trent, city of CB</v>
      </c>
      <c r="T101" s="11" t="s">
        <v>5213</v>
      </c>
      <c r="V101" s="11" t="str">
        <f>INDEX('Lookup 1961'!$A$2:$A$1300, MATCH(S101, 'Lookup 1961'!$B$2:$B$1300,0))</f>
        <v>J04001213</v>
      </c>
      <c r="W101" s="11" t="str">
        <f>INDEX('Lookup 1961'!$F$2:$F$1300, MATCH(S101, 'Lookup 1961'!$B$2:$B$1300,0))</f>
        <v>e330942</v>
      </c>
      <c r="X101" s="11" t="str">
        <f>INDEX('Lookup 1961'!$C$2:$C$1300, MATCH(V101, 'Lookup 1961'!$A$2:$A$1300,0))</f>
        <v>Staffordshire</v>
      </c>
    </row>
    <row r="102" spans="1:24" ht="25.05" customHeight="1" x14ac:dyDescent="0.3">
      <c r="A102" s="2" t="s">
        <v>132</v>
      </c>
      <c r="B102" s="2" t="s">
        <v>132</v>
      </c>
      <c r="C102" s="1">
        <v>23</v>
      </c>
      <c r="D102" s="1">
        <v>6</v>
      </c>
      <c r="E102" s="1">
        <v>16</v>
      </c>
      <c r="F102" s="1">
        <v>2</v>
      </c>
      <c r="K102" s="6">
        <v>8385</v>
      </c>
      <c r="L102" s="6">
        <v>2069236</v>
      </c>
      <c r="M102" s="1">
        <v>83.6</v>
      </c>
      <c r="N102" s="1">
        <v>9</v>
      </c>
      <c r="O102" s="1">
        <v>1</v>
      </c>
      <c r="P102" s="1">
        <v>26.9</v>
      </c>
      <c r="Q102" s="11">
        <f>'Table H'!J377</f>
        <v>0.90689172235549742</v>
      </c>
      <c r="R102" s="11">
        <f t="shared" si="2"/>
        <v>1876573</v>
      </c>
      <c r="S102" s="11" t="str">
        <f t="shared" si="3"/>
        <v>Sunderland CB</v>
      </c>
      <c r="T102" s="11" t="s">
        <v>5213</v>
      </c>
      <c r="V102" s="11" t="str">
        <f>INDEX('Lookup 1961'!$A$2:$A$1300, MATCH(S102, 'Lookup 1961'!$B$2:$B$1300,0))</f>
        <v>J04001231</v>
      </c>
      <c r="W102" s="11" t="str">
        <f>INDEX('Lookup 1961'!$F$2:$F$1300, MATCH(S102, 'Lookup 1961'!$B$2:$B$1300,0))</f>
        <v>e110264</v>
      </c>
      <c r="X102" s="11" t="str">
        <f>INDEX('Lookup 1961'!$C$2:$C$1300, MATCH(V102, 'Lookup 1961'!$A$2:$A$1300,0))</f>
        <v>Tyne And Wear</v>
      </c>
    </row>
    <row r="103" spans="1:24" ht="25.05" customHeight="1" x14ac:dyDescent="0.3">
      <c r="A103" s="2" t="s">
        <v>133</v>
      </c>
      <c r="B103" s="2" t="s">
        <v>133</v>
      </c>
      <c r="C103" s="1">
        <v>20</v>
      </c>
      <c r="D103" s="1">
        <v>4</v>
      </c>
      <c r="E103" s="1">
        <v>14</v>
      </c>
      <c r="F103" s="1">
        <v>0</v>
      </c>
      <c r="K103" s="6">
        <v>2800</v>
      </c>
      <c r="L103" s="6">
        <v>712655</v>
      </c>
      <c r="M103" s="1">
        <v>41.7</v>
      </c>
      <c r="N103" s="1">
        <v>7</v>
      </c>
      <c r="O103" s="1">
        <v>0</v>
      </c>
      <c r="P103" s="1">
        <v>-6.3</v>
      </c>
      <c r="Q103" s="11">
        <f>'Table H'!J378</f>
        <v>0.88725119447699097</v>
      </c>
      <c r="R103" s="11">
        <f t="shared" si="2"/>
        <v>632304</v>
      </c>
      <c r="S103" s="11" t="str">
        <f t="shared" si="3"/>
        <v>Tynemouth CB</v>
      </c>
      <c r="T103" s="11" t="s">
        <v>5213</v>
      </c>
      <c r="V103" s="11" t="str">
        <f>INDEX('Lookup 1961'!$A$2:$A$1300, MATCH(S103, 'Lookup 1961'!$B$2:$B$1300,0))</f>
        <v>J04001306</v>
      </c>
      <c r="W103" s="11" t="str">
        <f>INDEX('Lookup 1961'!$F$2:$F$1300, MATCH(S103, 'Lookup 1961'!$B$2:$B$1300,0))</f>
        <v>e270815</v>
      </c>
      <c r="X103" s="11" t="str">
        <f>INDEX('Lookup 1961'!$C$2:$C$1300, MATCH(V103, 'Lookup 1961'!$A$2:$A$1300,0))</f>
        <v>Tyne And Wear</v>
      </c>
    </row>
    <row r="104" spans="1:24" ht="25.05" customHeight="1" x14ac:dyDescent="0.3">
      <c r="A104" s="2" t="s">
        <v>134</v>
      </c>
      <c r="B104" s="2" t="s">
        <v>5244</v>
      </c>
      <c r="C104" s="1">
        <v>24</v>
      </c>
      <c r="D104" s="1">
        <v>6</v>
      </c>
      <c r="E104" s="1">
        <v>18</v>
      </c>
      <c r="F104" s="1">
        <v>6</v>
      </c>
      <c r="K104" s="6">
        <v>2650</v>
      </c>
      <c r="L104" s="6">
        <v>663351</v>
      </c>
      <c r="M104" s="1">
        <v>48.3</v>
      </c>
      <c r="N104" s="1">
        <v>9</v>
      </c>
      <c r="O104" s="1">
        <v>19</v>
      </c>
      <c r="P104" s="1">
        <v>12.3</v>
      </c>
      <c r="Q104" s="11">
        <f>'Table H'!J379</f>
        <v>0.91623589924489446</v>
      </c>
      <c r="R104" s="11">
        <f t="shared" si="2"/>
        <v>607786</v>
      </c>
      <c r="S104" s="11" t="str">
        <f t="shared" si="3"/>
        <v>Wakefield, city of CB</v>
      </c>
      <c r="T104" s="11" t="s">
        <v>5213</v>
      </c>
      <c r="V104" s="11" t="str">
        <f>INDEX('Lookup 1961'!$A$2:$A$1300, MATCH(S104, 'Lookup 1961'!$B$2:$B$1300,0))</f>
        <v>J04001323</v>
      </c>
      <c r="W104" s="11" t="str">
        <f>INDEX('Lookup 1961'!$F$2:$F$1300, MATCH(S104, 'Lookup 1961'!$B$2:$B$1300,0))</f>
        <v>e461208</v>
      </c>
      <c r="X104" s="11" t="str">
        <f>INDEX('Lookup 1961'!$C$2:$C$1300, MATCH(V104, 'Lookup 1961'!$A$2:$A$1300,0))</f>
        <v>West Yorkshire</v>
      </c>
    </row>
    <row r="105" spans="1:24" ht="25.05" customHeight="1" x14ac:dyDescent="0.3">
      <c r="A105" s="2" t="s">
        <v>135</v>
      </c>
      <c r="B105" s="2" t="s">
        <v>135</v>
      </c>
      <c r="C105" s="1">
        <v>22</v>
      </c>
      <c r="D105" s="1">
        <v>3</v>
      </c>
      <c r="E105" s="1">
        <v>17</v>
      </c>
      <c r="F105" s="1">
        <v>3</v>
      </c>
      <c r="K105" s="6">
        <v>5175</v>
      </c>
      <c r="L105" s="6">
        <v>1328378</v>
      </c>
      <c r="M105" s="1">
        <v>40.299999999999997</v>
      </c>
      <c r="N105" s="1">
        <v>10</v>
      </c>
      <c r="O105" s="1">
        <v>2</v>
      </c>
      <c r="P105" s="1">
        <v>6.6</v>
      </c>
      <c r="Q105" s="11">
        <f>'Table H'!J380</f>
        <v>0.96556928825981758</v>
      </c>
      <c r="R105" s="11">
        <f t="shared" si="2"/>
        <v>1282641</v>
      </c>
      <c r="S105" s="11" t="str">
        <f t="shared" si="3"/>
        <v>Wallasey CB</v>
      </c>
      <c r="T105" s="11" t="s">
        <v>5213</v>
      </c>
      <c r="V105" s="11" t="str">
        <f>INDEX('Lookup 1961'!$A$2:$A$1300, MATCH(S105, 'Lookup 1961'!$B$2:$B$1300,0))</f>
        <v>J04001324</v>
      </c>
      <c r="W105" s="11" t="str">
        <f>INDEX('Lookup 1961'!$F$2:$F$1300, MATCH(S105, 'Lookup 1961'!$B$2:$B$1300,0))</f>
        <v>e050071</v>
      </c>
      <c r="X105" s="11" t="str">
        <f>INDEX('Lookup 1961'!$C$2:$C$1300, MATCH(V105, 'Lookup 1961'!$A$2:$A$1300,0))</f>
        <v>Merseyside</v>
      </c>
    </row>
    <row r="106" spans="1:24" ht="25.05" customHeight="1" x14ac:dyDescent="0.3">
      <c r="A106" s="2" t="s">
        <v>136</v>
      </c>
      <c r="B106" s="2" t="s">
        <v>136</v>
      </c>
      <c r="C106" s="1">
        <v>21</v>
      </c>
      <c r="D106" s="1">
        <v>2</v>
      </c>
      <c r="E106" s="1">
        <v>15</v>
      </c>
      <c r="F106" s="1">
        <v>0</v>
      </c>
      <c r="K106" s="6">
        <v>4425</v>
      </c>
      <c r="L106" s="6">
        <v>1111161</v>
      </c>
      <c r="M106" s="1">
        <v>73.7</v>
      </c>
      <c r="N106" s="1">
        <v>7</v>
      </c>
      <c r="O106" s="1">
        <v>2</v>
      </c>
      <c r="P106" s="1">
        <v>23.7</v>
      </c>
      <c r="Q106" s="11">
        <f>'Table H'!J381</f>
        <v>0.91055121625039037</v>
      </c>
      <c r="R106" s="11">
        <f t="shared" si="2"/>
        <v>1011769</v>
      </c>
      <c r="S106" s="11" t="str">
        <f t="shared" si="3"/>
        <v>Walsall CB</v>
      </c>
      <c r="T106" s="11" t="s">
        <v>5213</v>
      </c>
      <c r="V106" s="11" t="str">
        <f>INDEX('Lookup 1961'!$A$2:$A$1300, MATCH(S106, 'Lookup 1961'!$B$2:$B$1300,0))</f>
        <v>J04001328</v>
      </c>
      <c r="W106" s="11" t="str">
        <f>INDEX('Lookup 1961'!$F$2:$F$1300, MATCH(S106, 'Lookup 1961'!$B$2:$B$1300,0))</f>
        <v>e330943</v>
      </c>
      <c r="X106" s="11" t="str">
        <f>INDEX('Lookup 1961'!$C$2:$C$1300, MATCH(V106, 'Lookup 1961'!$A$2:$A$1300,0))</f>
        <v>West Midlands</v>
      </c>
    </row>
    <row r="107" spans="1:24" ht="25.05" customHeight="1" x14ac:dyDescent="0.3">
      <c r="A107" s="2" t="s">
        <v>137</v>
      </c>
      <c r="B107" s="2" t="s">
        <v>137</v>
      </c>
      <c r="C107" s="1">
        <v>25</v>
      </c>
      <c r="D107" s="1">
        <v>0</v>
      </c>
      <c r="E107" s="1">
        <v>17</v>
      </c>
      <c r="F107" s="1">
        <v>6</v>
      </c>
      <c r="K107" s="6">
        <v>3000</v>
      </c>
      <c r="L107" s="6">
        <v>780379</v>
      </c>
      <c r="M107" s="1">
        <v>65.099999999999994</v>
      </c>
      <c r="N107" s="1">
        <v>8</v>
      </c>
      <c r="O107" s="1">
        <v>10</v>
      </c>
      <c r="P107" s="1">
        <v>16.899999999999999</v>
      </c>
      <c r="Q107" s="11">
        <f>'Table H'!J382</f>
        <v>0.8321033754111784</v>
      </c>
      <c r="R107" s="11">
        <f t="shared" si="2"/>
        <v>649356</v>
      </c>
      <c r="S107" s="11" t="str">
        <f t="shared" si="3"/>
        <v>Warrington CB</v>
      </c>
      <c r="T107" s="11" t="s">
        <v>5213</v>
      </c>
      <c r="V107" s="11" t="str">
        <f>INDEX('Lookup 1961'!$A$2:$A$1300, MATCH(S107, 'Lookup 1961'!$B$2:$B$1300,0))</f>
        <v>J04001346</v>
      </c>
      <c r="W107" s="11" t="str">
        <f>INDEX('Lookup 1961'!$F$2:$F$1300, MATCH(S107, 'Lookup 1961'!$B$2:$B$1300,0))</f>
        <v>e200577</v>
      </c>
      <c r="X107" s="11" t="str">
        <f>INDEX('Lookup 1961'!$C$2:$C$1300, MATCH(V107, 'Lookup 1961'!$A$2:$A$1300,0))</f>
        <v>Cheshire</v>
      </c>
    </row>
    <row r="108" spans="1:24" ht="25.05" customHeight="1" x14ac:dyDescent="0.3">
      <c r="A108" s="2" t="s">
        <v>138</v>
      </c>
      <c r="B108" s="2" t="s">
        <v>138</v>
      </c>
      <c r="C108" s="1">
        <v>23</v>
      </c>
      <c r="D108" s="1">
        <v>6</v>
      </c>
      <c r="E108" s="1">
        <v>15</v>
      </c>
      <c r="F108" s="1">
        <v>6</v>
      </c>
      <c r="K108" s="6">
        <v>3800</v>
      </c>
      <c r="L108" s="6">
        <v>951173</v>
      </c>
      <c r="M108" s="1">
        <v>96.7</v>
      </c>
      <c r="N108" s="1">
        <v>7</v>
      </c>
      <c r="O108" s="1">
        <v>19</v>
      </c>
      <c r="P108" s="1">
        <v>26.3</v>
      </c>
      <c r="Q108" s="11">
        <f>'Table H'!J383</f>
        <v>0.86111990142697492</v>
      </c>
      <c r="R108" s="11">
        <f t="shared" si="2"/>
        <v>819074</v>
      </c>
      <c r="S108" s="11" t="str">
        <f t="shared" si="3"/>
        <v>West Bromwich CB</v>
      </c>
      <c r="T108" s="11" t="s">
        <v>5213</v>
      </c>
      <c r="V108" s="11" t="str">
        <f>INDEX('Lookup 1961'!$A$2:$A$1300, MATCH(S108, 'Lookup 1961'!$B$2:$B$1300,0))</f>
        <v>J04001381</v>
      </c>
      <c r="W108" s="11" t="str">
        <f>INDEX('Lookup 1961'!$F$2:$F$1300, MATCH(S108, 'Lookup 1961'!$B$2:$B$1300,0))</f>
        <v>e330944</v>
      </c>
      <c r="X108" s="11" t="str">
        <f>INDEX('Lookup 1961'!$C$2:$C$1300, MATCH(V108, 'Lookup 1961'!$A$2:$A$1300,0))</f>
        <v>West Midlands</v>
      </c>
    </row>
    <row r="109" spans="1:24" ht="25.05" customHeight="1" x14ac:dyDescent="0.3">
      <c r="A109" s="2" t="s">
        <v>139</v>
      </c>
      <c r="B109" s="2" t="s">
        <v>139</v>
      </c>
      <c r="C109" s="1">
        <v>28</v>
      </c>
      <c r="D109" s="1">
        <v>0</v>
      </c>
      <c r="E109" s="1">
        <v>19</v>
      </c>
      <c r="F109" s="1">
        <v>2</v>
      </c>
      <c r="K109" s="6">
        <v>9400</v>
      </c>
      <c r="L109" s="6">
        <v>2375868</v>
      </c>
      <c r="M109" s="1">
        <v>92</v>
      </c>
      <c r="N109" s="1">
        <v>13</v>
      </c>
      <c r="O109" s="1">
        <v>8</v>
      </c>
      <c r="P109" s="1">
        <v>30.8</v>
      </c>
      <c r="Q109" s="11">
        <f>'Table H'!J384</f>
        <v>0.86730744300609297</v>
      </c>
      <c r="R109" s="11">
        <f t="shared" si="2"/>
        <v>2060608</v>
      </c>
      <c r="S109" s="11" t="str">
        <f t="shared" si="3"/>
        <v>West Ham CB</v>
      </c>
      <c r="T109" s="11" t="s">
        <v>5213</v>
      </c>
      <c r="V109" s="11" t="str">
        <f>INDEX('Lookup 1961'!$A$2:$A$1300, MATCH(S109, 'Lookup 1961'!$B$2:$B$1300,0))</f>
        <v>J04001383</v>
      </c>
      <c r="W109" s="11" t="str">
        <f>INDEX('Lookup 1961'!$F$2:$F$1300, MATCH(S109, 'Lookup 1961'!$B$2:$B$1300,0))</f>
        <v>e140399</v>
      </c>
      <c r="X109" s="11" t="str">
        <f>INDEX('Lookup 1961'!$C$2:$C$1300, MATCH(V109, 'Lookup 1961'!$A$2:$A$1300,0))</f>
        <v>Outer London</v>
      </c>
    </row>
    <row r="110" spans="1:24" ht="25.05" customHeight="1" x14ac:dyDescent="0.3">
      <c r="A110" s="2" t="s">
        <v>140</v>
      </c>
      <c r="B110" s="2" t="s">
        <v>140</v>
      </c>
      <c r="C110" s="1">
        <v>20</v>
      </c>
      <c r="D110" s="1">
        <v>0</v>
      </c>
      <c r="E110" s="1">
        <v>16</v>
      </c>
      <c r="F110" s="1">
        <v>0</v>
      </c>
      <c r="K110" s="6">
        <v>3017</v>
      </c>
      <c r="L110" s="6">
        <v>772858</v>
      </c>
      <c r="M110" s="1">
        <v>67.400000000000006</v>
      </c>
      <c r="N110" s="1">
        <v>8</v>
      </c>
      <c r="O110" s="1">
        <v>5</v>
      </c>
      <c r="P110" s="1">
        <v>33.1</v>
      </c>
      <c r="Q110" s="11">
        <f>'Table H'!J385</f>
        <v>0.8694637307241434</v>
      </c>
      <c r="R110" s="11">
        <f t="shared" si="2"/>
        <v>671972</v>
      </c>
      <c r="S110" s="11" t="str">
        <f t="shared" si="3"/>
        <v>West Hartlepool CB</v>
      </c>
      <c r="T110" s="11" t="s">
        <v>5213</v>
      </c>
      <c r="V110" s="11" t="str">
        <f>INDEX('Lookup 1961'!$A$2:$A$1300, MATCH(S110, 'Lookup 1961'!$B$2:$B$1300,0))</f>
        <v>J04001384</v>
      </c>
      <c r="W110" s="11" t="str">
        <f>INDEX('Lookup 1961'!$F$2:$F$1300, MATCH(S110, 'Lookup 1961'!$B$2:$B$1300,0))</f>
        <v>e110262</v>
      </c>
      <c r="X110" s="11" t="str">
        <f>INDEX('Lookup 1961'!$C$2:$C$1300, MATCH(V110, 'Lookup 1961'!$A$2:$A$1300,0))</f>
        <v>Cleveland</v>
      </c>
    </row>
    <row r="111" spans="1:24" ht="25.05" customHeight="1" x14ac:dyDescent="0.3">
      <c r="A111" s="2" t="s">
        <v>141</v>
      </c>
      <c r="B111" s="2" t="s">
        <v>141</v>
      </c>
      <c r="C111" s="1">
        <v>22</v>
      </c>
      <c r="D111" s="1">
        <v>0</v>
      </c>
      <c r="E111" s="1">
        <v>16</v>
      </c>
      <c r="F111" s="1">
        <v>0</v>
      </c>
      <c r="K111" s="6">
        <v>3275</v>
      </c>
      <c r="L111" s="6">
        <v>816809</v>
      </c>
      <c r="M111" s="1">
        <v>62.1</v>
      </c>
      <c r="N111" s="1">
        <v>7</v>
      </c>
      <c r="O111" s="1">
        <v>19</v>
      </c>
      <c r="P111" s="1">
        <v>19.2</v>
      </c>
      <c r="Q111" s="11">
        <f>'Table H'!J386</f>
        <v>0.93508151844556076</v>
      </c>
      <c r="R111" s="11">
        <f t="shared" si="2"/>
        <v>763783</v>
      </c>
      <c r="S111" s="11" t="str">
        <f t="shared" si="3"/>
        <v>Wigan CB</v>
      </c>
      <c r="T111" s="11" t="s">
        <v>5213</v>
      </c>
      <c r="V111" s="11" t="str">
        <f>INDEX('Lookup 1961'!$A$2:$A$1300, MATCH(S111, 'Lookup 1961'!$B$2:$B$1300,0))</f>
        <v>J04001409</v>
      </c>
      <c r="W111" s="11" t="str">
        <f>INDEX('Lookup 1961'!$F$2:$F$1300, MATCH(S111, 'Lookup 1961'!$B$2:$B$1300,0))</f>
        <v>e200578</v>
      </c>
      <c r="X111" s="11" t="str">
        <f>INDEX('Lookup 1961'!$C$2:$C$1300, MATCH(V111, 'Lookup 1961'!$A$2:$A$1300,0))</f>
        <v>Greater Manchester</v>
      </c>
    </row>
    <row r="112" spans="1:24" ht="25.05" customHeight="1" x14ac:dyDescent="0.3">
      <c r="A112" s="2" t="s">
        <v>142</v>
      </c>
      <c r="B112" s="2" t="s">
        <v>142</v>
      </c>
      <c r="C112" s="1">
        <v>22</v>
      </c>
      <c r="D112" s="1">
        <v>6</v>
      </c>
      <c r="E112" s="1">
        <v>16</v>
      </c>
      <c r="F112" s="1">
        <v>0</v>
      </c>
      <c r="K112" s="6">
        <v>8700</v>
      </c>
      <c r="L112" s="6">
        <v>2160596</v>
      </c>
      <c r="M112" s="1">
        <v>91.5</v>
      </c>
      <c r="N112" s="1">
        <v>11</v>
      </c>
      <c r="O112" s="1">
        <v>0</v>
      </c>
      <c r="P112" s="1">
        <v>36</v>
      </c>
      <c r="Q112" s="11">
        <f>'Table H'!J387</f>
        <v>0.89752596042943711</v>
      </c>
      <c r="R112" s="11">
        <f t="shared" si="2"/>
        <v>1939191</v>
      </c>
      <c r="S112" s="11" t="str">
        <f t="shared" si="3"/>
        <v>Wolverhampton CB</v>
      </c>
      <c r="T112" s="11" t="s">
        <v>5213</v>
      </c>
      <c r="V112" s="11" t="str">
        <f>INDEX('Lookup 1961'!$A$2:$A$1300, MATCH(S112, 'Lookup 1961'!$B$2:$B$1300,0))</f>
        <v>J04001442</v>
      </c>
      <c r="W112" s="11" t="str">
        <f>INDEX('Lookup 1961'!$F$2:$F$1300, MATCH(S112, 'Lookup 1961'!$B$2:$B$1300,0))</f>
        <v>e330945</v>
      </c>
      <c r="X112" s="11" t="str">
        <f>INDEX('Lookup 1961'!$C$2:$C$1300, MATCH(V112, 'Lookup 1961'!$A$2:$A$1300,0))</f>
        <v>West Midlands</v>
      </c>
    </row>
    <row r="113" spans="1:24" ht="25.05" customHeight="1" x14ac:dyDescent="0.3">
      <c r="A113" s="2" t="s">
        <v>143</v>
      </c>
      <c r="B113" s="2" t="s">
        <v>5246</v>
      </c>
      <c r="C113" s="1">
        <v>23</v>
      </c>
      <c r="D113" s="1">
        <v>0</v>
      </c>
      <c r="E113" s="1">
        <v>16</v>
      </c>
      <c r="F113" s="1">
        <v>4</v>
      </c>
      <c r="K113" s="6">
        <v>3723</v>
      </c>
      <c r="L113" s="6">
        <v>931003</v>
      </c>
      <c r="M113" s="1">
        <v>92.7</v>
      </c>
      <c r="N113" s="1">
        <v>11</v>
      </c>
      <c r="O113" s="1">
        <v>14</v>
      </c>
      <c r="P113" s="1">
        <v>36.799999999999997</v>
      </c>
      <c r="Q113" s="11">
        <f>'Table H'!J388</f>
        <v>0.93400021267385824</v>
      </c>
      <c r="R113" s="11">
        <f t="shared" si="2"/>
        <v>869557</v>
      </c>
      <c r="S113" s="11" t="str">
        <f t="shared" si="3"/>
        <v>Worcester, city and county of CB</v>
      </c>
      <c r="T113" s="11" t="s">
        <v>5213</v>
      </c>
      <c r="V113" s="11" t="str">
        <f>INDEX('Lookup 1961'!$A$2:$A$1300, MATCH(S113, 'Lookup 1961'!$B$2:$B$1300,0))</f>
        <v>J04001450</v>
      </c>
      <c r="W113" s="11" t="str">
        <f>INDEX('Lookup 1961'!$F$2:$F$1300, MATCH(S113, 'Lookup 1961'!$B$2:$B$1300,0))</f>
        <v>e431128</v>
      </c>
      <c r="X113" s="11" t="str">
        <f>INDEX('Lookup 1961'!$C$2:$C$1300, MATCH(V113, 'Lookup 1961'!$A$2:$A$1300,0))</f>
        <v>Hereford And Worcs</v>
      </c>
    </row>
    <row r="114" spans="1:24" ht="25.05" customHeight="1" x14ac:dyDescent="0.3">
      <c r="A114" s="2" t="s">
        <v>144</v>
      </c>
      <c r="B114" s="2" t="s">
        <v>5245</v>
      </c>
      <c r="C114" s="1">
        <v>23</v>
      </c>
      <c r="D114" s="1">
        <v>0</v>
      </c>
      <c r="E114" s="1">
        <v>16</v>
      </c>
      <c r="F114" s="1">
        <v>6</v>
      </c>
      <c r="K114" s="6">
        <v>5100</v>
      </c>
      <c r="L114" s="6">
        <v>1265547</v>
      </c>
      <c r="M114" s="1">
        <v>62.3</v>
      </c>
      <c r="N114" s="1">
        <v>9</v>
      </c>
      <c r="O114" s="1">
        <v>18</v>
      </c>
      <c r="P114" s="1">
        <v>18.5</v>
      </c>
      <c r="Q114" s="11">
        <f>'Table H'!J389</f>
        <v>0.940927519878756</v>
      </c>
      <c r="R114" s="11">
        <f t="shared" si="2"/>
        <v>1190788</v>
      </c>
      <c r="S114" s="11" t="str">
        <f t="shared" si="3"/>
        <v>York, city and county of CB</v>
      </c>
      <c r="T114" s="11" t="s">
        <v>5213</v>
      </c>
      <c r="V114" s="11" t="str">
        <f>INDEX('Lookup 1961'!$A$2:$A$1300, MATCH(S114, 'Lookup 1961'!$B$2:$B$1300,0))</f>
        <v>J04001466</v>
      </c>
      <c r="W114" s="11" t="str">
        <f>INDEX('Lookup 1961'!$F$2:$F$1300, MATCH(S114, 'Lookup 1961'!$B$2:$B$1300,0))</f>
        <v>e461209</v>
      </c>
      <c r="X114" s="11" t="str">
        <f>INDEX('Lookup 1961'!$C$2:$C$1300, MATCH(V114, 'Lookup 1961'!$A$2:$A$1300,0))</f>
        <v>North Yorkshire</v>
      </c>
    </row>
    <row r="115" spans="1:24" ht="25.05" customHeight="1" x14ac:dyDescent="0.3">
      <c r="A115" s="2" t="s">
        <v>145</v>
      </c>
      <c r="B115" s="2" t="s">
        <v>145</v>
      </c>
      <c r="S115" s="11" t="str">
        <f t="shared" si="3"/>
        <v xml:space="preserve">BEDFORD: </v>
      </c>
      <c r="V115" s="11" t="e">
        <f>INDEX('Lookup 1961'!$A$2:$A$1300, MATCH(S115, 'Lookup 1961'!$B$2:$B$1300,0))</f>
        <v>#N/A</v>
      </c>
      <c r="W115" s="11" t="e">
        <f>INDEX('Lookup 1961'!$F$2:$F$1300, MATCH(S115, 'Lookup 1961'!$B$2:$B$1300,0))</f>
        <v>#N/A</v>
      </c>
      <c r="X115" s="11" t="e">
        <f>INDEX('Lookup 1961'!$C$2:$C$1300, MATCH(V115, 'Lookup 1961'!$A$2:$A$1300,0))</f>
        <v>#N/A</v>
      </c>
    </row>
    <row r="116" spans="1:24" ht="25.05" customHeight="1" x14ac:dyDescent="0.3">
      <c r="A116" s="2" t="s">
        <v>146</v>
      </c>
      <c r="B116" s="2" t="s">
        <v>5257</v>
      </c>
      <c r="S116" s="11" t="str">
        <f t="shared" si="3"/>
        <v xml:space="preserve">Non County Boroughs  </v>
      </c>
      <c r="V116" s="11" t="e">
        <f>INDEX('Lookup 1961'!$A$2:$A$1300, MATCH(S116, 'Lookup 1961'!$B$2:$B$1300,0))</f>
        <v>#N/A</v>
      </c>
      <c r="W116" s="11" t="e">
        <f>INDEX('Lookup 1961'!$F$2:$F$1300, MATCH(S116, 'Lookup 1961'!$B$2:$B$1300,0))</f>
        <v>#N/A</v>
      </c>
      <c r="X116" s="11" t="e">
        <f>INDEX('Lookup 1961'!$C$2:$C$1300, MATCH(V116, 'Lookup 1961'!$A$2:$A$1300,0))</f>
        <v>#N/A</v>
      </c>
    </row>
    <row r="117" spans="1:24" ht="25.05" customHeight="1" x14ac:dyDescent="0.3">
      <c r="A117" s="2" t="s">
        <v>145</v>
      </c>
      <c r="B117" s="2" t="s">
        <v>5247</v>
      </c>
      <c r="C117" s="1">
        <v>24</v>
      </c>
      <c r="D117" s="1">
        <v>10</v>
      </c>
      <c r="E117" s="1">
        <v>17</v>
      </c>
      <c r="F117" s="1">
        <v>6</v>
      </c>
      <c r="K117" s="6">
        <v>3390</v>
      </c>
      <c r="L117" s="6">
        <v>861278</v>
      </c>
      <c r="M117" s="1">
        <v>98.5</v>
      </c>
      <c r="N117" s="1">
        <v>13</v>
      </c>
      <c r="O117" s="1">
        <v>1</v>
      </c>
      <c r="P117" s="1">
        <v>37.799999999999997</v>
      </c>
      <c r="Q117" s="11">
        <f>'Table H'!$J$9</f>
        <v>0.91395917825256578</v>
      </c>
      <c r="R117" s="11">
        <f t="shared" si="2"/>
        <v>787172.93312701338</v>
      </c>
      <c r="S117" s="11" t="str">
        <f t="shared" si="3"/>
        <v>BEDFORD MB</v>
      </c>
      <c r="T117" s="11" t="s">
        <v>5211</v>
      </c>
      <c r="V117" s="11" t="str">
        <f>INDEX('Lookup 1961'!$A$2:$A$1300, MATCH(S117, 'Lookup 1961'!$B$2:$B$1300,0))</f>
        <v>J04000112</v>
      </c>
      <c r="W117" s="11" t="str">
        <f>INDEX('Lookup 1961'!$F$2:$F$1300, MATCH(S117, 'Lookup 1961'!$B$2:$B$1300,0))</f>
        <v>e010002</v>
      </c>
      <c r="X117" s="11" t="str">
        <f>INDEX('Lookup 1961'!$C$2:$C$1300, MATCH(V117, 'Lookup 1961'!$A$2:$A$1300,0))</f>
        <v>Bedfordshire</v>
      </c>
    </row>
    <row r="118" spans="1:24" ht="25.05" customHeight="1" x14ac:dyDescent="0.3">
      <c r="A118" s="2" t="s">
        <v>147</v>
      </c>
      <c r="B118" s="2" t="s">
        <v>147</v>
      </c>
      <c r="C118" s="1">
        <v>26</v>
      </c>
      <c r="D118" s="1">
        <v>8</v>
      </c>
      <c r="E118" s="1">
        <v>17</v>
      </c>
      <c r="F118" s="1">
        <v>4</v>
      </c>
      <c r="K118" s="6">
        <v>1045</v>
      </c>
      <c r="L118" s="6">
        <v>269517</v>
      </c>
      <c r="M118" s="1">
        <v>160</v>
      </c>
      <c r="N118" s="1">
        <v>11</v>
      </c>
      <c r="O118" s="1">
        <v>11</v>
      </c>
      <c r="P118" s="1">
        <v>53.9</v>
      </c>
      <c r="Q118" s="11">
        <f>'Table H'!$J$9</f>
        <v>0.91395917825256578</v>
      </c>
      <c r="R118" s="11">
        <f t="shared" si="2"/>
        <v>246327.53584509678</v>
      </c>
      <c r="S118" s="11" t="str">
        <f t="shared" si="3"/>
        <v>Dunstable MB</v>
      </c>
      <c r="T118" s="11" t="s">
        <v>5211</v>
      </c>
      <c r="V118" s="11" t="str">
        <f>INDEX('Lookup 1961'!$A$2:$A$1300, MATCH(S118, 'Lookup 1961'!$B$2:$B$1300,0))</f>
        <v>J04000437</v>
      </c>
      <c r="W118" s="11" t="str">
        <f>INDEX('Lookup 1961'!$F$2:$F$1300, MATCH(S118, 'Lookup 1961'!$B$2:$B$1300,0))</f>
        <v>e010000</v>
      </c>
      <c r="X118" s="11" t="str">
        <f>INDEX('Lookup 1961'!$C$2:$C$1300, MATCH(V118, 'Lookup 1961'!$A$2:$A$1300,0))</f>
        <v>Bedfordshire</v>
      </c>
    </row>
    <row r="119" spans="1:24" ht="25.05" customHeight="1" x14ac:dyDescent="0.3">
      <c r="A119" s="2" t="s">
        <v>148</v>
      </c>
      <c r="B119" s="2" t="s">
        <v>148</v>
      </c>
      <c r="C119" s="1">
        <v>24</v>
      </c>
      <c r="D119" s="1">
        <v>0</v>
      </c>
      <c r="E119" s="1">
        <v>17</v>
      </c>
      <c r="F119" s="1">
        <v>8</v>
      </c>
      <c r="K119" s="6">
        <v>7000</v>
      </c>
      <c r="L119" s="6">
        <v>1760507</v>
      </c>
      <c r="M119" s="1">
        <v>103.7</v>
      </c>
      <c r="N119" s="1">
        <v>13</v>
      </c>
      <c r="O119" s="1">
        <v>2</v>
      </c>
      <c r="P119" s="1">
        <v>45.3</v>
      </c>
      <c r="Q119" s="11">
        <f>'Table H'!$J$9</f>
        <v>0.91395917825256578</v>
      </c>
      <c r="R119" s="11">
        <f t="shared" si="2"/>
        <v>1609031.5310278898</v>
      </c>
      <c r="S119" s="11" t="str">
        <f t="shared" si="3"/>
        <v>Luton MB</v>
      </c>
      <c r="T119" s="11" t="s">
        <v>5211</v>
      </c>
      <c r="V119" s="11" t="str">
        <f>INDEX('Lookup 1961'!$A$2:$A$1300, MATCH(S119, 'Lookup 1961'!$B$2:$B$1300,0))</f>
        <v>J04000790</v>
      </c>
      <c r="W119" s="11" t="str">
        <f>INDEX('Lookup 1961'!$F$2:$F$1300, MATCH(S119, 'Lookup 1961'!$B$2:$B$1300,0))</f>
        <v>e010000</v>
      </c>
      <c r="X119" s="11" t="str">
        <f>INDEX('Lookup 1961'!$C$2:$C$1300, MATCH(V119, 'Lookup 1961'!$A$2:$A$1300,0))</f>
        <v>Bedfordshire</v>
      </c>
    </row>
    <row r="120" spans="1:24" ht="25.05" customHeight="1" x14ac:dyDescent="0.3">
      <c r="A120" s="2" t="s">
        <v>150</v>
      </c>
      <c r="B120" s="2" t="s">
        <v>1221</v>
      </c>
      <c r="K120" s="6"/>
      <c r="L120" s="6"/>
      <c r="S120" s="11" t="str">
        <f t="shared" si="3"/>
        <v xml:space="preserve">Urban Districts  </v>
      </c>
      <c r="V120" s="11" t="e">
        <f>INDEX('Lookup 1961'!$A$2:$A$1300, MATCH(S120, 'Lookup 1961'!$B$2:$B$1300,0))</f>
        <v>#N/A</v>
      </c>
      <c r="W120" s="11" t="e">
        <f>INDEX('Lookup 1961'!$F$2:$F$1300, MATCH(S120, 'Lookup 1961'!$B$2:$B$1300,0))</f>
        <v>#N/A</v>
      </c>
      <c r="X120" s="11" t="e">
        <f>INDEX('Lookup 1961'!$C$2:$C$1300, MATCH(V120, 'Lookup 1961'!$A$2:$A$1300,0))</f>
        <v>#N/A</v>
      </c>
    </row>
    <row r="121" spans="1:24" ht="25.05" customHeight="1" x14ac:dyDescent="0.3">
      <c r="A121" s="2" t="s">
        <v>149</v>
      </c>
      <c r="B121" s="2" t="s">
        <v>149</v>
      </c>
      <c r="C121" s="1">
        <v>26</v>
      </c>
      <c r="D121" s="1">
        <v>0</v>
      </c>
      <c r="E121" s="1">
        <v>18</v>
      </c>
      <c r="F121" s="1">
        <v>0</v>
      </c>
      <c r="K121" s="1">
        <v>142</v>
      </c>
      <c r="L121" s="6">
        <v>36519</v>
      </c>
      <c r="M121" s="1">
        <v>102.6</v>
      </c>
      <c r="N121" s="1">
        <v>10</v>
      </c>
      <c r="O121" s="1">
        <v>4</v>
      </c>
      <c r="P121" s="1">
        <v>33.9</v>
      </c>
      <c r="Q121" s="11">
        <f>'Table H'!$J$10</f>
        <v>0.91175861599237162</v>
      </c>
      <c r="R121" s="11">
        <f t="shared" si="2"/>
        <v>33296.512897425418</v>
      </c>
      <c r="S121" s="11" t="str">
        <f t="shared" si="3"/>
        <v>Ampthill UD</v>
      </c>
      <c r="T121" s="11" t="s">
        <v>5214</v>
      </c>
      <c r="V121" s="11" t="str">
        <f>INDEX('Lookup 1961'!$A$2:$A$1300, MATCH(S121, 'Lookup 1961'!$B$2:$B$1300,0))</f>
        <v>J04000042</v>
      </c>
      <c r="W121" s="11" t="str">
        <f>INDEX('Lookup 1961'!$F$2:$F$1300, MATCH(S121, 'Lookup 1961'!$B$2:$B$1300,0))</f>
        <v>e010001</v>
      </c>
      <c r="X121" s="11" t="str">
        <f>INDEX('Lookup 1961'!$C$2:$C$1300, MATCH(V121, 'Lookup 1961'!$A$2:$A$1300,0))</f>
        <v>Bedfordshire</v>
      </c>
    </row>
    <row r="122" spans="1:24" ht="25.05" customHeight="1" x14ac:dyDescent="0.3">
      <c r="A122" s="2" t="s">
        <v>151</v>
      </c>
      <c r="B122" s="2" t="s">
        <v>151</v>
      </c>
      <c r="C122" s="1">
        <v>27</v>
      </c>
      <c r="D122" s="1">
        <v>0</v>
      </c>
      <c r="E122" s="1">
        <v>18</v>
      </c>
      <c r="F122" s="1">
        <v>2</v>
      </c>
      <c r="K122" s="1">
        <v>353</v>
      </c>
      <c r="L122" s="6">
        <v>89503</v>
      </c>
      <c r="M122" s="1">
        <v>101.9</v>
      </c>
      <c r="N122" s="1">
        <v>10</v>
      </c>
      <c r="O122" s="1">
        <v>5</v>
      </c>
      <c r="P122" s="1">
        <v>29.6</v>
      </c>
      <c r="Q122" s="11">
        <f>'Table H'!$J$10</f>
        <v>0.91175861599237162</v>
      </c>
      <c r="R122" s="11">
        <f t="shared" si="2"/>
        <v>81605.13140716523</v>
      </c>
      <c r="S122" s="11" t="str">
        <f t="shared" si="3"/>
        <v>Biggleswade UD</v>
      </c>
      <c r="T122" s="11" t="s">
        <v>5214</v>
      </c>
      <c r="V122" s="11" t="str">
        <f>INDEX('Lookup 1961'!$A$2:$A$1300, MATCH(S122, 'Lookup 1961'!$B$2:$B$1300,0))</f>
        <v>J04000142</v>
      </c>
      <c r="W122" s="11" t="str">
        <f>INDEX('Lookup 1961'!$F$2:$F$1300, MATCH(S122, 'Lookup 1961'!$B$2:$B$1300,0))</f>
        <v>e010003</v>
      </c>
      <c r="X122" s="11" t="str">
        <f>INDEX('Lookup 1961'!$C$2:$C$1300, MATCH(V122, 'Lookup 1961'!$A$2:$A$1300,0))</f>
        <v>Bedfordshire</v>
      </c>
    </row>
    <row r="123" spans="1:24" ht="25.05" customHeight="1" x14ac:dyDescent="0.3">
      <c r="A123" s="2" t="s">
        <v>152</v>
      </c>
      <c r="B123" s="2" t="s">
        <v>152</v>
      </c>
      <c r="C123" s="1">
        <v>27</v>
      </c>
      <c r="D123" s="1">
        <v>0</v>
      </c>
      <c r="E123" s="1">
        <v>18</v>
      </c>
      <c r="F123" s="1">
        <v>0</v>
      </c>
      <c r="K123" s="1">
        <v>340</v>
      </c>
      <c r="L123" s="6">
        <v>88980</v>
      </c>
      <c r="M123" s="1">
        <v>119.6</v>
      </c>
      <c r="N123" s="1">
        <v>8</v>
      </c>
      <c r="O123" s="1">
        <v>6</v>
      </c>
      <c r="P123" s="1">
        <v>38.200000000000003</v>
      </c>
      <c r="Q123" s="11">
        <f>'Table H'!$J$10</f>
        <v>0.91175861599237162</v>
      </c>
      <c r="R123" s="11">
        <f t="shared" si="2"/>
        <v>81128.28165100122</v>
      </c>
      <c r="S123" s="11" t="str">
        <f t="shared" si="3"/>
        <v>Kempston UD</v>
      </c>
      <c r="T123" s="11" t="s">
        <v>5214</v>
      </c>
      <c r="V123" s="11" t="str">
        <f>INDEX('Lookup 1961'!$A$2:$A$1300, MATCH(S123, 'Lookup 1961'!$B$2:$B$1300,0))</f>
        <v>J04000681</v>
      </c>
      <c r="W123" s="11" t="str">
        <f>INDEX('Lookup 1961'!$F$2:$F$1300, MATCH(S123, 'Lookup 1961'!$B$2:$B$1300,0))</f>
        <v>e010005</v>
      </c>
      <c r="X123" s="11" t="str">
        <f>INDEX('Lookup 1961'!$C$2:$C$1300, MATCH(V123, 'Lookup 1961'!$A$2:$A$1300,0))</f>
        <v>Bedfordshire</v>
      </c>
    </row>
    <row r="124" spans="1:24" ht="25.05" customHeight="1" x14ac:dyDescent="0.3">
      <c r="A124" s="2" t="s">
        <v>153</v>
      </c>
      <c r="B124" s="2" t="s">
        <v>153</v>
      </c>
      <c r="C124" s="1">
        <v>27</v>
      </c>
      <c r="D124" s="1">
        <v>0</v>
      </c>
      <c r="E124" s="1">
        <v>18</v>
      </c>
      <c r="F124" s="1">
        <v>2</v>
      </c>
      <c r="K124" s="1">
        <v>446</v>
      </c>
      <c r="L124" s="6">
        <v>114992</v>
      </c>
      <c r="M124" s="1">
        <v>109.8</v>
      </c>
      <c r="N124" s="1">
        <v>10</v>
      </c>
      <c r="O124" s="1">
        <v>11</v>
      </c>
      <c r="P124" s="1">
        <v>38.1</v>
      </c>
      <c r="Q124" s="11">
        <f>'Table H'!$J$10</f>
        <v>0.91175861599237162</v>
      </c>
      <c r="R124" s="11">
        <f t="shared" si="2"/>
        <v>104844.9467701948</v>
      </c>
      <c r="S124" s="11" t="str">
        <f t="shared" si="3"/>
        <v>Leighton Buzzard UD</v>
      </c>
      <c r="T124" s="11" t="s">
        <v>5214</v>
      </c>
      <c r="V124" s="11" t="str">
        <f>INDEX('Lookup 1961'!$A$2:$A$1300, MATCH(S124, 'Lookup 1961'!$B$2:$B$1300,0))</f>
        <v>J04000733</v>
      </c>
      <c r="W124" s="11" t="str">
        <f>INDEX('Lookup 1961'!$F$2:$F$1300, MATCH(S124, 'Lookup 1961'!$B$2:$B$1300,0))</f>
        <v>e010006</v>
      </c>
      <c r="X124" s="11" t="str">
        <f>INDEX('Lookup 1961'!$C$2:$C$1300, MATCH(V124, 'Lookup 1961'!$A$2:$A$1300,0))</f>
        <v>Bedfordshire</v>
      </c>
    </row>
    <row r="125" spans="1:24" ht="25.05" customHeight="1" x14ac:dyDescent="0.3">
      <c r="A125" s="2" t="s">
        <v>154</v>
      </c>
      <c r="B125" s="2" t="s">
        <v>154</v>
      </c>
      <c r="C125" s="1">
        <v>22</v>
      </c>
      <c r="D125" s="1">
        <v>0</v>
      </c>
      <c r="E125" s="1">
        <v>17</v>
      </c>
      <c r="F125" s="1">
        <v>0</v>
      </c>
      <c r="K125" s="1">
        <v>142</v>
      </c>
      <c r="L125" s="6">
        <v>37056</v>
      </c>
      <c r="M125" s="1">
        <v>67.3</v>
      </c>
      <c r="N125" s="1">
        <v>7</v>
      </c>
      <c r="O125" s="1">
        <v>18</v>
      </c>
      <c r="P125" s="1">
        <v>30.2</v>
      </c>
      <c r="Q125" s="11">
        <f>'Table H'!$J$10</f>
        <v>0.91175861599237162</v>
      </c>
      <c r="R125" s="11">
        <f t="shared" si="2"/>
        <v>33786.127274213322</v>
      </c>
      <c r="S125" s="11" t="str">
        <f t="shared" si="3"/>
        <v>Sandy UD</v>
      </c>
      <c r="T125" s="11" t="s">
        <v>5214</v>
      </c>
      <c r="V125" s="11" t="str">
        <f>INDEX('Lookup 1961'!$A$2:$A$1300, MATCH(S125, 'Lookup 1961'!$B$2:$B$1300,0))</f>
        <v>J04001103</v>
      </c>
      <c r="W125" s="11" t="str">
        <f>INDEX('Lookup 1961'!$F$2:$F$1300, MATCH(S125, 'Lookup 1961'!$B$2:$B$1300,0))</f>
        <v>e010007</v>
      </c>
      <c r="X125" s="11" t="str">
        <f>INDEX('Lookup 1961'!$C$2:$C$1300, MATCH(V125, 'Lookup 1961'!$A$2:$A$1300,0))</f>
        <v>Bedfordshire</v>
      </c>
    </row>
    <row r="126" spans="1:24" ht="25.05" customHeight="1" x14ac:dyDescent="0.3">
      <c r="A126" s="2" t="s">
        <v>155</v>
      </c>
      <c r="B126" s="2" t="s">
        <v>155</v>
      </c>
      <c r="S126" s="11" t="str">
        <f t="shared" si="3"/>
        <v xml:space="preserve">BERKS: </v>
      </c>
      <c r="V126" s="11" t="e">
        <f>INDEX('Lookup 1961'!$A$2:$A$1300, MATCH(S126, 'Lookup 1961'!$B$2:$B$1300,0))</f>
        <v>#N/A</v>
      </c>
      <c r="W126" s="11" t="e">
        <f>INDEX('Lookup 1961'!$F$2:$F$1300, MATCH(S126, 'Lookup 1961'!$B$2:$B$1300,0))</f>
        <v>#N/A</v>
      </c>
      <c r="X126" s="11" t="e">
        <f>INDEX('Lookup 1961'!$C$2:$C$1300, MATCH(V126, 'Lookup 1961'!$A$2:$A$1300,0))</f>
        <v>#N/A</v>
      </c>
    </row>
    <row r="127" spans="1:24" ht="25.05" customHeight="1" x14ac:dyDescent="0.3">
      <c r="A127" s="2" t="s">
        <v>146</v>
      </c>
      <c r="B127" s="2" t="s">
        <v>5257</v>
      </c>
      <c r="S127" s="11" t="str">
        <f t="shared" si="3"/>
        <v xml:space="preserve">Non County Boroughs  </v>
      </c>
      <c r="V127" s="11" t="e">
        <f>INDEX('Lookup 1961'!$A$2:$A$1300, MATCH(S127, 'Lookup 1961'!$B$2:$B$1300,0))</f>
        <v>#N/A</v>
      </c>
      <c r="W127" s="11" t="e">
        <f>INDEX('Lookup 1961'!$F$2:$F$1300, MATCH(S127, 'Lookup 1961'!$B$2:$B$1300,0))</f>
        <v>#N/A</v>
      </c>
      <c r="X127" s="11" t="e">
        <f>INDEX('Lookup 1961'!$C$2:$C$1300, MATCH(V127, 'Lookup 1961'!$A$2:$A$1300,0))</f>
        <v>#N/A</v>
      </c>
    </row>
    <row r="128" spans="1:24" ht="25.05" customHeight="1" x14ac:dyDescent="0.3">
      <c r="A128" s="2" t="s">
        <v>156</v>
      </c>
      <c r="B128" s="2" t="s">
        <v>156</v>
      </c>
      <c r="C128" s="1">
        <v>25</v>
      </c>
      <c r="D128" s="1">
        <v>11</v>
      </c>
      <c r="E128" s="1">
        <v>16</v>
      </c>
      <c r="F128" s="1">
        <v>9</v>
      </c>
      <c r="K128" s="1">
        <v>700</v>
      </c>
      <c r="L128" s="6">
        <v>167806</v>
      </c>
      <c r="M128" s="1">
        <v>87.5</v>
      </c>
      <c r="N128" s="1">
        <v>11</v>
      </c>
      <c r="O128" s="1">
        <v>11</v>
      </c>
      <c r="P128" s="1">
        <v>19.899999999999999</v>
      </c>
      <c r="Q128" s="11">
        <f>'Table H'!$J$14</f>
        <v>0.94775772299412464</v>
      </c>
      <c r="R128" s="11">
        <f t="shared" si="2"/>
        <v>159039.43246475208</v>
      </c>
      <c r="S128" s="11" t="str">
        <f t="shared" si="3"/>
        <v>Abingdon MB</v>
      </c>
      <c r="T128" s="11" t="s">
        <v>5211</v>
      </c>
      <c r="V128" s="11" t="str">
        <f>INDEX('Lookup 1961'!$A$2:$A$1300, MATCH(S128, 'Lookup 1961'!$B$2:$B$1300,0))</f>
        <v>J04000011</v>
      </c>
      <c r="W128" s="11" t="str">
        <f>INDEX('Lookup 1961'!$F$2:$F$1300, MATCH(S128, 'Lookup 1961'!$B$2:$B$1300,0))</f>
        <v>e020013</v>
      </c>
      <c r="X128" s="11" t="str">
        <f>INDEX('Lookup 1961'!$C$2:$C$1300, MATCH(V128, 'Lookup 1961'!$A$2:$A$1300,0))</f>
        <v>Oxfordshire</v>
      </c>
    </row>
    <row r="129" spans="1:24" ht="25.05" customHeight="1" x14ac:dyDescent="0.3">
      <c r="A129" s="2" t="s">
        <v>157</v>
      </c>
      <c r="B129" s="2" t="s">
        <v>157</v>
      </c>
      <c r="C129" s="1">
        <v>23</v>
      </c>
      <c r="D129" s="1">
        <v>8</v>
      </c>
      <c r="E129" s="1">
        <v>16</v>
      </c>
      <c r="F129" s="1">
        <v>4</v>
      </c>
      <c r="K129" s="6">
        <v>1875</v>
      </c>
      <c r="L129" s="6">
        <v>458553</v>
      </c>
      <c r="M129" s="1">
        <v>84</v>
      </c>
      <c r="N129" s="1">
        <v>12</v>
      </c>
      <c r="O129" s="1">
        <v>9</v>
      </c>
      <c r="P129" s="1">
        <v>15.7</v>
      </c>
      <c r="Q129" s="11">
        <f>'Table H'!$J$14</f>
        <v>0.94775772299412464</v>
      </c>
      <c r="R129" s="11">
        <f t="shared" si="2"/>
        <v>434597.14715212485</v>
      </c>
      <c r="S129" s="11" t="str">
        <f t="shared" si="3"/>
        <v>Maidenhead MB</v>
      </c>
      <c r="T129" s="11" t="s">
        <v>5211</v>
      </c>
      <c r="V129" s="11" t="str">
        <f>INDEX('Lookup 1961'!$A$2:$A$1300, MATCH(S129, 'Lookup 1961'!$B$2:$B$1300,0))</f>
        <v>J04000808</v>
      </c>
      <c r="W129" s="11" t="str">
        <f>INDEX('Lookup 1961'!$F$2:$F$1300, MATCH(S129, 'Lookup 1961'!$B$2:$B$1300,0))</f>
        <v>e020014</v>
      </c>
      <c r="X129" s="11" t="str">
        <f>INDEX('Lookup 1961'!$C$2:$C$1300, MATCH(V129, 'Lookup 1961'!$A$2:$A$1300,0))</f>
        <v>Berkshire</v>
      </c>
    </row>
    <row r="130" spans="1:24" ht="25.05" customHeight="1" x14ac:dyDescent="0.3">
      <c r="A130" s="2" t="s">
        <v>158</v>
      </c>
      <c r="B130" s="2" t="s">
        <v>966</v>
      </c>
      <c r="C130" s="1">
        <v>23</v>
      </c>
      <c r="D130" s="1">
        <v>2</v>
      </c>
      <c r="E130" s="1">
        <v>14</v>
      </c>
      <c r="F130" s="1">
        <v>4</v>
      </c>
      <c r="K130" s="6">
        <v>1343</v>
      </c>
      <c r="L130" s="6">
        <v>329160</v>
      </c>
      <c r="M130" s="1">
        <v>133.30000000000001</v>
      </c>
      <c r="N130" s="1">
        <v>12</v>
      </c>
      <c r="O130" s="1">
        <v>9</v>
      </c>
      <c r="P130" s="1">
        <v>42.1</v>
      </c>
      <c r="Q130" s="11">
        <f>'Table H'!$J$14</f>
        <v>0.94775772299412464</v>
      </c>
      <c r="R130" s="11">
        <f t="shared" si="2"/>
        <v>311963.93210074608</v>
      </c>
      <c r="S130" s="11" t="str">
        <f t="shared" si="3"/>
        <v>Newbury MB</v>
      </c>
      <c r="T130" s="11" t="s">
        <v>5211</v>
      </c>
      <c r="V130" s="11" t="str">
        <f>INDEX('Lookup 1961'!$A$2:$A$1300, MATCH(S130, 'Lookup 1961'!$B$2:$B$1300,0))</f>
        <v>J04000896</v>
      </c>
      <c r="W130" s="11" t="str">
        <f>INDEX('Lookup 1961'!$F$2:$F$1300, MATCH(S130, 'Lookup 1961'!$B$2:$B$1300,0))</f>
        <v>e020015</v>
      </c>
      <c r="X130" s="11" t="str">
        <f>INDEX('Lookup 1961'!$C$2:$C$1300, MATCH(V130, 'Lookup 1961'!$A$2:$A$1300,0))</f>
        <v>Berkshire</v>
      </c>
    </row>
    <row r="131" spans="1:24" ht="25.05" customHeight="1" x14ac:dyDescent="0.3">
      <c r="A131" s="2" t="s">
        <v>159</v>
      </c>
      <c r="B131" s="2" t="s">
        <v>159</v>
      </c>
      <c r="C131" s="1">
        <v>22</v>
      </c>
      <c r="D131" s="1">
        <v>6</v>
      </c>
      <c r="E131" s="1">
        <v>16</v>
      </c>
      <c r="F131" s="1">
        <v>2</v>
      </c>
      <c r="K131" s="6">
        <v>1393</v>
      </c>
      <c r="L131" s="6">
        <v>343179</v>
      </c>
      <c r="M131" s="1">
        <v>64.8</v>
      </c>
      <c r="N131" s="1">
        <v>10</v>
      </c>
      <c r="O131" s="1">
        <v>13</v>
      </c>
      <c r="P131" s="1">
        <v>16.7</v>
      </c>
      <c r="Q131" s="11">
        <f>'Table H'!$J$14</f>
        <v>0.94775772299412464</v>
      </c>
      <c r="R131" s="11">
        <f t="shared" si="2"/>
        <v>325250.54761940072</v>
      </c>
      <c r="S131" s="11" t="str">
        <f t="shared" si="3"/>
        <v>New Windsor MB</v>
      </c>
      <c r="T131" s="11" t="s">
        <v>5211</v>
      </c>
      <c r="V131" s="11" t="str">
        <f>INDEX('Lookup 1961'!$A$2:$A$1300, MATCH(S131, 'Lookup 1961'!$B$2:$B$1300,0))</f>
        <v>J04000891</v>
      </c>
      <c r="W131" s="11" t="str">
        <f>INDEX('Lookup 1961'!$F$2:$F$1300, MATCH(S131, 'Lookup 1961'!$B$2:$B$1300,0))</f>
        <v>e020016</v>
      </c>
      <c r="X131" s="11" t="str">
        <f>INDEX('Lookup 1961'!$C$2:$C$1300, MATCH(V131, 'Lookup 1961'!$A$2:$A$1300,0))</f>
        <v>Berkshire</v>
      </c>
    </row>
    <row r="132" spans="1:24" ht="25.05" customHeight="1" x14ac:dyDescent="0.3">
      <c r="A132" s="2" t="s">
        <v>160</v>
      </c>
      <c r="B132" s="2" t="s">
        <v>160</v>
      </c>
      <c r="C132" s="1">
        <v>26</v>
      </c>
      <c r="D132" s="1">
        <v>4</v>
      </c>
      <c r="E132" s="1">
        <v>17</v>
      </c>
      <c r="F132" s="1">
        <v>1</v>
      </c>
      <c r="K132" s="1">
        <v>203</v>
      </c>
      <c r="L132" s="6">
        <v>50693</v>
      </c>
      <c r="M132" s="1">
        <v>76.099999999999994</v>
      </c>
      <c r="N132" s="1">
        <v>11</v>
      </c>
      <c r="O132" s="1">
        <v>11</v>
      </c>
      <c r="P132" s="1">
        <v>19.2</v>
      </c>
      <c r="Q132" s="11">
        <f>'Table H'!$J$14</f>
        <v>0.94775772299412464</v>
      </c>
      <c r="R132" s="11">
        <f t="shared" ref="R132:R195" si="4">Q132*L132</f>
        <v>48044.682251741164</v>
      </c>
      <c r="S132" s="11" t="str">
        <f t="shared" si="3"/>
        <v>Wallingford MB</v>
      </c>
      <c r="T132" s="11" t="s">
        <v>5211</v>
      </c>
      <c r="V132" s="11" t="str">
        <f>INDEX('Lookup 1961'!$A$2:$A$1300, MATCH(S132, 'Lookup 1961'!$B$2:$B$1300,0))</f>
        <v>J04001325</v>
      </c>
      <c r="W132" s="11" t="str">
        <f>INDEX('Lookup 1961'!$F$2:$F$1300, MATCH(S132, 'Lookup 1961'!$B$2:$B$1300,0))</f>
        <v>e020017</v>
      </c>
      <c r="X132" s="11" t="str">
        <f>INDEX('Lookup 1961'!$C$2:$C$1300, MATCH(V132, 'Lookup 1961'!$A$2:$A$1300,0))</f>
        <v>Oxfordshire</v>
      </c>
    </row>
    <row r="133" spans="1:24" ht="25.05" customHeight="1" x14ac:dyDescent="0.3">
      <c r="A133" s="2" t="s">
        <v>161</v>
      </c>
      <c r="B133" s="2" t="s">
        <v>161</v>
      </c>
      <c r="C133" s="1">
        <v>25</v>
      </c>
      <c r="D133" s="1">
        <v>2</v>
      </c>
      <c r="E133" s="1">
        <v>16</v>
      </c>
      <c r="F133" s="1">
        <v>6</v>
      </c>
      <c r="K133" s="1">
        <v>540</v>
      </c>
      <c r="L133" s="6">
        <v>134101</v>
      </c>
      <c r="M133" s="1">
        <v>95.6</v>
      </c>
      <c r="N133" s="1">
        <v>11</v>
      </c>
      <c r="O133" s="1">
        <v>6</v>
      </c>
      <c r="P133" s="1">
        <v>26.4</v>
      </c>
      <c r="Q133" s="11">
        <f>'Table H'!$J$14</f>
        <v>0.94775772299412464</v>
      </c>
      <c r="R133" s="11">
        <f t="shared" si="4"/>
        <v>127095.2584112351</v>
      </c>
      <c r="S133" s="11" t="str">
        <f t="shared" ref="S133:S196" si="5">_xlfn.CONCAT(B133," ",T133)</f>
        <v>Wokingham MB</v>
      </c>
      <c r="T133" s="11" t="s">
        <v>5211</v>
      </c>
      <c r="V133" s="11" t="str">
        <f>INDEX('Lookup 1961'!$A$2:$A$1300, MATCH(S133, 'Lookup 1961'!$B$2:$B$1300,0))</f>
        <v>J04001440</v>
      </c>
      <c r="W133" s="11" t="str">
        <f>INDEX('Lookup 1961'!$F$2:$F$1300, MATCH(S133, 'Lookup 1961'!$B$2:$B$1300,0))</f>
        <v>e020019</v>
      </c>
      <c r="X133" s="11" t="str">
        <f>INDEX('Lookup 1961'!$C$2:$C$1300, MATCH(V133, 'Lookup 1961'!$A$2:$A$1300,0))</f>
        <v>Berkshire</v>
      </c>
    </row>
    <row r="134" spans="1:24" ht="25.05" customHeight="1" x14ac:dyDescent="0.3">
      <c r="A134" s="2" t="s">
        <v>150</v>
      </c>
      <c r="B134" s="2" t="s">
        <v>1221</v>
      </c>
      <c r="S134" s="11" t="str">
        <f t="shared" si="5"/>
        <v xml:space="preserve">Urban Districts  </v>
      </c>
      <c r="V134" s="11" t="e">
        <f>INDEX('Lookup 1961'!$A$2:$A$1300, MATCH(S134, 'Lookup 1961'!$B$2:$B$1300,0))</f>
        <v>#N/A</v>
      </c>
      <c r="W134" s="11" t="e">
        <f>INDEX('Lookup 1961'!$F$2:$F$1300, MATCH(S134, 'Lookup 1961'!$B$2:$B$1300,0))</f>
        <v>#N/A</v>
      </c>
      <c r="X134" s="11" t="e">
        <f>INDEX('Lookup 1961'!$C$2:$C$1300, MATCH(V134, 'Lookup 1961'!$A$2:$A$1300,0))</f>
        <v>#N/A</v>
      </c>
    </row>
    <row r="135" spans="1:24" ht="25.05" customHeight="1" x14ac:dyDescent="0.3">
      <c r="A135" s="2" t="s">
        <v>162</v>
      </c>
      <c r="B135" s="2" t="s">
        <v>162</v>
      </c>
      <c r="C135" s="1">
        <v>23</v>
      </c>
      <c r="D135" s="1">
        <v>0</v>
      </c>
      <c r="E135" s="1">
        <v>15</v>
      </c>
      <c r="F135" s="1">
        <v>4</v>
      </c>
      <c r="K135" s="1">
        <v>220</v>
      </c>
      <c r="L135" s="6">
        <v>54652</v>
      </c>
      <c r="M135" s="1">
        <v>63.8</v>
      </c>
      <c r="N135" s="1">
        <v>7</v>
      </c>
      <c r="O135" s="1">
        <v>12</v>
      </c>
      <c r="P135" s="1">
        <v>13.9</v>
      </c>
      <c r="Q135" s="11">
        <f>'Table H'!J15</f>
        <v>0.9809522066895997</v>
      </c>
      <c r="R135" s="11">
        <f t="shared" si="4"/>
        <v>53611</v>
      </c>
      <c r="S135" s="11" t="str">
        <f t="shared" si="5"/>
        <v>Wantage UD</v>
      </c>
      <c r="T135" s="11" t="s">
        <v>5214</v>
      </c>
      <c r="V135" s="11" t="str">
        <f>INDEX('Lookup 1961'!$A$2:$A$1300, MATCH(S135, 'Lookup 1961'!$B$2:$B$1300,0))</f>
        <v>J04001337</v>
      </c>
      <c r="W135" s="11" t="str">
        <f>INDEX('Lookup 1961'!$F$2:$F$1300, MATCH(S135, 'Lookup 1961'!$B$2:$B$1300,0))</f>
        <v>e020018</v>
      </c>
      <c r="X135" s="11" t="str">
        <f>INDEX('Lookup 1961'!$C$2:$C$1300, MATCH(V135, 'Lookup 1961'!$A$2:$A$1300,0))</f>
        <v>Oxfordshire</v>
      </c>
    </row>
    <row r="136" spans="1:24" ht="25.05" customHeight="1" x14ac:dyDescent="0.3">
      <c r="A136" s="2" t="s">
        <v>163</v>
      </c>
      <c r="B136" s="2" t="s">
        <v>163</v>
      </c>
      <c r="S136" s="11" t="str">
        <f t="shared" si="5"/>
        <v xml:space="preserve">BUCKINGHAM: </v>
      </c>
      <c r="V136" s="11" t="e">
        <f>INDEX('Lookup 1961'!$A$2:$A$1300, MATCH(S136, 'Lookup 1961'!$B$2:$B$1300,0))</f>
        <v>#N/A</v>
      </c>
      <c r="W136" s="11" t="e">
        <f>INDEX('Lookup 1961'!$F$2:$F$1300, MATCH(S136, 'Lookup 1961'!$B$2:$B$1300,0))</f>
        <v>#N/A</v>
      </c>
      <c r="X136" s="11" t="e">
        <f>INDEX('Lookup 1961'!$C$2:$C$1300, MATCH(V136, 'Lookup 1961'!$A$2:$A$1300,0))</f>
        <v>#N/A</v>
      </c>
    </row>
    <row r="137" spans="1:24" ht="25.05" customHeight="1" x14ac:dyDescent="0.3">
      <c r="A137" s="2" t="s">
        <v>146</v>
      </c>
      <c r="B137" s="2" t="s">
        <v>5257</v>
      </c>
      <c r="S137" s="11" t="str">
        <f t="shared" si="5"/>
        <v xml:space="preserve">Non County Boroughs  </v>
      </c>
      <c r="V137" s="11" t="e">
        <f>INDEX('Lookup 1961'!$A$2:$A$1300, MATCH(S137, 'Lookup 1961'!$B$2:$B$1300,0))</f>
        <v>#N/A</v>
      </c>
      <c r="W137" s="11" t="e">
        <f>INDEX('Lookup 1961'!$F$2:$F$1300, MATCH(S137, 'Lookup 1961'!$B$2:$B$1300,0))</f>
        <v>#N/A</v>
      </c>
      <c r="X137" s="11" t="e">
        <f>INDEX('Lookup 1961'!$C$2:$C$1300, MATCH(V137, 'Lookup 1961'!$A$2:$A$1300,0))</f>
        <v>#N/A</v>
      </c>
    </row>
    <row r="138" spans="1:24" ht="25.05" customHeight="1" x14ac:dyDescent="0.3">
      <c r="A138" s="2" t="s">
        <v>164</v>
      </c>
      <c r="B138" s="2" t="s">
        <v>970</v>
      </c>
      <c r="C138" s="1">
        <v>26</v>
      </c>
      <c r="D138" s="1">
        <v>7</v>
      </c>
      <c r="E138" s="1">
        <v>18</v>
      </c>
      <c r="F138" s="1">
        <v>3</v>
      </c>
      <c r="K138" s="6">
        <v>1493</v>
      </c>
      <c r="L138" s="6">
        <v>373145</v>
      </c>
      <c r="M138" s="1">
        <v>81</v>
      </c>
      <c r="N138" s="1">
        <v>16</v>
      </c>
      <c r="O138" s="1">
        <v>0</v>
      </c>
      <c r="P138" s="1">
        <v>25.2</v>
      </c>
      <c r="Q138" s="11">
        <f>'Table H'!$J$19</f>
        <v>0.86064794271141887</v>
      </c>
      <c r="R138" s="11">
        <f t="shared" si="4"/>
        <v>321146.47658305237</v>
      </c>
      <c r="S138" s="11" t="str">
        <f t="shared" si="5"/>
        <v>Aylesbury MB</v>
      </c>
      <c r="T138" s="11" t="s">
        <v>5211</v>
      </c>
      <c r="V138" s="11" t="str">
        <f>INDEX('Lookup 1961'!$A$2:$A$1300, MATCH(S138, 'Lookup 1961'!$B$2:$B$1300,0))</f>
        <v>J04000065</v>
      </c>
      <c r="W138" s="11" t="str">
        <f>INDEX('Lookup 1961'!$F$2:$F$1300, MATCH(S138, 'Lookup 1961'!$B$2:$B$1300,0))</f>
        <v>e030033</v>
      </c>
      <c r="X138" s="11" t="str">
        <f>INDEX('Lookup 1961'!$C$2:$C$1300, MATCH(V138, 'Lookup 1961'!$A$2:$A$1300,0))</f>
        <v>Buckinghamshire</v>
      </c>
    </row>
    <row r="139" spans="1:24" ht="25.05" customHeight="1" x14ac:dyDescent="0.3">
      <c r="A139" s="2" t="s">
        <v>165</v>
      </c>
      <c r="B139" s="2" t="s">
        <v>165</v>
      </c>
      <c r="C139" s="1">
        <v>27</v>
      </c>
      <c r="D139" s="1">
        <v>0</v>
      </c>
      <c r="E139" s="1">
        <v>18</v>
      </c>
      <c r="F139" s="1">
        <v>5</v>
      </c>
      <c r="K139" s="1">
        <v>210</v>
      </c>
      <c r="L139" s="6">
        <v>50953</v>
      </c>
      <c r="M139" s="1">
        <v>93.7</v>
      </c>
      <c r="N139" s="1">
        <v>10</v>
      </c>
      <c r="O139" s="1">
        <v>11</v>
      </c>
      <c r="P139" s="1">
        <v>24.3</v>
      </c>
      <c r="Q139" s="11">
        <f>'Table H'!$J$19</f>
        <v>0.86064794271141887</v>
      </c>
      <c r="R139" s="11">
        <f t="shared" si="4"/>
        <v>43852.594624974925</v>
      </c>
      <c r="S139" s="11" t="str">
        <f t="shared" si="5"/>
        <v>Buckingham MB</v>
      </c>
      <c r="T139" s="11" t="s">
        <v>5211</v>
      </c>
      <c r="V139" s="11" t="str">
        <f>INDEX('Lookup 1961'!$A$2:$A$1300, MATCH(S139, 'Lookup 1961'!$B$2:$B$1300,0))</f>
        <v>J04000226</v>
      </c>
      <c r="W139" s="11" t="str">
        <f>INDEX('Lookup 1961'!$F$2:$F$1300, MATCH(S139, 'Lookup 1961'!$B$2:$B$1300,0))</f>
        <v>e030036</v>
      </c>
      <c r="X139" s="11" t="str">
        <f>INDEX('Lookup 1961'!$C$2:$C$1300, MATCH(V139, 'Lookup 1961'!$A$2:$A$1300,0))</f>
        <v>Buckinghamshire</v>
      </c>
    </row>
    <row r="140" spans="1:24" ht="25.05" customHeight="1" x14ac:dyDescent="0.3">
      <c r="A140" s="2" t="s">
        <v>166</v>
      </c>
      <c r="B140" s="2" t="s">
        <v>166</v>
      </c>
      <c r="C140" s="1">
        <v>24</v>
      </c>
      <c r="D140" s="1">
        <v>4</v>
      </c>
      <c r="E140" s="1">
        <v>15</v>
      </c>
      <c r="F140" s="1">
        <v>8</v>
      </c>
      <c r="K140" s="6">
        <v>3150</v>
      </c>
      <c r="L140" s="6">
        <v>795693</v>
      </c>
      <c r="M140" s="1">
        <v>106.7</v>
      </c>
      <c r="N140" s="1">
        <v>14</v>
      </c>
      <c r="O140" s="1">
        <v>5</v>
      </c>
      <c r="P140" s="1">
        <v>31.4</v>
      </c>
      <c r="Q140" s="11">
        <f>'Table H'!$J$19</f>
        <v>0.86064794271141887</v>
      </c>
      <c r="R140" s="11">
        <f t="shared" si="4"/>
        <v>684811.54347987706</v>
      </c>
      <c r="S140" s="11" t="str">
        <f t="shared" si="5"/>
        <v>High Wycombe MB</v>
      </c>
      <c r="T140" s="11" t="s">
        <v>5211</v>
      </c>
      <c r="V140" s="11" t="str">
        <f>INDEX('Lookup 1961'!$A$2:$A$1300, MATCH(S140, 'Lookup 1961'!$B$2:$B$1300,0))</f>
        <v>J04000621</v>
      </c>
      <c r="W140" s="11" t="str">
        <f>INDEX('Lookup 1961'!$F$2:$F$1300, MATCH(S140, 'Lookup 1961'!$B$2:$B$1300,0))</f>
        <v>e030039</v>
      </c>
      <c r="X140" s="11" t="str">
        <f>INDEX('Lookup 1961'!$C$2:$C$1300, MATCH(V140, 'Lookup 1961'!$A$2:$A$1300,0))</f>
        <v>Buckinghamshire</v>
      </c>
    </row>
    <row r="141" spans="1:24" ht="25.05" customHeight="1" x14ac:dyDescent="0.3">
      <c r="A141" s="2" t="s">
        <v>167</v>
      </c>
      <c r="B141" s="2" t="s">
        <v>167</v>
      </c>
      <c r="C141" s="1">
        <v>29</v>
      </c>
      <c r="D141" s="1">
        <v>5</v>
      </c>
      <c r="E141" s="1">
        <v>19</v>
      </c>
      <c r="F141" s="1">
        <v>0</v>
      </c>
      <c r="K141" s="6">
        <v>5475</v>
      </c>
      <c r="L141" s="6">
        <v>1362783</v>
      </c>
      <c r="M141" s="1">
        <v>113.9</v>
      </c>
      <c r="N141" s="1">
        <v>19</v>
      </c>
      <c r="O141" s="1">
        <v>1</v>
      </c>
      <c r="P141" s="1">
        <v>37.4</v>
      </c>
      <c r="Q141" s="11">
        <f>'Table H'!$J$19</f>
        <v>0.86064794271141887</v>
      </c>
      <c r="R141" s="11">
        <f t="shared" si="4"/>
        <v>1172876.3853120955</v>
      </c>
      <c r="S141" s="11" t="str">
        <f t="shared" si="5"/>
        <v>Slough MB</v>
      </c>
      <c r="T141" s="11" t="s">
        <v>5211</v>
      </c>
      <c r="V141" s="11" t="str">
        <f>INDEX('Lookup 1961'!$A$2:$A$1300, MATCH(S141, 'Lookup 1961'!$B$2:$B$1300,0))</f>
        <v>J04001150</v>
      </c>
      <c r="W141" s="11" t="str">
        <f>INDEX('Lookup 1961'!$F$2:$F$1300, MATCH(S141, 'Lookup 1961'!$B$2:$B$1300,0))</f>
        <v>e030043</v>
      </c>
      <c r="X141" s="11" t="str">
        <f>INDEX('Lookup 1961'!$C$2:$C$1300, MATCH(V141, 'Lookup 1961'!$A$2:$A$1300,0))</f>
        <v>Berkshire</v>
      </c>
    </row>
    <row r="142" spans="1:24" ht="25.05" customHeight="1" x14ac:dyDescent="0.3">
      <c r="A142" s="2" t="s">
        <v>150</v>
      </c>
      <c r="B142" s="2" t="s">
        <v>1221</v>
      </c>
      <c r="K142" s="6"/>
      <c r="L142" s="6"/>
      <c r="S142" s="11" t="str">
        <f t="shared" si="5"/>
        <v xml:space="preserve">Urban Districts  </v>
      </c>
      <c r="V142" s="11" t="e">
        <f>INDEX('Lookup 1961'!$A$2:$A$1300, MATCH(S142, 'Lookup 1961'!$B$2:$B$1300,0))</f>
        <v>#N/A</v>
      </c>
      <c r="W142" s="11" t="e">
        <f>INDEX('Lookup 1961'!$F$2:$F$1300, MATCH(S142, 'Lookup 1961'!$B$2:$B$1300,0))</f>
        <v>#N/A</v>
      </c>
      <c r="X142" s="11" t="e">
        <f>INDEX('Lookup 1961'!$C$2:$C$1300, MATCH(V142, 'Lookup 1961'!$A$2:$A$1300,0))</f>
        <v>#N/A</v>
      </c>
    </row>
    <row r="143" spans="1:24" ht="25.05" customHeight="1" x14ac:dyDescent="0.3">
      <c r="A143" s="2" t="s">
        <v>168</v>
      </c>
      <c r="B143" s="2" t="s">
        <v>168</v>
      </c>
      <c r="C143" s="1">
        <v>24</v>
      </c>
      <c r="D143" s="1">
        <v>4</v>
      </c>
      <c r="E143" s="1">
        <v>16</v>
      </c>
      <c r="F143" s="1">
        <v>0</v>
      </c>
      <c r="K143" s="1">
        <v>640</v>
      </c>
      <c r="L143" s="6">
        <v>162480</v>
      </c>
      <c r="M143" s="1">
        <v>69.5</v>
      </c>
      <c r="N143" s="1">
        <v>14</v>
      </c>
      <c r="O143" s="1">
        <v>18</v>
      </c>
      <c r="P143" s="1">
        <v>8.8000000000000007</v>
      </c>
      <c r="Q143" s="11">
        <f>'Table H'!$J$20</f>
        <v>0.93541691259350879</v>
      </c>
      <c r="R143" s="11">
        <f t="shared" si="4"/>
        <v>151986.53995819332</v>
      </c>
      <c r="S143" s="11" t="str">
        <f t="shared" si="5"/>
        <v>Beaconsfield UD</v>
      </c>
      <c r="T143" s="11" t="s">
        <v>5214</v>
      </c>
      <c r="V143" s="11" t="str">
        <f>INDEX('Lookup 1961'!$A$2:$A$1300, MATCH(S143, 'Lookup 1961'!$B$2:$B$1300,0))</f>
        <v>J04000104</v>
      </c>
      <c r="W143" s="11" t="str">
        <f>INDEX('Lookup 1961'!$F$2:$F$1300, MATCH(S143, 'Lookup 1961'!$B$2:$B$1300,0))</f>
        <v>e030034</v>
      </c>
      <c r="X143" s="11" t="str">
        <f>INDEX('Lookup 1961'!$C$2:$C$1300, MATCH(V143, 'Lookup 1961'!$A$2:$A$1300,0))</f>
        <v>Buckinghamshire</v>
      </c>
    </row>
    <row r="144" spans="1:24" ht="25.05" customHeight="1" x14ac:dyDescent="0.3">
      <c r="A144" s="2" t="s">
        <v>169</v>
      </c>
      <c r="B144" s="2" t="s">
        <v>169</v>
      </c>
      <c r="C144" s="1">
        <v>27</v>
      </c>
      <c r="D144" s="1">
        <v>0</v>
      </c>
      <c r="E144" s="1">
        <v>17</v>
      </c>
      <c r="F144" s="1">
        <v>6</v>
      </c>
      <c r="K144" s="1">
        <v>800</v>
      </c>
      <c r="L144" s="6">
        <v>200672</v>
      </c>
      <c r="M144" s="1">
        <v>156.9</v>
      </c>
      <c r="N144" s="1">
        <v>13</v>
      </c>
      <c r="O144" s="1">
        <v>19</v>
      </c>
      <c r="P144" s="1">
        <v>65.099999999999994</v>
      </c>
      <c r="Q144" s="11">
        <f>'Table H'!$J$20</f>
        <v>0.93541691259350879</v>
      </c>
      <c r="R144" s="11">
        <f t="shared" si="4"/>
        <v>187711.9826839646</v>
      </c>
      <c r="S144" s="11" t="str">
        <f t="shared" si="5"/>
        <v>Bletchley UD</v>
      </c>
      <c r="T144" s="11" t="s">
        <v>5214</v>
      </c>
      <c r="V144" s="11" t="str">
        <f>INDEX('Lookup 1961'!$A$2:$A$1300, MATCH(S144, 'Lookup 1961'!$B$2:$B$1300,0))</f>
        <v>J04000164</v>
      </c>
      <c r="W144" s="11" t="str">
        <f>INDEX('Lookup 1961'!$F$2:$F$1300, MATCH(S144, 'Lookup 1961'!$B$2:$B$1300,0))</f>
        <v>e030035</v>
      </c>
      <c r="X144" s="11" t="str">
        <f>INDEX('Lookup 1961'!$C$2:$C$1300, MATCH(V144, 'Lookup 1961'!$A$2:$A$1300,0))</f>
        <v>Buckinghamshire</v>
      </c>
    </row>
    <row r="145" spans="1:24" ht="25.05" customHeight="1" x14ac:dyDescent="0.3">
      <c r="A145" s="2" t="s">
        <v>170</v>
      </c>
      <c r="B145" s="2" t="s">
        <v>170</v>
      </c>
      <c r="C145" s="1">
        <v>24</v>
      </c>
      <c r="D145" s="1">
        <v>6</v>
      </c>
      <c r="E145" s="1">
        <v>16</v>
      </c>
      <c r="F145" s="1">
        <v>2</v>
      </c>
      <c r="K145" s="1">
        <v>703</v>
      </c>
      <c r="L145" s="6">
        <v>176347</v>
      </c>
      <c r="M145" s="1">
        <v>104.3</v>
      </c>
      <c r="N145" s="1">
        <v>11</v>
      </c>
      <c r="O145" s="1">
        <v>7</v>
      </c>
      <c r="P145" s="1">
        <v>27.7</v>
      </c>
      <c r="Q145" s="11">
        <f>'Table H'!$J$20</f>
        <v>0.93541691259350879</v>
      </c>
      <c r="R145" s="11">
        <f t="shared" si="4"/>
        <v>164957.96628512751</v>
      </c>
      <c r="S145" s="11" t="str">
        <f t="shared" si="5"/>
        <v>Chesham UD</v>
      </c>
      <c r="T145" s="11" t="s">
        <v>5214</v>
      </c>
      <c r="V145" s="11" t="str">
        <f>INDEX('Lookup 1961'!$A$2:$A$1300, MATCH(S145, 'Lookup 1961'!$B$2:$B$1300,0))</f>
        <v>J04000296</v>
      </c>
      <c r="W145" s="11" t="str">
        <f>INDEX('Lookup 1961'!$F$2:$F$1300, MATCH(S145, 'Lookup 1961'!$B$2:$B$1300,0))</f>
        <v>e030037</v>
      </c>
      <c r="X145" s="11" t="str">
        <f>INDEX('Lookup 1961'!$C$2:$C$1300, MATCH(V145, 'Lookup 1961'!$A$2:$A$1300,0))</f>
        <v>Buckinghamshire</v>
      </c>
    </row>
    <row r="146" spans="1:24" ht="25.05" customHeight="1" x14ac:dyDescent="0.3">
      <c r="A146" s="2" t="s">
        <v>171</v>
      </c>
      <c r="B146" s="2" t="s">
        <v>171</v>
      </c>
      <c r="C146" s="1">
        <v>23</v>
      </c>
      <c r="D146" s="1">
        <v>8</v>
      </c>
      <c r="E146" s="1">
        <v>16</v>
      </c>
      <c r="F146" s="1">
        <v>4</v>
      </c>
      <c r="K146" s="1">
        <v>282</v>
      </c>
      <c r="L146" s="6">
        <v>73068</v>
      </c>
      <c r="M146" s="1">
        <v>54.8</v>
      </c>
      <c r="N146" s="1">
        <v>12</v>
      </c>
      <c r="O146" s="1">
        <v>3</v>
      </c>
      <c r="P146" s="1">
        <v>7</v>
      </c>
      <c r="Q146" s="11">
        <f>'Table H'!$J$20</f>
        <v>0.93541691259350879</v>
      </c>
      <c r="R146" s="11">
        <f t="shared" si="4"/>
        <v>68349.042969382499</v>
      </c>
      <c r="S146" s="11" t="str">
        <f t="shared" si="5"/>
        <v>Eton UD</v>
      </c>
      <c r="T146" s="11" t="s">
        <v>5214</v>
      </c>
      <c r="V146" s="11" t="str">
        <f>INDEX('Lookup 1961'!$A$2:$A$1300, MATCH(S146, 'Lookup 1961'!$B$2:$B$1300,0))</f>
        <v>J04000483</v>
      </c>
      <c r="W146" s="11" t="str">
        <f>INDEX('Lookup 1961'!$F$2:$F$1300, MATCH(S146, 'Lookup 1961'!$B$2:$B$1300,0))</f>
        <v>e030038</v>
      </c>
      <c r="X146" s="11" t="str">
        <f>INDEX('Lookup 1961'!$C$2:$C$1300, MATCH(V146, 'Lookup 1961'!$A$2:$A$1300,0))</f>
        <v>Berkshire</v>
      </c>
    </row>
    <row r="147" spans="1:24" ht="25.05" customHeight="1" x14ac:dyDescent="0.3">
      <c r="A147" s="2" t="s">
        <v>172</v>
      </c>
      <c r="B147" s="2" t="s">
        <v>172</v>
      </c>
      <c r="C147" s="1">
        <v>27</v>
      </c>
      <c r="D147" s="1">
        <v>0</v>
      </c>
      <c r="E147" s="1">
        <v>17</v>
      </c>
      <c r="F147" s="1">
        <v>10</v>
      </c>
      <c r="K147" s="1">
        <v>170</v>
      </c>
      <c r="L147" s="6">
        <v>44363</v>
      </c>
      <c r="M147" s="1">
        <v>104.1</v>
      </c>
      <c r="N147" s="1">
        <v>10</v>
      </c>
      <c r="O147" s="1">
        <v>12</v>
      </c>
      <c r="P147" s="1">
        <v>30.9</v>
      </c>
      <c r="Q147" s="11">
        <f>'Table H'!$J$20</f>
        <v>0.93541691259350879</v>
      </c>
      <c r="R147" s="11">
        <f t="shared" si="4"/>
        <v>41497.90049338583</v>
      </c>
      <c r="S147" s="11" t="str">
        <f t="shared" si="5"/>
        <v>Linslade UD</v>
      </c>
      <c r="T147" s="11" t="s">
        <v>5214</v>
      </c>
      <c r="V147" s="11" t="str">
        <f>INDEX('Lookup 1961'!$A$2:$A$1300, MATCH(S147, 'Lookup 1961'!$B$2:$B$1300,0))</f>
        <v>J04000747</v>
      </c>
      <c r="W147" s="11" t="str">
        <f>INDEX('Lookup 1961'!$F$2:$F$1300, MATCH(S147, 'Lookup 1961'!$B$2:$B$1300,0))</f>
        <v>e010006</v>
      </c>
      <c r="X147" s="11" t="str">
        <f>INDEX('Lookup 1961'!$C$2:$C$1300, MATCH(V147, 'Lookup 1961'!$A$2:$A$1300,0))</f>
        <v>Bedfordshire</v>
      </c>
    </row>
    <row r="148" spans="1:24" ht="25.05" customHeight="1" x14ac:dyDescent="0.3">
      <c r="A148" s="2" t="s">
        <v>173</v>
      </c>
      <c r="B148" s="2" t="s">
        <v>173</v>
      </c>
      <c r="C148" s="1">
        <v>27</v>
      </c>
      <c r="D148" s="1">
        <v>0</v>
      </c>
      <c r="E148" s="1">
        <v>18</v>
      </c>
      <c r="F148" s="1">
        <v>0</v>
      </c>
      <c r="K148" s="1">
        <v>400</v>
      </c>
      <c r="L148" s="6">
        <v>103509</v>
      </c>
      <c r="M148" s="1">
        <v>91.3</v>
      </c>
      <c r="N148" s="1">
        <v>12</v>
      </c>
      <c r="O148" s="1">
        <v>19</v>
      </c>
      <c r="P148" s="1">
        <v>20.2</v>
      </c>
      <c r="Q148" s="11">
        <f>'Table H'!$J$20</f>
        <v>0.93541691259350879</v>
      </c>
      <c r="R148" s="11">
        <f t="shared" si="4"/>
        <v>96824.069205641499</v>
      </c>
      <c r="S148" s="11" t="str">
        <f t="shared" si="5"/>
        <v>Marlow UD</v>
      </c>
      <c r="T148" s="11" t="s">
        <v>5214</v>
      </c>
      <c r="V148" s="11" t="str">
        <f>INDEX('Lookup 1961'!$A$2:$A$1300, MATCH(S148, 'Lookup 1961'!$B$2:$B$1300,0))</f>
        <v>J04000834</v>
      </c>
      <c r="W148" s="11" t="str">
        <f>INDEX('Lookup 1961'!$F$2:$F$1300, MATCH(S148, 'Lookup 1961'!$B$2:$B$1300,0))</f>
        <v>e030040</v>
      </c>
      <c r="X148" s="11" t="str">
        <f>INDEX('Lookup 1961'!$C$2:$C$1300, MATCH(V148, 'Lookup 1961'!$A$2:$A$1300,0))</f>
        <v>Buckinghamshire</v>
      </c>
    </row>
    <row r="149" spans="1:24" ht="25.05" customHeight="1" x14ac:dyDescent="0.3">
      <c r="A149" s="2" t="s">
        <v>174</v>
      </c>
      <c r="B149" s="2" t="s">
        <v>174</v>
      </c>
      <c r="C149" s="1">
        <v>28</v>
      </c>
      <c r="D149" s="1">
        <v>0</v>
      </c>
      <c r="E149" s="1">
        <v>18</v>
      </c>
      <c r="F149" s="1">
        <v>2</v>
      </c>
      <c r="K149" s="1">
        <v>202</v>
      </c>
      <c r="L149" s="6">
        <v>51015</v>
      </c>
      <c r="M149" s="1">
        <v>104.3</v>
      </c>
      <c r="N149" s="1">
        <v>10</v>
      </c>
      <c r="O149" s="1">
        <v>8</v>
      </c>
      <c r="P149" s="1">
        <v>31.3</v>
      </c>
      <c r="Q149" s="11">
        <f>'Table H'!$J$20</f>
        <v>0.93541691259350879</v>
      </c>
      <c r="R149" s="11">
        <f t="shared" si="4"/>
        <v>47720.293795957848</v>
      </c>
      <c r="S149" s="11" t="str">
        <f t="shared" si="5"/>
        <v>Newport Pagnell UD</v>
      </c>
      <c r="T149" s="11" t="s">
        <v>5214</v>
      </c>
      <c r="V149" s="11" t="str">
        <f>INDEX('Lookup 1961'!$A$2:$A$1300, MATCH(S149, 'Lookup 1961'!$B$2:$B$1300,0))</f>
        <v>J04000910</v>
      </c>
      <c r="W149" s="11" t="str">
        <f>INDEX('Lookup 1961'!$F$2:$F$1300, MATCH(S149, 'Lookup 1961'!$B$2:$B$1300,0))</f>
        <v>e030041</v>
      </c>
      <c r="X149" s="11" t="str">
        <f>INDEX('Lookup 1961'!$C$2:$C$1300, MATCH(V149, 'Lookup 1961'!$A$2:$A$1300,0))</f>
        <v>Buckinghamshire</v>
      </c>
    </row>
    <row r="150" spans="1:24" ht="25.05" customHeight="1" x14ac:dyDescent="0.3">
      <c r="A150" s="2" t="s">
        <v>175</v>
      </c>
      <c r="B150" s="2" t="s">
        <v>175</v>
      </c>
      <c r="C150" s="1">
        <v>30</v>
      </c>
      <c r="D150" s="1">
        <v>0</v>
      </c>
      <c r="E150" s="1">
        <v>20</v>
      </c>
      <c r="F150" s="1">
        <v>6</v>
      </c>
      <c r="K150" s="1">
        <v>586</v>
      </c>
      <c r="L150" s="6">
        <v>145809</v>
      </c>
      <c r="M150" s="1">
        <v>96.6</v>
      </c>
      <c r="N150" s="1">
        <v>10</v>
      </c>
      <c r="O150" s="1">
        <v>18</v>
      </c>
      <c r="P150" s="1">
        <v>33.9</v>
      </c>
      <c r="Q150" s="11">
        <f>'Table H'!$J$20</f>
        <v>0.93541691259350879</v>
      </c>
      <c r="R150" s="11">
        <f t="shared" si="4"/>
        <v>136392.20460834692</v>
      </c>
      <c r="S150" s="11" t="str">
        <f t="shared" si="5"/>
        <v>Wolverton UD</v>
      </c>
      <c r="T150" s="11" t="s">
        <v>5214</v>
      </c>
      <c r="V150" s="11" t="str">
        <f>INDEX('Lookup 1961'!$A$2:$A$1300, MATCH(S150, 'Lookup 1961'!$B$2:$B$1300,0))</f>
        <v>J04001443</v>
      </c>
      <c r="W150" s="11" t="str">
        <f>INDEX('Lookup 1961'!$F$2:$F$1300, MATCH(S150, 'Lookup 1961'!$B$2:$B$1300,0))</f>
        <v>e030044</v>
      </c>
      <c r="X150" s="11" t="str">
        <f>INDEX('Lookup 1961'!$C$2:$C$1300, MATCH(V150, 'Lookup 1961'!$A$2:$A$1300,0))</f>
        <v>Buckinghamshire</v>
      </c>
    </row>
    <row r="151" spans="1:24" ht="25.05" customHeight="1" x14ac:dyDescent="0.3">
      <c r="A151" s="2" t="s">
        <v>176</v>
      </c>
      <c r="B151" s="2" t="s">
        <v>176</v>
      </c>
      <c r="S151" s="11" t="str">
        <f t="shared" si="5"/>
        <v xml:space="preserve">CAMBRIDGE: </v>
      </c>
      <c r="V151" s="11" t="e">
        <f>INDEX('Lookup 1961'!$A$2:$A$1300, MATCH(S151, 'Lookup 1961'!$B$2:$B$1300,0))</f>
        <v>#N/A</v>
      </c>
      <c r="W151" s="11" t="e">
        <f>INDEX('Lookup 1961'!$F$2:$F$1300, MATCH(S151, 'Lookup 1961'!$B$2:$B$1300,0))</f>
        <v>#N/A</v>
      </c>
      <c r="X151" s="11" t="e">
        <f>INDEX('Lookup 1961'!$C$2:$C$1300, MATCH(V151, 'Lookup 1961'!$A$2:$A$1300,0))</f>
        <v>#N/A</v>
      </c>
    </row>
    <row r="152" spans="1:24" ht="25.05" customHeight="1" x14ac:dyDescent="0.3">
      <c r="A152" s="2" t="s">
        <v>146</v>
      </c>
      <c r="B152" s="2" t="s">
        <v>5257</v>
      </c>
      <c r="S152" s="11" t="str">
        <f t="shared" si="5"/>
        <v xml:space="preserve">Non County Boroughs  </v>
      </c>
      <c r="V152" s="11" t="e">
        <f>INDEX('Lookup 1961'!$A$2:$A$1300, MATCH(S152, 'Lookup 1961'!$B$2:$B$1300,0))</f>
        <v>#N/A</v>
      </c>
      <c r="W152" s="11" t="e">
        <f>INDEX('Lookup 1961'!$F$2:$F$1300, MATCH(S152, 'Lookup 1961'!$B$2:$B$1300,0))</f>
        <v>#N/A</v>
      </c>
      <c r="X152" s="11" t="e">
        <f>INDEX('Lookup 1961'!$C$2:$C$1300, MATCH(V152, 'Lookup 1961'!$A$2:$A$1300,0))</f>
        <v>#N/A</v>
      </c>
    </row>
    <row r="153" spans="1:24" ht="25.05" customHeight="1" x14ac:dyDescent="0.3">
      <c r="A153" s="2" t="s">
        <v>177</v>
      </c>
      <c r="B153" s="2" t="s">
        <v>5248</v>
      </c>
      <c r="C153" s="1">
        <v>24</v>
      </c>
      <c r="D153" s="1">
        <v>4</v>
      </c>
      <c r="E153" s="1">
        <v>18</v>
      </c>
      <c r="F153" s="1">
        <v>10</v>
      </c>
      <c r="K153" s="6">
        <v>6200</v>
      </c>
      <c r="L153" s="6">
        <v>1851681</v>
      </c>
      <c r="M153" s="1">
        <v>135.6</v>
      </c>
      <c r="N153" s="1">
        <v>15</v>
      </c>
      <c r="O153" s="1">
        <v>10</v>
      </c>
      <c r="P153" s="1">
        <v>49.9</v>
      </c>
      <c r="Q153" s="11">
        <f>'Table H'!$J$24</f>
        <v>0.96589531350162361</v>
      </c>
      <c r="R153" s="11">
        <f t="shared" si="4"/>
        <v>1788530</v>
      </c>
      <c r="S153" s="11" t="str">
        <f t="shared" si="5"/>
        <v>Cambridge, city of MB</v>
      </c>
      <c r="T153" s="11" t="s">
        <v>5211</v>
      </c>
      <c r="V153" s="11" t="str">
        <f>INDEX('Lookup 1961'!$A$2:$A$1300, MATCH(S153, 'Lookup 1961'!$B$2:$B$1300,0))</f>
        <v>J04000256</v>
      </c>
      <c r="W153" s="11" t="str">
        <f>INDEX('Lookup 1961'!$F$2:$F$1300, MATCH(S153, 'Lookup 1961'!$B$2:$B$1300,0))</f>
        <v>e040056</v>
      </c>
      <c r="X153" s="11" t="str">
        <f>INDEX('Lookup 1961'!$C$2:$C$1300, MATCH(V153, 'Lookup 1961'!$A$2:$A$1300,0))</f>
        <v>Cambridgeshire</v>
      </c>
    </row>
    <row r="154" spans="1:24" ht="25.05" customHeight="1" x14ac:dyDescent="0.3">
      <c r="A154" s="2" t="s">
        <v>178</v>
      </c>
      <c r="B154" s="2" t="s">
        <v>178</v>
      </c>
      <c r="S154" s="11" t="str">
        <f t="shared" si="5"/>
        <v xml:space="preserve">CHESTER: </v>
      </c>
      <c r="V154" s="11" t="e">
        <f>INDEX('Lookup 1961'!$A$2:$A$1300, MATCH(S154, 'Lookup 1961'!$B$2:$B$1300,0))</f>
        <v>#N/A</v>
      </c>
      <c r="W154" s="11" t="e">
        <f>INDEX('Lookup 1961'!$F$2:$F$1300, MATCH(S154, 'Lookup 1961'!$B$2:$B$1300,0))</f>
        <v>#N/A</v>
      </c>
      <c r="X154" s="11" t="e">
        <f>INDEX('Lookup 1961'!$C$2:$C$1300, MATCH(V154, 'Lookup 1961'!$A$2:$A$1300,0))</f>
        <v>#N/A</v>
      </c>
    </row>
    <row r="155" spans="1:24" ht="25.05" customHeight="1" x14ac:dyDescent="0.3">
      <c r="A155" s="2" t="s">
        <v>146</v>
      </c>
      <c r="B155" s="2" t="s">
        <v>5257</v>
      </c>
      <c r="S155" s="11" t="str">
        <f t="shared" si="5"/>
        <v xml:space="preserve">Non County Boroughs  </v>
      </c>
      <c r="V155" s="11" t="e">
        <f>INDEX('Lookup 1961'!$A$2:$A$1300, MATCH(S155, 'Lookup 1961'!$B$2:$B$1300,0))</f>
        <v>#N/A</v>
      </c>
      <c r="W155" s="11" t="e">
        <f>INDEX('Lookup 1961'!$F$2:$F$1300, MATCH(S155, 'Lookup 1961'!$B$2:$B$1300,0))</f>
        <v>#N/A</v>
      </c>
      <c r="X155" s="11" t="e">
        <f>INDEX('Lookup 1961'!$C$2:$C$1300, MATCH(V155, 'Lookup 1961'!$A$2:$A$1300,0))</f>
        <v>#N/A</v>
      </c>
    </row>
    <row r="156" spans="1:24" ht="25.05" customHeight="1" x14ac:dyDescent="0.3">
      <c r="A156" s="2" t="s">
        <v>179</v>
      </c>
      <c r="B156" s="2" t="s">
        <v>179</v>
      </c>
      <c r="C156" s="1">
        <v>22</v>
      </c>
      <c r="D156" s="1">
        <v>8</v>
      </c>
      <c r="E156" s="1">
        <v>16</v>
      </c>
      <c r="F156" s="1">
        <v>0</v>
      </c>
      <c r="K156" s="6">
        <v>2127</v>
      </c>
      <c r="L156" s="6">
        <v>527306</v>
      </c>
      <c r="M156" s="1">
        <v>60.1</v>
      </c>
      <c r="N156" s="1">
        <v>10</v>
      </c>
      <c r="O156" s="1">
        <v>2</v>
      </c>
      <c r="P156" s="1">
        <v>10.1</v>
      </c>
      <c r="Q156" s="11">
        <f>'Table H'!$J$28</f>
        <v>0.84255266539626983</v>
      </c>
      <c r="R156" s="11">
        <f t="shared" si="4"/>
        <v>444283.07577944547</v>
      </c>
      <c r="S156" s="11" t="str">
        <f t="shared" si="5"/>
        <v>Altrincham MB</v>
      </c>
      <c r="T156" s="11" t="s">
        <v>5211</v>
      </c>
      <c r="V156" s="11" t="str">
        <f>INDEX('Lookup 1961'!$A$2:$A$1300, MATCH(S156, 'Lookup 1961'!$B$2:$B$1300,0))</f>
        <v>J04000034</v>
      </c>
      <c r="W156" s="11" t="str">
        <f>INDEX('Lookup 1961'!$F$2:$F$1300, MATCH(S156, 'Lookup 1961'!$B$2:$B$1300,0))</f>
        <v>e050074</v>
      </c>
      <c r="X156" s="11" t="str">
        <f>INDEX('Lookup 1961'!$C$2:$C$1300, MATCH(V156, 'Lookup 1961'!$A$2:$A$1300,0))</f>
        <v>Greater Manchester</v>
      </c>
    </row>
    <row r="157" spans="1:24" ht="25.05" customHeight="1" x14ac:dyDescent="0.3">
      <c r="A157" s="2" t="s">
        <v>180</v>
      </c>
      <c r="B157" s="2" t="s">
        <v>180</v>
      </c>
      <c r="C157" s="1">
        <v>22</v>
      </c>
      <c r="D157" s="1">
        <v>10</v>
      </c>
      <c r="E157" s="1">
        <v>15</v>
      </c>
      <c r="F157" s="1">
        <v>9</v>
      </c>
      <c r="K157" s="6">
        <v>2870</v>
      </c>
      <c r="L157" s="6">
        <v>704288</v>
      </c>
      <c r="M157" s="1">
        <v>67.3</v>
      </c>
      <c r="N157" s="1">
        <v>10</v>
      </c>
      <c r="O157" s="1">
        <v>19</v>
      </c>
      <c r="P157" s="1">
        <v>12</v>
      </c>
      <c r="Q157" s="11">
        <f>'Table H'!$J$28</f>
        <v>0.84255266539626983</v>
      </c>
      <c r="R157" s="11">
        <f t="shared" si="4"/>
        <v>593399.73160660814</v>
      </c>
      <c r="S157" s="11" t="str">
        <f t="shared" si="5"/>
        <v>Bebington MB</v>
      </c>
      <c r="T157" s="11" t="s">
        <v>5211</v>
      </c>
      <c r="V157" s="11" t="str">
        <f>INDEX('Lookup 1961'!$A$2:$A$1300, MATCH(S157, 'Lookup 1961'!$B$2:$B$1300,0))</f>
        <v>J04000107</v>
      </c>
      <c r="W157" s="11" t="str">
        <f>INDEX('Lookup 1961'!$F$2:$F$1300, MATCH(S157, 'Lookup 1961'!$B$2:$B$1300,0))</f>
        <v>e050075</v>
      </c>
      <c r="X157" s="11" t="str">
        <f>INDEX('Lookup 1961'!$C$2:$C$1300, MATCH(V157, 'Lookup 1961'!$A$2:$A$1300,0))</f>
        <v>Merseyside</v>
      </c>
    </row>
    <row r="158" spans="1:24" ht="25.05" customHeight="1" x14ac:dyDescent="0.3">
      <c r="A158" s="2" t="s">
        <v>181</v>
      </c>
      <c r="B158" s="2" t="s">
        <v>181</v>
      </c>
      <c r="C158" s="1">
        <v>26</v>
      </c>
      <c r="D158" s="1">
        <v>0</v>
      </c>
      <c r="E158" s="1">
        <v>17</v>
      </c>
      <c r="F158" s="1">
        <v>10</v>
      </c>
      <c r="K158" s="1">
        <v>608</v>
      </c>
      <c r="L158" s="6">
        <v>155562</v>
      </c>
      <c r="M158" s="1">
        <v>74.8</v>
      </c>
      <c r="N158" s="1">
        <v>8</v>
      </c>
      <c r="O158" s="1">
        <v>0</v>
      </c>
      <c r="P158" s="1">
        <v>16</v>
      </c>
      <c r="Q158" s="11">
        <f>'Table H'!$J$28</f>
        <v>0.84255266539626983</v>
      </c>
      <c r="R158" s="11">
        <f t="shared" si="4"/>
        <v>131069.17773437453</v>
      </c>
      <c r="S158" s="11" t="str">
        <f t="shared" si="5"/>
        <v>Congleton MB</v>
      </c>
      <c r="T158" s="11" t="s">
        <v>5211</v>
      </c>
      <c r="V158" s="11" t="str">
        <f>INDEX('Lookup 1961'!$A$2:$A$1300, MATCH(S158, 'Lookup 1961'!$B$2:$B$1300,0))</f>
        <v>J04000341</v>
      </c>
      <c r="W158" s="11" t="str">
        <f>INDEX('Lookup 1961'!$F$2:$F$1300, MATCH(S158, 'Lookup 1961'!$B$2:$B$1300,0))</f>
        <v>e050080</v>
      </c>
      <c r="X158" s="11" t="str">
        <f>INDEX('Lookup 1961'!$C$2:$C$1300, MATCH(V158, 'Lookup 1961'!$A$2:$A$1300,0))</f>
        <v>Cheshire</v>
      </c>
    </row>
    <row r="159" spans="1:24" ht="25.05" customHeight="1" x14ac:dyDescent="0.3">
      <c r="A159" s="2" t="s">
        <v>182</v>
      </c>
      <c r="B159" s="2" t="s">
        <v>182</v>
      </c>
      <c r="C159" s="1">
        <v>27</v>
      </c>
      <c r="D159" s="1">
        <v>0</v>
      </c>
      <c r="E159" s="1">
        <v>18</v>
      </c>
      <c r="F159" s="1">
        <v>2</v>
      </c>
      <c r="K159" s="6">
        <v>2050</v>
      </c>
      <c r="L159" s="6">
        <v>513888</v>
      </c>
      <c r="M159" s="1">
        <v>75.8</v>
      </c>
      <c r="N159" s="1">
        <v>8</v>
      </c>
      <c r="O159" s="1">
        <v>17</v>
      </c>
      <c r="P159" s="1">
        <v>18.3</v>
      </c>
      <c r="Q159" s="11">
        <f>'Table H'!$J$28</f>
        <v>0.84255266539626983</v>
      </c>
      <c r="R159" s="11">
        <f t="shared" si="4"/>
        <v>432977.7041151583</v>
      </c>
      <c r="S159" s="11" t="str">
        <f t="shared" si="5"/>
        <v>Crewe MB</v>
      </c>
      <c r="T159" s="11" t="s">
        <v>5211</v>
      </c>
      <c r="V159" s="11" t="str">
        <f>INDEX('Lookup 1961'!$A$2:$A$1300, MATCH(S159, 'Lookup 1961'!$B$2:$B$1300,0))</f>
        <v>J04000361</v>
      </c>
      <c r="W159" s="11" t="str">
        <f>INDEX('Lookup 1961'!$F$2:$F$1300, MATCH(S159, 'Lookup 1961'!$B$2:$B$1300,0))</f>
        <v>e050081</v>
      </c>
      <c r="X159" s="11" t="str">
        <f>INDEX('Lookup 1961'!$C$2:$C$1300, MATCH(V159, 'Lookup 1961'!$A$2:$A$1300,0))</f>
        <v>Cheshire</v>
      </c>
    </row>
    <row r="160" spans="1:24" ht="25.05" customHeight="1" x14ac:dyDescent="0.3">
      <c r="A160" s="2" t="s">
        <v>183</v>
      </c>
      <c r="B160" s="2" t="s">
        <v>183</v>
      </c>
      <c r="C160" s="1">
        <v>24</v>
      </c>
      <c r="D160" s="1">
        <v>0</v>
      </c>
      <c r="E160" s="1">
        <v>17</v>
      </c>
      <c r="F160" s="1">
        <v>9</v>
      </c>
      <c r="K160" s="1">
        <v>608</v>
      </c>
      <c r="L160" s="6">
        <v>156085</v>
      </c>
      <c r="M160" s="1">
        <v>77.7</v>
      </c>
      <c r="N160" s="1">
        <v>6</v>
      </c>
      <c r="O160" s="1">
        <v>18</v>
      </c>
      <c r="P160" s="1">
        <v>27.1</v>
      </c>
      <c r="Q160" s="11">
        <f>'Table H'!$J$28</f>
        <v>0.84255266539626983</v>
      </c>
      <c r="R160" s="11">
        <f t="shared" si="4"/>
        <v>131509.83277837679</v>
      </c>
      <c r="S160" s="11" t="str">
        <f t="shared" si="5"/>
        <v>Dukinfield MB</v>
      </c>
      <c r="T160" s="11" t="s">
        <v>5211</v>
      </c>
      <c r="V160" s="11" t="str">
        <f>INDEX('Lookup 1961'!$A$2:$A$1300, MATCH(S160, 'Lookup 1961'!$B$2:$B$1300,0))</f>
        <v>J04000434</v>
      </c>
      <c r="W160" s="11" t="str">
        <f>INDEX('Lookup 1961'!$F$2:$F$1300, MATCH(S160, 'Lookup 1961'!$B$2:$B$1300,0))</f>
        <v>e050082</v>
      </c>
      <c r="X160" s="11" t="str">
        <f>INDEX('Lookup 1961'!$C$2:$C$1300, MATCH(V160, 'Lookup 1961'!$A$2:$A$1300,0))</f>
        <v>Greater Manchester</v>
      </c>
    </row>
    <row r="161" spans="1:24" ht="25.05" customHeight="1" x14ac:dyDescent="0.3">
      <c r="A161" s="2" t="s">
        <v>184</v>
      </c>
      <c r="B161" s="2" t="s">
        <v>184</v>
      </c>
      <c r="C161" s="1">
        <v>24</v>
      </c>
      <c r="D161" s="1">
        <v>0</v>
      </c>
      <c r="E161" s="1">
        <v>15</v>
      </c>
      <c r="F161" s="1">
        <v>3</v>
      </c>
      <c r="K161" s="6">
        <v>2920</v>
      </c>
      <c r="L161" s="6">
        <v>725089</v>
      </c>
      <c r="M161" s="1">
        <v>163.19999999999999</v>
      </c>
      <c r="N161" s="1">
        <v>14</v>
      </c>
      <c r="O161" s="1">
        <v>5</v>
      </c>
      <c r="P161" s="1">
        <v>55.6</v>
      </c>
      <c r="Q161" s="11">
        <f>'Table H'!$J$28</f>
        <v>0.84255266539626983</v>
      </c>
      <c r="R161" s="11">
        <f t="shared" si="4"/>
        <v>610925.66959951585</v>
      </c>
      <c r="S161" s="11" t="str">
        <f t="shared" si="5"/>
        <v>Ellesmere Port MB</v>
      </c>
      <c r="T161" s="11" t="s">
        <v>5211</v>
      </c>
      <c r="V161" s="11" t="str">
        <f>INDEX('Lookup 1961'!$A$2:$A$1300, MATCH(S161, 'Lookup 1961'!$B$2:$B$1300,0))</f>
        <v>J04000467</v>
      </c>
      <c r="W161" s="11" t="str">
        <f>INDEX('Lookup 1961'!$F$2:$F$1300, MATCH(S161, 'Lookup 1961'!$B$2:$B$1300,0))</f>
        <v>e050083</v>
      </c>
      <c r="X161" s="11" t="str">
        <f>INDEX('Lookup 1961'!$C$2:$C$1300, MATCH(V161, 'Lookup 1961'!$A$2:$A$1300,0))</f>
        <v>Cheshire</v>
      </c>
    </row>
    <row r="162" spans="1:24" ht="25.05" customHeight="1" x14ac:dyDescent="0.3">
      <c r="A162" s="2" t="s">
        <v>185</v>
      </c>
      <c r="B162" s="2" t="s">
        <v>185</v>
      </c>
      <c r="C162" s="1">
        <v>26</v>
      </c>
      <c r="D162" s="1">
        <v>10</v>
      </c>
      <c r="E162" s="1">
        <v>20</v>
      </c>
      <c r="F162" s="1">
        <v>6</v>
      </c>
      <c r="K162" s="6">
        <v>1175</v>
      </c>
      <c r="L162" s="6">
        <v>294512</v>
      </c>
      <c r="M162" s="1">
        <v>49.7</v>
      </c>
      <c r="N162" s="1">
        <v>9</v>
      </c>
      <c r="O162" s="1">
        <v>5</v>
      </c>
      <c r="P162" s="1">
        <v>15.4</v>
      </c>
      <c r="Q162" s="11">
        <f>'Table H'!$J$28</f>
        <v>0.84255266539626983</v>
      </c>
      <c r="R162" s="11">
        <f t="shared" si="4"/>
        <v>248141.87059118622</v>
      </c>
      <c r="S162" s="11" t="str">
        <f t="shared" si="5"/>
        <v>Hyde MB</v>
      </c>
      <c r="T162" s="11" t="s">
        <v>5211</v>
      </c>
      <c r="V162" s="11" t="str">
        <f>INDEX('Lookup 1961'!$A$2:$A$1300, MATCH(S162, 'Lookup 1961'!$B$2:$B$1300,0))</f>
        <v>J04000663</v>
      </c>
      <c r="W162" s="11" t="str">
        <f>INDEX('Lookup 1961'!$F$2:$F$1300, MATCH(S162, 'Lookup 1961'!$B$2:$B$1300,0))</f>
        <v>e050087</v>
      </c>
      <c r="X162" s="11" t="str">
        <f>INDEX('Lookup 1961'!$C$2:$C$1300, MATCH(V162, 'Lookup 1961'!$A$2:$A$1300,0))</f>
        <v>Greater Manchester</v>
      </c>
    </row>
    <row r="163" spans="1:24" ht="25.05" customHeight="1" x14ac:dyDescent="0.3">
      <c r="A163" s="2" t="s">
        <v>186</v>
      </c>
      <c r="B163" s="2" t="s">
        <v>186</v>
      </c>
      <c r="C163" s="1">
        <v>29</v>
      </c>
      <c r="D163" s="1">
        <v>6</v>
      </c>
      <c r="E163" s="1">
        <v>21</v>
      </c>
      <c r="F163" s="1">
        <v>9</v>
      </c>
      <c r="K163" s="6">
        <v>1495</v>
      </c>
      <c r="L163" s="6">
        <v>376441</v>
      </c>
      <c r="M163" s="1">
        <v>63</v>
      </c>
      <c r="N163" s="1">
        <v>11</v>
      </c>
      <c r="O163" s="1">
        <v>1</v>
      </c>
      <c r="P163" s="1">
        <v>24.6</v>
      </c>
      <c r="Q163" s="11">
        <f>'Table H'!$J$28</f>
        <v>0.84255266539626983</v>
      </c>
      <c r="R163" s="11">
        <f t="shared" si="4"/>
        <v>317171.3679144372</v>
      </c>
      <c r="S163" s="11" t="str">
        <f t="shared" si="5"/>
        <v>Macclesfield MB</v>
      </c>
      <c r="T163" s="11" t="s">
        <v>5211</v>
      </c>
      <c r="V163" s="11" t="str">
        <f>INDEX('Lookup 1961'!$A$2:$A$1300, MATCH(S163, 'Lookup 1961'!$B$2:$B$1300,0))</f>
        <v>J04000801</v>
      </c>
      <c r="W163" s="11" t="str">
        <f>INDEX('Lookup 1961'!$F$2:$F$1300, MATCH(S163, 'Lookup 1961'!$B$2:$B$1300,0))</f>
        <v>e050091</v>
      </c>
      <c r="X163" s="11" t="str">
        <f>INDEX('Lookup 1961'!$C$2:$C$1300, MATCH(V163, 'Lookup 1961'!$A$2:$A$1300,0))</f>
        <v>Cheshire</v>
      </c>
    </row>
    <row r="164" spans="1:24" ht="25.05" customHeight="1" x14ac:dyDescent="0.3">
      <c r="A164" s="2" t="s">
        <v>187</v>
      </c>
      <c r="B164" s="2" t="s">
        <v>187</v>
      </c>
      <c r="C164" s="1">
        <v>22</v>
      </c>
      <c r="D164" s="1">
        <v>6</v>
      </c>
      <c r="E164" s="1">
        <v>16</v>
      </c>
      <c r="F164" s="1">
        <v>0</v>
      </c>
      <c r="K164" s="6">
        <v>2275</v>
      </c>
      <c r="L164" s="6">
        <v>575583</v>
      </c>
      <c r="M164" s="1">
        <v>60.1</v>
      </c>
      <c r="N164" s="1">
        <v>9</v>
      </c>
      <c r="O164" s="1">
        <v>15</v>
      </c>
      <c r="P164" s="1">
        <v>10</v>
      </c>
      <c r="Q164" s="11">
        <f>'Table H'!$J$28</f>
        <v>0.84255266539626983</v>
      </c>
      <c r="R164" s="11">
        <f t="shared" si="4"/>
        <v>484958.99080678116</v>
      </c>
      <c r="S164" s="11" t="str">
        <f t="shared" si="5"/>
        <v>Sale MB</v>
      </c>
      <c r="T164" s="11" t="s">
        <v>5211</v>
      </c>
      <c r="V164" s="11" t="str">
        <f>INDEX('Lookup 1961'!$A$2:$A$1300, MATCH(S164, 'Lookup 1961'!$B$2:$B$1300,0))</f>
        <v>J04001093</v>
      </c>
      <c r="W164" s="11" t="str">
        <f>INDEX('Lookup 1961'!$F$2:$F$1300, MATCH(S164, 'Lookup 1961'!$B$2:$B$1300,0))</f>
        <v>e050100</v>
      </c>
      <c r="X164" s="11" t="str">
        <f>INDEX('Lookup 1961'!$C$2:$C$1300, MATCH(V164, 'Lookup 1961'!$A$2:$A$1300,0))</f>
        <v>Greater Manchester</v>
      </c>
    </row>
    <row r="165" spans="1:24" ht="25.05" customHeight="1" x14ac:dyDescent="0.3">
      <c r="A165" s="2" t="s">
        <v>188</v>
      </c>
      <c r="B165" s="2" t="s">
        <v>188</v>
      </c>
      <c r="C165" s="1">
        <v>27</v>
      </c>
      <c r="D165" s="1">
        <v>2</v>
      </c>
      <c r="E165" s="1">
        <v>20</v>
      </c>
      <c r="F165" s="1">
        <v>6</v>
      </c>
      <c r="K165" s="1">
        <v>698</v>
      </c>
      <c r="L165" s="6">
        <v>177281</v>
      </c>
      <c r="M165" s="1">
        <v>53.9</v>
      </c>
      <c r="N165" s="1">
        <v>7</v>
      </c>
      <c r="O165" s="1">
        <v>17</v>
      </c>
      <c r="P165" s="1">
        <v>21.7</v>
      </c>
      <c r="Q165" s="11">
        <f>'Table H'!$J$28</f>
        <v>0.84255266539626983</v>
      </c>
      <c r="R165" s="11">
        <f t="shared" si="4"/>
        <v>149368.5790741161</v>
      </c>
      <c r="S165" s="11" t="str">
        <f t="shared" si="5"/>
        <v>Stalybridge MB</v>
      </c>
      <c r="T165" s="11" t="s">
        <v>5211</v>
      </c>
      <c r="V165" s="11" t="str">
        <f>INDEX('Lookup 1961'!$A$2:$A$1300, MATCH(S165, 'Lookup 1961'!$B$2:$B$1300,0))</f>
        <v>J04001199</v>
      </c>
      <c r="W165" s="11" t="str">
        <f>INDEX('Lookup 1961'!$F$2:$F$1300, MATCH(S165, 'Lookup 1961'!$B$2:$B$1300,0))</f>
        <v>e050102</v>
      </c>
      <c r="X165" s="11" t="str">
        <f>INDEX('Lookup 1961'!$C$2:$C$1300, MATCH(V165, 'Lookup 1961'!$A$2:$A$1300,0))</f>
        <v>Greater Manchester</v>
      </c>
    </row>
    <row r="166" spans="1:24" ht="25.05" customHeight="1" x14ac:dyDescent="0.3">
      <c r="A166" s="2" t="s">
        <v>150</v>
      </c>
      <c r="B166" s="2" t="s">
        <v>1221</v>
      </c>
      <c r="S166" s="11" t="str">
        <f t="shared" si="5"/>
        <v xml:space="preserve">Urban Districts  </v>
      </c>
      <c r="V166" s="11" t="e">
        <f>INDEX('Lookup 1961'!$A$2:$A$1300, MATCH(S166, 'Lookup 1961'!$B$2:$B$1300,0))</f>
        <v>#N/A</v>
      </c>
      <c r="W166" s="11" t="e">
        <f>INDEX('Lookup 1961'!$F$2:$F$1300, MATCH(S166, 'Lookup 1961'!$B$2:$B$1300,0))</f>
        <v>#N/A</v>
      </c>
      <c r="X166" s="11" t="e">
        <f>INDEX('Lookup 1961'!$C$2:$C$1300, MATCH(V166, 'Lookup 1961'!$A$2:$A$1300,0))</f>
        <v>#N/A</v>
      </c>
    </row>
    <row r="167" spans="1:24" ht="25.05" customHeight="1" x14ac:dyDescent="0.3">
      <c r="A167" s="2" t="s">
        <v>189</v>
      </c>
      <c r="B167" s="2" t="s">
        <v>189</v>
      </c>
      <c r="C167" s="1">
        <v>21</v>
      </c>
      <c r="D167" s="1">
        <v>0</v>
      </c>
      <c r="E167" s="1">
        <v>14</v>
      </c>
      <c r="F167" s="1">
        <v>4</v>
      </c>
      <c r="K167" s="1">
        <v>216</v>
      </c>
      <c r="L167" s="6">
        <v>54438</v>
      </c>
      <c r="M167" s="1">
        <v>46.7</v>
      </c>
      <c r="N167" s="1">
        <v>10</v>
      </c>
      <c r="O167" s="1">
        <v>3</v>
      </c>
      <c r="P167" s="1">
        <v>0.4</v>
      </c>
      <c r="Q167" s="11">
        <f>'Table H'!$J$29</f>
        <v>0.90154645782638843</v>
      </c>
      <c r="R167" s="11">
        <f t="shared" si="4"/>
        <v>49078.386071152934</v>
      </c>
      <c r="S167" s="11" t="str">
        <f t="shared" si="5"/>
        <v>Alderley Edge UD</v>
      </c>
      <c r="T167" s="11" t="s">
        <v>5214</v>
      </c>
      <c r="V167" s="11" t="str">
        <f>INDEX('Lookup 1961'!$A$2:$A$1300, MATCH(S167, 'Lookup 1961'!$B$2:$B$1300,0))</f>
        <v>J04000022</v>
      </c>
      <c r="W167" s="11" t="str">
        <f>INDEX('Lookup 1961'!$F$2:$F$1300, MATCH(S167, 'Lookup 1961'!$B$2:$B$1300,0))</f>
        <v>e050072</v>
      </c>
      <c r="X167" s="11" t="str">
        <f>INDEX('Lookup 1961'!$C$2:$C$1300, MATCH(V167, 'Lookup 1961'!$A$2:$A$1300,0))</f>
        <v>Cheshire</v>
      </c>
    </row>
    <row r="168" spans="1:24" ht="25.05" customHeight="1" x14ac:dyDescent="0.3">
      <c r="A168" s="2" t="s">
        <v>190</v>
      </c>
      <c r="B168" s="2" t="s">
        <v>190</v>
      </c>
      <c r="C168" s="1">
        <v>23</v>
      </c>
      <c r="D168" s="1">
        <v>6</v>
      </c>
      <c r="E168" s="1">
        <v>16</v>
      </c>
      <c r="F168" s="1">
        <v>0</v>
      </c>
      <c r="K168" s="1">
        <v>244</v>
      </c>
      <c r="L168" s="6">
        <v>65018</v>
      </c>
      <c r="M168" s="1">
        <v>78.5</v>
      </c>
      <c r="N168" s="1">
        <v>8</v>
      </c>
      <c r="O168" s="1">
        <v>13</v>
      </c>
      <c r="P168" s="1">
        <v>23.7</v>
      </c>
      <c r="Q168" s="11">
        <f>'Table H'!$J$29</f>
        <v>0.90154645782638843</v>
      </c>
      <c r="R168" s="11">
        <f t="shared" si="4"/>
        <v>58616.747594956119</v>
      </c>
      <c r="S168" s="11" t="str">
        <f t="shared" si="5"/>
        <v>Alsager UD</v>
      </c>
      <c r="T168" s="11" t="s">
        <v>5214</v>
      </c>
      <c r="V168" s="11" t="str">
        <f>INDEX('Lookup 1961'!$A$2:$A$1300, MATCH(S168, 'Lookup 1961'!$B$2:$B$1300,0))</f>
        <v>J04000030</v>
      </c>
      <c r="W168" s="11" t="str">
        <f>INDEX('Lookup 1961'!$F$2:$F$1300, MATCH(S168, 'Lookup 1961'!$B$2:$B$1300,0))</f>
        <v>e050073</v>
      </c>
      <c r="X168" s="11" t="str">
        <f>INDEX('Lookup 1961'!$C$2:$C$1300, MATCH(V168, 'Lookup 1961'!$A$2:$A$1300,0))</f>
        <v>Cheshire</v>
      </c>
    </row>
    <row r="169" spans="1:24" ht="25.05" customHeight="1" x14ac:dyDescent="0.3">
      <c r="A169" s="2" t="s">
        <v>191</v>
      </c>
      <c r="B169" s="2" t="s">
        <v>191</v>
      </c>
      <c r="C169" s="1">
        <v>26</v>
      </c>
      <c r="D169" s="1">
        <v>6</v>
      </c>
      <c r="E169" s="1">
        <v>19</v>
      </c>
      <c r="F169" s="1">
        <v>0</v>
      </c>
      <c r="K169" s="1">
        <v>174</v>
      </c>
      <c r="L169" s="6">
        <v>45781</v>
      </c>
      <c r="M169" s="1">
        <v>60.3</v>
      </c>
      <c r="N169" s="1">
        <v>7</v>
      </c>
      <c r="O169" s="1">
        <v>16</v>
      </c>
      <c r="P169" s="1">
        <v>12.2</v>
      </c>
      <c r="Q169" s="11">
        <f>'Table H'!$J$29</f>
        <v>0.90154645782638843</v>
      </c>
      <c r="R169" s="11">
        <f t="shared" si="4"/>
        <v>41273.698385749885</v>
      </c>
      <c r="S169" s="11" t="str">
        <f t="shared" si="5"/>
        <v>Bollington UD</v>
      </c>
      <c r="T169" s="11" t="s">
        <v>5214</v>
      </c>
      <c r="V169" s="11" t="str">
        <f>INDEX('Lookup 1961'!$A$2:$A$1300, MATCH(S169, 'Lookup 1961'!$B$2:$B$1300,0))</f>
        <v>J04000171</v>
      </c>
      <c r="W169" s="11" t="str">
        <f>INDEX('Lookup 1961'!$F$2:$F$1300, MATCH(S169, 'Lookup 1961'!$B$2:$B$1300,0))</f>
        <v>e050076</v>
      </c>
      <c r="X169" s="11" t="str">
        <f>INDEX('Lookup 1961'!$C$2:$C$1300, MATCH(V169, 'Lookup 1961'!$A$2:$A$1300,0))</f>
        <v>Cheshire</v>
      </c>
    </row>
    <row r="170" spans="1:24" ht="25.05" customHeight="1" x14ac:dyDescent="0.3">
      <c r="A170" s="2" t="s">
        <v>192</v>
      </c>
      <c r="B170" s="2" t="s">
        <v>192</v>
      </c>
      <c r="C170" s="1">
        <v>20</v>
      </c>
      <c r="D170" s="1">
        <v>6</v>
      </c>
      <c r="E170" s="1">
        <v>15</v>
      </c>
      <c r="F170" s="1">
        <v>9</v>
      </c>
      <c r="K170" s="1">
        <v>232</v>
      </c>
      <c r="L170" s="6">
        <v>59299</v>
      </c>
      <c r="M170" s="1">
        <v>35.9</v>
      </c>
      <c r="N170" s="1">
        <v>11</v>
      </c>
      <c r="O170" s="1">
        <v>9</v>
      </c>
      <c r="P170" s="1">
        <v>3.4</v>
      </c>
      <c r="Q170" s="11">
        <f>'Table H'!$J$29</f>
        <v>0.90154645782638843</v>
      </c>
      <c r="R170" s="11">
        <f t="shared" si="4"/>
        <v>53460.803402647005</v>
      </c>
      <c r="S170" s="11" t="str">
        <f t="shared" si="5"/>
        <v>Bowdon UD</v>
      </c>
      <c r="T170" s="11" t="s">
        <v>5214</v>
      </c>
      <c r="V170" s="11" t="str">
        <f>INDEX('Lookup 1961'!$A$2:$A$1300, MATCH(S170, 'Lookup 1961'!$B$2:$B$1300,0))</f>
        <v>J04000180</v>
      </c>
      <c r="W170" s="11" t="str">
        <f>INDEX('Lookup 1961'!$F$2:$F$1300, MATCH(S170, 'Lookup 1961'!$B$2:$B$1300,0))</f>
        <v>e050077</v>
      </c>
      <c r="X170" s="11" t="str">
        <f>INDEX('Lookup 1961'!$C$2:$C$1300, MATCH(V170, 'Lookup 1961'!$A$2:$A$1300,0))</f>
        <v>Greater Manchester</v>
      </c>
    </row>
    <row r="171" spans="1:24" ht="25.05" customHeight="1" x14ac:dyDescent="0.3">
      <c r="A171" s="2" t="s">
        <v>193</v>
      </c>
      <c r="B171" s="2" t="s">
        <v>193</v>
      </c>
      <c r="C171" s="1">
        <v>23</v>
      </c>
      <c r="D171" s="1">
        <v>0</v>
      </c>
      <c r="E171" s="1">
        <v>16</v>
      </c>
      <c r="F171" s="1">
        <v>3</v>
      </c>
      <c r="K171" s="1">
        <v>730</v>
      </c>
      <c r="L171" s="6">
        <v>181516</v>
      </c>
      <c r="M171" s="1">
        <v>55.9</v>
      </c>
      <c r="N171" s="1">
        <v>7</v>
      </c>
      <c r="O171" s="1">
        <v>17</v>
      </c>
      <c r="P171" s="1">
        <v>9</v>
      </c>
      <c r="Q171" s="11">
        <f>'Table H'!$J$29</f>
        <v>0.90154645782638843</v>
      </c>
      <c r="R171" s="11">
        <f t="shared" si="4"/>
        <v>163645.10683881471</v>
      </c>
      <c r="S171" s="11" t="str">
        <f t="shared" si="5"/>
        <v>Bredbury and Romiley UD</v>
      </c>
      <c r="T171" s="11" t="s">
        <v>5214</v>
      </c>
      <c r="V171" s="11" t="str">
        <f>INDEX('Lookup 1961'!$A$2:$A$1300, MATCH(S171, 'Lookup 1961'!$B$2:$B$1300,0))</f>
        <v>J04000194</v>
      </c>
      <c r="W171" s="11" t="str">
        <f>INDEX('Lookup 1961'!$F$2:$F$1300, MATCH(S171, 'Lookup 1961'!$B$2:$B$1300,0))</f>
        <v>e050078</v>
      </c>
      <c r="X171" s="11" t="str">
        <f>INDEX('Lookup 1961'!$C$2:$C$1300, MATCH(V171, 'Lookup 1961'!$A$2:$A$1300,0))</f>
        <v>Greater Manchester</v>
      </c>
    </row>
    <row r="172" spans="1:24" ht="25.05" customHeight="1" x14ac:dyDescent="0.3">
      <c r="A172" s="2" t="s">
        <v>194</v>
      </c>
      <c r="B172" s="2" t="s">
        <v>194</v>
      </c>
      <c r="C172" s="1">
        <v>23</v>
      </c>
      <c r="D172" s="1">
        <v>0</v>
      </c>
      <c r="E172" s="1">
        <v>16</v>
      </c>
      <c r="F172" s="1">
        <v>0</v>
      </c>
      <c r="K172" s="6">
        <v>1872</v>
      </c>
      <c r="L172" s="6">
        <v>463786</v>
      </c>
      <c r="M172" s="1">
        <v>63.4</v>
      </c>
      <c r="N172" s="1">
        <v>10</v>
      </c>
      <c r="O172" s="1">
        <v>13</v>
      </c>
      <c r="P172" s="1">
        <v>7.8</v>
      </c>
      <c r="Q172" s="11">
        <f>'Table H'!$J$29</f>
        <v>0.90154645782638843</v>
      </c>
      <c r="R172" s="11">
        <f t="shared" si="4"/>
        <v>418124.62548946938</v>
      </c>
      <c r="S172" s="11" t="str">
        <f t="shared" si="5"/>
        <v>Cheadle and Gatley UD</v>
      </c>
      <c r="T172" s="11" t="s">
        <v>5214</v>
      </c>
      <c r="V172" s="11" t="str">
        <f>INDEX('Lookup 1961'!$A$2:$A$1300, MATCH(S172, 'Lookup 1961'!$B$2:$B$1300,0))</f>
        <v>J04000286</v>
      </c>
      <c r="W172" s="11" t="str">
        <f>INDEX('Lookup 1961'!$F$2:$F$1300, MATCH(S172, 'Lookup 1961'!$B$2:$B$1300,0))</f>
        <v>e050079</v>
      </c>
      <c r="X172" s="11" t="str">
        <f>INDEX('Lookup 1961'!$C$2:$C$1300, MATCH(V172, 'Lookup 1961'!$A$2:$A$1300,0))</f>
        <v>Greater Manchester</v>
      </c>
    </row>
    <row r="173" spans="1:24" ht="25.05" customHeight="1" x14ac:dyDescent="0.3">
      <c r="A173" s="2" t="s">
        <v>195</v>
      </c>
      <c r="B173" s="2" t="s">
        <v>195</v>
      </c>
      <c r="C173" s="1">
        <v>23</v>
      </c>
      <c r="D173" s="1">
        <v>0</v>
      </c>
      <c r="E173" s="1">
        <v>16</v>
      </c>
      <c r="F173" s="1">
        <v>6</v>
      </c>
      <c r="K173" s="1">
        <v>818</v>
      </c>
      <c r="L173" s="6">
        <v>200221</v>
      </c>
      <c r="M173" s="1">
        <v>33.4</v>
      </c>
      <c r="N173" s="1">
        <v>13</v>
      </c>
      <c r="O173" s="1">
        <v>8</v>
      </c>
      <c r="P173" s="1">
        <v>-5.0999999999999996</v>
      </c>
      <c r="Q173" s="11">
        <f>'Table H'!$J$29</f>
        <v>0.90154645782638843</v>
      </c>
      <c r="R173" s="11">
        <f t="shared" si="4"/>
        <v>180508.53333245733</v>
      </c>
      <c r="S173" s="11" t="str">
        <f t="shared" si="5"/>
        <v>Hale UD</v>
      </c>
      <c r="T173" s="11" t="s">
        <v>5214</v>
      </c>
      <c r="V173" s="11" t="str">
        <f>INDEX('Lookup 1961'!$A$2:$A$1300, MATCH(S173, 'Lookup 1961'!$B$2:$B$1300,0))</f>
        <v>J04000563</v>
      </c>
      <c r="W173" s="11" t="str">
        <f>INDEX('Lookup 1961'!$F$2:$F$1300, MATCH(S173, 'Lookup 1961'!$B$2:$B$1300,0))</f>
        <v>e050084</v>
      </c>
      <c r="X173" s="11" t="str">
        <f>INDEX('Lookup 1961'!$C$2:$C$1300, MATCH(V173, 'Lookup 1961'!$A$2:$A$1300,0))</f>
        <v>Greater Manchester</v>
      </c>
    </row>
    <row r="174" spans="1:24" ht="25.05" customHeight="1" x14ac:dyDescent="0.3">
      <c r="A174" s="2" t="s">
        <v>196</v>
      </c>
      <c r="B174" s="2" t="s">
        <v>196</v>
      </c>
      <c r="C174" s="1">
        <v>22</v>
      </c>
      <c r="D174" s="1">
        <v>0</v>
      </c>
      <c r="E174" s="1">
        <v>15</v>
      </c>
      <c r="F174" s="1">
        <v>6</v>
      </c>
      <c r="K174" s="6">
        <v>1220</v>
      </c>
      <c r="L174" s="6">
        <v>304078</v>
      </c>
      <c r="M174" s="1">
        <v>59.4</v>
      </c>
      <c r="N174" s="1">
        <v>10</v>
      </c>
      <c r="O174" s="1">
        <v>13</v>
      </c>
      <c r="P174" s="1">
        <v>7.9</v>
      </c>
      <c r="Q174" s="11">
        <f>'Table H'!$J$29</f>
        <v>0.90154645782638843</v>
      </c>
      <c r="R174" s="11">
        <f t="shared" si="4"/>
        <v>274140.44380293257</v>
      </c>
      <c r="S174" s="11" t="str">
        <f t="shared" si="5"/>
        <v>Hazel Grove and Bramhall UD</v>
      </c>
      <c r="T174" s="11" t="s">
        <v>5214</v>
      </c>
      <c r="V174" s="11" t="str">
        <f>INDEX('Lookup 1961'!$A$2:$A$1300, MATCH(S174, 'Lookup 1961'!$B$2:$B$1300,0))</f>
        <v>J04000595</v>
      </c>
      <c r="W174" s="11" t="str">
        <f>INDEX('Lookup 1961'!$F$2:$F$1300, MATCH(S174, 'Lookup 1961'!$B$2:$B$1300,0))</f>
        <v>e050085</v>
      </c>
      <c r="X174" s="11" t="str">
        <f>INDEX('Lookup 1961'!$C$2:$C$1300, MATCH(V174, 'Lookup 1961'!$A$2:$A$1300,0))</f>
        <v>Greater Manchester</v>
      </c>
    </row>
    <row r="175" spans="1:24" ht="25.05" customHeight="1" x14ac:dyDescent="0.3">
      <c r="A175" s="2" t="s">
        <v>197</v>
      </c>
      <c r="B175" s="2" t="s">
        <v>197</v>
      </c>
      <c r="C175" s="1">
        <v>22</v>
      </c>
      <c r="D175" s="1">
        <v>4</v>
      </c>
      <c r="E175" s="1">
        <v>15</v>
      </c>
      <c r="F175" s="1">
        <v>6</v>
      </c>
      <c r="K175" s="6">
        <v>1800</v>
      </c>
      <c r="L175" s="6">
        <v>447034</v>
      </c>
      <c r="M175" s="1">
        <v>46.3</v>
      </c>
      <c r="N175" s="1">
        <v>10</v>
      </c>
      <c r="O175" s="1">
        <v>16</v>
      </c>
      <c r="P175" s="1">
        <v>2.5</v>
      </c>
      <c r="Q175" s="11">
        <f>'Table H'!$J$29</f>
        <v>0.90154645782638843</v>
      </c>
      <c r="R175" s="11">
        <f t="shared" si="4"/>
        <v>403021.91922796174</v>
      </c>
      <c r="S175" s="11" t="str">
        <f t="shared" si="5"/>
        <v>Hoylake UD</v>
      </c>
      <c r="T175" s="11" t="s">
        <v>5214</v>
      </c>
      <c r="V175" s="11" t="str">
        <f>INDEX('Lookup 1961'!$A$2:$A$1300, MATCH(S175, 'Lookup 1961'!$B$2:$B$1300,0))</f>
        <v>J04000654</v>
      </c>
      <c r="W175" s="11" t="str">
        <f>INDEX('Lookup 1961'!$F$2:$F$1300, MATCH(S175, 'Lookup 1961'!$B$2:$B$1300,0))</f>
        <v>e050086</v>
      </c>
      <c r="X175" s="11" t="str">
        <f>INDEX('Lookup 1961'!$C$2:$C$1300, MATCH(V175, 'Lookup 1961'!$A$2:$A$1300,0))</f>
        <v>Merseyside</v>
      </c>
    </row>
    <row r="176" spans="1:24" ht="25.05" customHeight="1" x14ac:dyDescent="0.3">
      <c r="A176" s="2" t="s">
        <v>198</v>
      </c>
      <c r="B176" s="2" t="s">
        <v>198</v>
      </c>
      <c r="C176" s="1">
        <v>22</v>
      </c>
      <c r="D176" s="1">
        <v>4</v>
      </c>
      <c r="E176" s="1">
        <v>15</v>
      </c>
      <c r="F176" s="1">
        <v>4</v>
      </c>
      <c r="K176" s="1">
        <v>368</v>
      </c>
      <c r="L176" s="6">
        <v>91804</v>
      </c>
      <c r="M176" s="1">
        <v>65.400000000000006</v>
      </c>
      <c r="N176" s="1">
        <v>9</v>
      </c>
      <c r="O176" s="1">
        <v>7</v>
      </c>
      <c r="P176" s="1">
        <v>9.6999999999999993</v>
      </c>
      <c r="Q176" s="11">
        <f>'Table H'!$J$29</f>
        <v>0.90154645782638843</v>
      </c>
      <c r="R176" s="11">
        <f t="shared" si="4"/>
        <v>82765.571014293761</v>
      </c>
      <c r="S176" s="11" t="str">
        <f t="shared" si="5"/>
        <v>Knutsford UD</v>
      </c>
      <c r="T176" s="11" t="s">
        <v>5214</v>
      </c>
      <c r="V176" s="11" t="str">
        <f>INDEX('Lookup 1961'!$A$2:$A$1300, MATCH(S176, 'Lookup 1961'!$B$2:$B$1300,0))</f>
        <v>J04000714</v>
      </c>
      <c r="W176" s="11" t="str">
        <f>INDEX('Lookup 1961'!$F$2:$F$1300, MATCH(S176, 'Lookup 1961'!$B$2:$B$1300,0))</f>
        <v>e050088</v>
      </c>
      <c r="X176" s="11" t="str">
        <f>INDEX('Lookup 1961'!$C$2:$C$1300, MATCH(V176, 'Lookup 1961'!$A$2:$A$1300,0))</f>
        <v>Cheshire</v>
      </c>
    </row>
    <row r="177" spans="1:24" ht="25.05" customHeight="1" x14ac:dyDescent="0.3">
      <c r="A177" s="2" t="s">
        <v>199</v>
      </c>
      <c r="B177" s="2" t="s">
        <v>199</v>
      </c>
      <c r="C177" s="1">
        <v>24</v>
      </c>
      <c r="D177" s="1">
        <v>6</v>
      </c>
      <c r="E177" s="1">
        <v>18</v>
      </c>
      <c r="F177" s="1">
        <v>6</v>
      </c>
      <c r="K177" s="1">
        <v>135</v>
      </c>
      <c r="L177" s="6">
        <v>35268</v>
      </c>
      <c r="M177" s="1">
        <v>47.2</v>
      </c>
      <c r="N177" s="1">
        <v>6</v>
      </c>
      <c r="O177" s="1">
        <v>17</v>
      </c>
      <c r="P177" s="1">
        <v>10.6</v>
      </c>
      <c r="Q177" s="11">
        <f>'Table H'!$J$29</f>
        <v>0.90154645782638843</v>
      </c>
      <c r="R177" s="11">
        <f t="shared" si="4"/>
        <v>31795.740474621067</v>
      </c>
      <c r="S177" s="11" t="str">
        <f t="shared" si="5"/>
        <v>Longdendale UD</v>
      </c>
      <c r="T177" s="11" t="s">
        <v>5214</v>
      </c>
      <c r="V177" s="11" t="str">
        <f>INDEX('Lookup 1961'!$A$2:$A$1300, MATCH(S177, 'Lookup 1961'!$B$2:$B$1300,0))</f>
        <v>J04000778</v>
      </c>
      <c r="W177" s="11" t="str">
        <f>INDEX('Lookup 1961'!$F$2:$F$1300, MATCH(S177, 'Lookup 1961'!$B$2:$B$1300,0))</f>
        <v>e050089</v>
      </c>
      <c r="X177" s="11" t="str">
        <f>INDEX('Lookup 1961'!$C$2:$C$1300, MATCH(V177, 'Lookup 1961'!$A$2:$A$1300,0))</f>
        <v>Greater Manchester</v>
      </c>
    </row>
    <row r="178" spans="1:24" ht="25.05" customHeight="1" x14ac:dyDescent="0.3">
      <c r="A178" s="2" t="s">
        <v>200</v>
      </c>
      <c r="B178" s="2" t="s">
        <v>200</v>
      </c>
      <c r="C178" s="1">
        <v>24</v>
      </c>
      <c r="D178" s="1">
        <v>3</v>
      </c>
      <c r="E178" s="1">
        <v>17</v>
      </c>
      <c r="F178" s="1">
        <v>6</v>
      </c>
      <c r="K178" s="1">
        <v>230</v>
      </c>
      <c r="L178" s="6">
        <v>57595</v>
      </c>
      <c r="M178" s="1">
        <v>41.2</v>
      </c>
      <c r="N178" s="1">
        <v>7</v>
      </c>
      <c r="O178" s="1">
        <v>4</v>
      </c>
      <c r="P178" s="1">
        <v>-1.1000000000000001</v>
      </c>
      <c r="Q178" s="11">
        <f>'Table H'!$J$29</f>
        <v>0.90154645782638843</v>
      </c>
      <c r="R178" s="11">
        <f t="shared" si="4"/>
        <v>51924.568238510845</v>
      </c>
      <c r="S178" s="11" t="str">
        <f t="shared" si="5"/>
        <v>Lymm UD</v>
      </c>
      <c r="T178" s="11" t="s">
        <v>5214</v>
      </c>
      <c r="V178" s="11" t="str">
        <f>INDEX('Lookup 1961'!$A$2:$A$1300, MATCH(S178, 'Lookup 1961'!$B$2:$B$1300,0))</f>
        <v>J04000797</v>
      </c>
      <c r="W178" s="11" t="str">
        <f>INDEX('Lookup 1961'!$F$2:$F$1300, MATCH(S178, 'Lookup 1961'!$B$2:$B$1300,0))</f>
        <v>e050090</v>
      </c>
      <c r="X178" s="11" t="str">
        <f>INDEX('Lookup 1961'!$C$2:$C$1300, MATCH(V178, 'Lookup 1961'!$A$2:$A$1300,0))</f>
        <v>Cheshire</v>
      </c>
    </row>
    <row r="179" spans="1:24" ht="25.05" customHeight="1" x14ac:dyDescent="0.3">
      <c r="A179" s="2" t="s">
        <v>201</v>
      </c>
      <c r="B179" s="2" t="s">
        <v>201</v>
      </c>
      <c r="C179" s="1">
        <v>22</v>
      </c>
      <c r="D179" s="1">
        <v>1</v>
      </c>
      <c r="E179" s="1">
        <v>15</v>
      </c>
      <c r="F179" s="1">
        <v>3</v>
      </c>
      <c r="K179" s="1">
        <v>560</v>
      </c>
      <c r="L179" s="6">
        <v>139302</v>
      </c>
      <c r="M179" s="1">
        <v>38.5</v>
      </c>
      <c r="N179" s="1">
        <v>7</v>
      </c>
      <c r="O179" s="1">
        <v>11</v>
      </c>
      <c r="P179" s="1">
        <v>-5.0999999999999996</v>
      </c>
      <c r="Q179" s="11">
        <f>'Table H'!$J$29</f>
        <v>0.90154645782638843</v>
      </c>
      <c r="R179" s="11">
        <f t="shared" si="4"/>
        <v>125587.22466813156</v>
      </c>
      <c r="S179" s="11" t="str">
        <f t="shared" si="5"/>
        <v>Marple UD</v>
      </c>
      <c r="T179" s="11" t="s">
        <v>5214</v>
      </c>
      <c r="V179" s="11" t="str">
        <f>INDEX('Lookup 1961'!$A$2:$A$1300, MATCH(S179, 'Lookup 1961'!$B$2:$B$1300,0))</f>
        <v>J04000835</v>
      </c>
      <c r="W179" s="11" t="str">
        <f>INDEX('Lookup 1961'!$F$2:$F$1300, MATCH(S179, 'Lookup 1961'!$B$2:$B$1300,0))</f>
        <v>e050092</v>
      </c>
      <c r="X179" s="11" t="str">
        <f>INDEX('Lookup 1961'!$C$2:$C$1300, MATCH(V179, 'Lookup 1961'!$A$2:$A$1300,0))</f>
        <v>Greater Manchester</v>
      </c>
    </row>
    <row r="180" spans="1:24" ht="25.05" customHeight="1" x14ac:dyDescent="0.3">
      <c r="A180" s="2" t="s">
        <v>202</v>
      </c>
      <c r="B180" s="2" t="s">
        <v>202</v>
      </c>
      <c r="C180" s="1">
        <v>22</v>
      </c>
      <c r="D180" s="1">
        <v>6</v>
      </c>
      <c r="E180" s="1">
        <v>15</v>
      </c>
      <c r="F180" s="1">
        <v>8</v>
      </c>
      <c r="K180" s="1">
        <v>251</v>
      </c>
      <c r="L180" s="6">
        <v>62941</v>
      </c>
      <c r="M180" s="1">
        <v>89.8</v>
      </c>
      <c r="N180" s="1">
        <v>7</v>
      </c>
      <c r="O180" s="1">
        <v>0</v>
      </c>
      <c r="P180" s="1">
        <v>30.3</v>
      </c>
      <c r="Q180" s="11">
        <f>'Table H'!$J$29</f>
        <v>0.90154645782638843</v>
      </c>
      <c r="R180" s="11">
        <f t="shared" si="4"/>
        <v>56744.235602050714</v>
      </c>
      <c r="S180" s="11" t="str">
        <f t="shared" si="5"/>
        <v>Middlewich UD</v>
      </c>
      <c r="T180" s="11" t="s">
        <v>5214</v>
      </c>
      <c r="V180" s="11" t="str">
        <f>INDEX('Lookup 1961'!$A$2:$A$1300, MATCH(S180, 'Lookup 1961'!$B$2:$B$1300,0))</f>
        <v>J04000854</v>
      </c>
      <c r="W180" s="11" t="str">
        <f>INDEX('Lookup 1961'!$F$2:$F$1300, MATCH(S180, 'Lookup 1961'!$B$2:$B$1300,0))</f>
        <v>e050093</v>
      </c>
      <c r="X180" s="11" t="str">
        <f>INDEX('Lookup 1961'!$C$2:$C$1300, MATCH(V180, 'Lookup 1961'!$A$2:$A$1300,0))</f>
        <v>Cheshire</v>
      </c>
    </row>
    <row r="181" spans="1:24" ht="25.05" customHeight="1" x14ac:dyDescent="0.3">
      <c r="A181" s="2" t="s">
        <v>203</v>
      </c>
      <c r="B181" s="2" t="s">
        <v>203</v>
      </c>
      <c r="C181" s="1">
        <v>24</v>
      </c>
      <c r="D181" s="1">
        <v>2</v>
      </c>
      <c r="E181" s="1">
        <v>16</v>
      </c>
      <c r="F181" s="1">
        <v>2</v>
      </c>
      <c r="K181" s="1">
        <v>395</v>
      </c>
      <c r="L181" s="6">
        <v>107821</v>
      </c>
      <c r="M181" s="1">
        <v>86.1</v>
      </c>
      <c r="N181" s="1">
        <v>8</v>
      </c>
      <c r="O181" s="1">
        <v>13</v>
      </c>
      <c r="P181" s="1">
        <v>17.899999999999999</v>
      </c>
      <c r="Q181" s="11">
        <f>'Table H'!$J$29</f>
        <v>0.90154645782638843</v>
      </c>
      <c r="R181" s="11">
        <f t="shared" si="4"/>
        <v>97205.640629299029</v>
      </c>
      <c r="S181" s="11" t="str">
        <f t="shared" si="5"/>
        <v>Nantwich UD</v>
      </c>
      <c r="T181" s="11" t="s">
        <v>5214</v>
      </c>
      <c r="V181" s="11" t="str">
        <f>INDEX('Lookup 1961'!$A$2:$A$1300, MATCH(S181, 'Lookup 1961'!$B$2:$B$1300,0))</f>
        <v>J04000878</v>
      </c>
      <c r="W181" s="11" t="str">
        <f>INDEX('Lookup 1961'!$F$2:$F$1300, MATCH(S181, 'Lookup 1961'!$B$2:$B$1300,0))</f>
        <v>e050094</v>
      </c>
      <c r="X181" s="11" t="str">
        <f>INDEX('Lookup 1961'!$C$2:$C$1300, MATCH(V181, 'Lookup 1961'!$A$2:$A$1300,0))</f>
        <v>Cheshire</v>
      </c>
    </row>
    <row r="182" spans="1:24" ht="25.05" customHeight="1" x14ac:dyDescent="0.3">
      <c r="A182" s="2" t="s">
        <v>204</v>
      </c>
      <c r="B182" s="2" t="s">
        <v>204</v>
      </c>
      <c r="C182" s="1">
        <v>23</v>
      </c>
      <c r="D182" s="1">
        <v>6</v>
      </c>
      <c r="E182" s="1">
        <v>16</v>
      </c>
      <c r="F182" s="1">
        <v>9</v>
      </c>
      <c r="K182" s="1">
        <v>485</v>
      </c>
      <c r="L182" s="6">
        <v>123316</v>
      </c>
      <c r="M182" s="1">
        <v>44.8</v>
      </c>
      <c r="N182" s="1">
        <v>9</v>
      </c>
      <c r="O182" s="1">
        <v>12</v>
      </c>
      <c r="P182" s="1">
        <v>1.2</v>
      </c>
      <c r="Q182" s="11">
        <f>'Table H'!$J$29</f>
        <v>0.90154645782638843</v>
      </c>
      <c r="R182" s="11">
        <f t="shared" si="4"/>
        <v>111175.10299331891</v>
      </c>
      <c r="S182" s="11" t="str">
        <f t="shared" si="5"/>
        <v>Neston UD</v>
      </c>
      <c r="T182" s="11" t="s">
        <v>5214</v>
      </c>
      <c r="V182" s="11" t="str">
        <f>INDEX('Lookup 1961'!$A$2:$A$1300, MATCH(S182, 'Lookup 1961'!$B$2:$B$1300,0))</f>
        <v>J04000885</v>
      </c>
      <c r="W182" s="11" t="str">
        <f>INDEX('Lookup 1961'!$F$2:$F$1300, MATCH(S182, 'Lookup 1961'!$B$2:$B$1300,0))</f>
        <v>e050095</v>
      </c>
      <c r="X182" s="11" t="str">
        <f>INDEX('Lookup 1961'!$C$2:$C$1300, MATCH(V182, 'Lookup 1961'!$A$2:$A$1300,0))</f>
        <v>Cheshire</v>
      </c>
    </row>
    <row r="183" spans="1:24" ht="25.05" customHeight="1" x14ac:dyDescent="0.3">
      <c r="A183" s="2" t="s">
        <v>205</v>
      </c>
      <c r="B183" s="2" t="s">
        <v>205</v>
      </c>
      <c r="C183" s="1">
        <v>25</v>
      </c>
      <c r="D183" s="1">
        <v>2</v>
      </c>
      <c r="E183" s="1">
        <v>17</v>
      </c>
      <c r="F183" s="1">
        <v>0</v>
      </c>
      <c r="K183" s="6">
        <v>1220</v>
      </c>
      <c r="L183" s="6">
        <v>303667</v>
      </c>
      <c r="M183" s="1">
        <v>99.3</v>
      </c>
      <c r="N183" s="1">
        <v>12</v>
      </c>
      <c r="O183" s="1">
        <v>16</v>
      </c>
      <c r="P183" s="1">
        <v>37.6</v>
      </c>
      <c r="Q183" s="11">
        <f>'Table H'!$J$29</f>
        <v>0.90154645782638843</v>
      </c>
      <c r="R183" s="11">
        <f t="shared" si="4"/>
        <v>273769.9082087659</v>
      </c>
      <c r="S183" s="11" t="str">
        <f t="shared" si="5"/>
        <v>Northwich UD</v>
      </c>
      <c r="T183" s="11" t="s">
        <v>5214</v>
      </c>
      <c r="V183" s="11" t="str">
        <f>INDEX('Lookup 1961'!$A$2:$A$1300, MATCH(S183, 'Lookup 1961'!$B$2:$B$1300,0))</f>
        <v>J04000937</v>
      </c>
      <c r="W183" s="11" t="str">
        <f>INDEX('Lookup 1961'!$F$2:$F$1300, MATCH(S183, 'Lookup 1961'!$B$2:$B$1300,0))</f>
        <v>e050096</v>
      </c>
      <c r="X183" s="11" t="str">
        <f>INDEX('Lookup 1961'!$C$2:$C$1300, MATCH(V183, 'Lookup 1961'!$A$2:$A$1300,0))</f>
        <v>Cheshire</v>
      </c>
    </row>
    <row r="184" spans="1:24" ht="25.05" customHeight="1" x14ac:dyDescent="0.3">
      <c r="A184" s="2" t="s">
        <v>206</v>
      </c>
      <c r="B184" s="2" t="s">
        <v>206</v>
      </c>
      <c r="C184" s="1">
        <v>24</v>
      </c>
      <c r="D184" s="1">
        <v>0</v>
      </c>
      <c r="E184" s="1">
        <v>15</v>
      </c>
      <c r="F184" s="1">
        <v>6</v>
      </c>
      <c r="K184" s="6">
        <v>1156</v>
      </c>
      <c r="L184" s="6">
        <v>277428</v>
      </c>
      <c r="M184" s="1">
        <v>74.7</v>
      </c>
      <c r="N184" s="1">
        <v>8</v>
      </c>
      <c r="O184" s="1">
        <v>14</v>
      </c>
      <c r="P184" s="1">
        <v>12.5</v>
      </c>
      <c r="Q184" s="11">
        <f>'Table H'!$J$29</f>
        <v>0.90154645782638843</v>
      </c>
      <c r="R184" s="11">
        <f t="shared" si="4"/>
        <v>250114.23070185928</v>
      </c>
      <c r="S184" s="11" t="str">
        <f t="shared" si="5"/>
        <v>Runcorn UD</v>
      </c>
      <c r="T184" s="11" t="s">
        <v>5214</v>
      </c>
      <c r="V184" s="11" t="str">
        <f>INDEX('Lookup 1961'!$A$2:$A$1300, MATCH(S184, 'Lookup 1961'!$B$2:$B$1300,0))</f>
        <v>J04001082</v>
      </c>
      <c r="W184" s="11" t="str">
        <f>INDEX('Lookup 1961'!$F$2:$F$1300, MATCH(S184, 'Lookup 1961'!$B$2:$B$1300,0))</f>
        <v>e050097</v>
      </c>
      <c r="X184" s="11" t="str">
        <f>INDEX('Lookup 1961'!$C$2:$C$1300, MATCH(V184, 'Lookup 1961'!$A$2:$A$1300,0))</f>
        <v>Cheshire</v>
      </c>
    </row>
    <row r="185" spans="1:24" ht="25.05" customHeight="1" x14ac:dyDescent="0.3">
      <c r="A185" s="2" t="s">
        <v>207</v>
      </c>
      <c r="B185" s="2" t="s">
        <v>207</v>
      </c>
      <c r="C185" s="1">
        <v>23</v>
      </c>
      <c r="D185" s="1">
        <v>2</v>
      </c>
      <c r="E185" s="1">
        <v>14</v>
      </c>
      <c r="F185" s="1">
        <v>3</v>
      </c>
      <c r="K185" s="1">
        <v>389</v>
      </c>
      <c r="L185" s="6">
        <v>96866</v>
      </c>
      <c r="M185" s="1">
        <v>94.1</v>
      </c>
      <c r="N185" s="1">
        <v>6</v>
      </c>
      <c r="O185" s="1">
        <v>18</v>
      </c>
      <c r="P185" s="1">
        <v>19</v>
      </c>
      <c r="Q185" s="11">
        <f>'Table H'!$J$29</f>
        <v>0.90154645782638843</v>
      </c>
      <c r="R185" s="11">
        <f t="shared" si="4"/>
        <v>87329.199183810939</v>
      </c>
      <c r="S185" s="11" t="str">
        <f t="shared" si="5"/>
        <v>Sandbach UD</v>
      </c>
      <c r="T185" s="11" t="s">
        <v>5214</v>
      </c>
      <c r="V185" s="11" t="str">
        <f>INDEX('Lookup 1961'!$A$2:$A$1300, MATCH(S185, 'Lookup 1961'!$B$2:$B$1300,0))</f>
        <v>J04001100</v>
      </c>
      <c r="W185" s="11" t="str">
        <f>INDEX('Lookup 1961'!$F$2:$F$1300, MATCH(S185, 'Lookup 1961'!$B$2:$B$1300,0))</f>
        <v>e050101</v>
      </c>
      <c r="X185" s="11" t="str">
        <f>INDEX('Lookup 1961'!$C$2:$C$1300, MATCH(V185, 'Lookup 1961'!$A$2:$A$1300,0))</f>
        <v>Cheshire</v>
      </c>
    </row>
    <row r="186" spans="1:24" ht="25.05" customHeight="1" x14ac:dyDescent="0.3">
      <c r="A186" s="2" t="s">
        <v>208</v>
      </c>
      <c r="B186" s="2" t="s">
        <v>208</v>
      </c>
      <c r="C186" s="1">
        <v>23</v>
      </c>
      <c r="D186" s="1">
        <v>3</v>
      </c>
      <c r="E186" s="1">
        <v>16</v>
      </c>
      <c r="F186" s="1">
        <v>5</v>
      </c>
      <c r="K186" s="6">
        <v>1098</v>
      </c>
      <c r="L186" s="6">
        <v>268851</v>
      </c>
      <c r="M186" s="1">
        <v>57.6</v>
      </c>
      <c r="N186" s="1">
        <v>10</v>
      </c>
      <c r="O186" s="1">
        <v>16</v>
      </c>
      <c r="P186" s="1">
        <v>6.6</v>
      </c>
      <c r="Q186" s="11">
        <f>'Table H'!$J$29</f>
        <v>0.90154645782638843</v>
      </c>
      <c r="R186" s="11">
        <f t="shared" si="4"/>
        <v>242381.66673308235</v>
      </c>
      <c r="S186" s="11" t="str">
        <f t="shared" si="5"/>
        <v>Wilmslow UD</v>
      </c>
      <c r="T186" s="11" t="s">
        <v>5214</v>
      </c>
      <c r="V186" s="11" t="str">
        <f>INDEX('Lookup 1961'!$A$2:$A$1300, MATCH(S186, 'Lookup 1961'!$B$2:$B$1300,0))</f>
        <v>J04001416</v>
      </c>
      <c r="W186" s="11" t="str">
        <f>INDEX('Lookup 1961'!$F$2:$F$1300, MATCH(S186, 'Lookup 1961'!$B$2:$B$1300,0))</f>
        <v>e050103</v>
      </c>
      <c r="X186" s="11" t="str">
        <f>INDEX('Lookup 1961'!$C$2:$C$1300, MATCH(V186, 'Lookup 1961'!$A$2:$A$1300,0))</f>
        <v>Cheshire</v>
      </c>
    </row>
    <row r="187" spans="1:24" ht="25.05" customHeight="1" x14ac:dyDescent="0.3">
      <c r="A187" s="2" t="s">
        <v>209</v>
      </c>
      <c r="B187" s="2" t="s">
        <v>209</v>
      </c>
      <c r="C187" s="1">
        <v>24</v>
      </c>
      <c r="D187" s="1">
        <v>2</v>
      </c>
      <c r="E187" s="1">
        <v>18</v>
      </c>
      <c r="F187" s="1">
        <v>3</v>
      </c>
      <c r="K187" s="1">
        <v>430</v>
      </c>
      <c r="L187" s="6">
        <v>109464</v>
      </c>
      <c r="M187" s="1">
        <v>75.7</v>
      </c>
      <c r="N187" s="1">
        <v>7</v>
      </c>
      <c r="O187" s="1">
        <v>9</v>
      </c>
      <c r="P187" s="1">
        <v>28.9</v>
      </c>
      <c r="Q187" s="11">
        <f>'Table H'!$J$29</f>
        <v>0.90154645782638843</v>
      </c>
      <c r="R187" s="11">
        <f t="shared" si="4"/>
        <v>98686.881459507786</v>
      </c>
      <c r="S187" s="11" t="str">
        <f t="shared" si="5"/>
        <v>Winsford UD</v>
      </c>
      <c r="T187" s="11" t="s">
        <v>5214</v>
      </c>
      <c r="V187" s="11" t="str">
        <f>INDEX('Lookup 1961'!$A$2:$A$1300, MATCH(S187, 'Lookup 1961'!$B$2:$B$1300,0))</f>
        <v>J04001427</v>
      </c>
      <c r="W187" s="11" t="str">
        <f>INDEX('Lookup 1961'!$F$2:$F$1300, MATCH(S187, 'Lookup 1961'!$B$2:$B$1300,0))</f>
        <v>e050104</v>
      </c>
      <c r="X187" s="11" t="str">
        <f>INDEX('Lookup 1961'!$C$2:$C$1300, MATCH(V187, 'Lookup 1961'!$A$2:$A$1300,0))</f>
        <v>Cheshire</v>
      </c>
    </row>
    <row r="188" spans="1:24" ht="25.05" customHeight="1" x14ac:dyDescent="0.3">
      <c r="A188" s="2" t="s">
        <v>210</v>
      </c>
      <c r="B188" s="2" t="s">
        <v>210</v>
      </c>
      <c r="C188" s="1">
        <v>22</v>
      </c>
      <c r="D188" s="1">
        <v>2</v>
      </c>
      <c r="E188" s="1">
        <v>16</v>
      </c>
      <c r="F188" s="1">
        <v>6</v>
      </c>
      <c r="K188" s="1">
        <v>940</v>
      </c>
      <c r="L188" s="6">
        <v>233544</v>
      </c>
      <c r="M188" s="1">
        <v>42.3</v>
      </c>
      <c r="N188" s="1">
        <v>10</v>
      </c>
      <c r="O188" s="1">
        <v>9</v>
      </c>
      <c r="P188" s="1">
        <v>1.6</v>
      </c>
      <c r="Q188" s="11">
        <f>'Table H'!$J$29</f>
        <v>0.90154645782638843</v>
      </c>
      <c r="R188" s="11">
        <f t="shared" si="4"/>
        <v>210550.76594660606</v>
      </c>
      <c r="S188" s="11" t="str">
        <f t="shared" si="5"/>
        <v>Wirral UD</v>
      </c>
      <c r="T188" s="11" t="s">
        <v>5214</v>
      </c>
      <c r="V188" s="11" t="str">
        <f>INDEX('Lookup 1961'!$A$2:$A$1300, MATCH(S188, 'Lookup 1961'!$B$2:$B$1300,0))</f>
        <v>J04001430</v>
      </c>
      <c r="W188" s="11" t="str">
        <f>INDEX('Lookup 1961'!$F$2:$F$1300, MATCH(S188, 'Lookup 1961'!$B$2:$B$1300,0))</f>
        <v>e050105</v>
      </c>
      <c r="X188" s="11" t="str">
        <f>INDEX('Lookup 1961'!$C$2:$C$1300, MATCH(V188, 'Lookup 1961'!$A$2:$A$1300,0))</f>
        <v>Merseyside</v>
      </c>
    </row>
    <row r="189" spans="1:24" ht="25.05" customHeight="1" x14ac:dyDescent="0.3">
      <c r="A189" s="2" t="s">
        <v>211</v>
      </c>
      <c r="B189" s="2" t="s">
        <v>211</v>
      </c>
      <c r="S189" s="11" t="str">
        <f t="shared" si="5"/>
        <v xml:space="preserve">CORNWALL: </v>
      </c>
      <c r="V189" s="11" t="e">
        <f>INDEX('Lookup 1961'!$A$2:$A$1300, MATCH(S189, 'Lookup 1961'!$B$2:$B$1300,0))</f>
        <v>#N/A</v>
      </c>
      <c r="W189" s="11" t="e">
        <f>INDEX('Lookup 1961'!$F$2:$F$1300, MATCH(S189, 'Lookup 1961'!$B$2:$B$1300,0))</f>
        <v>#N/A</v>
      </c>
      <c r="X189" s="11" t="e">
        <f>INDEX('Lookup 1961'!$C$2:$C$1300, MATCH(V189, 'Lookup 1961'!$A$2:$A$1300,0))</f>
        <v>#N/A</v>
      </c>
    </row>
    <row r="190" spans="1:24" ht="25.05" customHeight="1" x14ac:dyDescent="0.3">
      <c r="A190" s="2" t="s">
        <v>146</v>
      </c>
      <c r="B190" s="2" t="s">
        <v>5257</v>
      </c>
      <c r="S190" s="11" t="str">
        <f t="shared" si="5"/>
        <v xml:space="preserve">Non County Boroughs  </v>
      </c>
      <c r="V190" s="11" t="e">
        <f>INDEX('Lookup 1961'!$A$2:$A$1300, MATCH(S190, 'Lookup 1961'!$B$2:$B$1300,0))</f>
        <v>#N/A</v>
      </c>
      <c r="W190" s="11" t="e">
        <f>INDEX('Lookup 1961'!$F$2:$F$1300, MATCH(S190, 'Lookup 1961'!$B$2:$B$1300,0))</f>
        <v>#N/A</v>
      </c>
      <c r="X190" s="11" t="e">
        <f>INDEX('Lookup 1961'!$C$2:$C$1300, MATCH(V190, 'Lookup 1961'!$A$2:$A$1300,0))</f>
        <v>#N/A</v>
      </c>
    </row>
    <row r="191" spans="1:24" ht="25.05" customHeight="1" x14ac:dyDescent="0.3">
      <c r="A191" s="2" t="s">
        <v>212</v>
      </c>
      <c r="B191" s="2" t="s">
        <v>212</v>
      </c>
      <c r="C191" s="1">
        <v>22</v>
      </c>
      <c r="D191" s="1">
        <v>6</v>
      </c>
      <c r="E191" s="1">
        <v>14</v>
      </c>
      <c r="F191" s="1">
        <v>8</v>
      </c>
      <c r="K191" s="1">
        <v>240</v>
      </c>
      <c r="L191" s="6">
        <v>58824</v>
      </c>
      <c r="M191" s="1">
        <v>67</v>
      </c>
      <c r="N191" s="1">
        <v>7</v>
      </c>
      <c r="O191" s="1">
        <v>11</v>
      </c>
      <c r="P191" s="1">
        <v>22.7</v>
      </c>
      <c r="Q191" s="11">
        <f>'Table H'!$J$33</f>
        <v>0.94343644130888948</v>
      </c>
      <c r="R191" s="11">
        <f t="shared" si="4"/>
        <v>55496.705223554112</v>
      </c>
      <c r="S191" s="11" t="str">
        <f t="shared" si="5"/>
        <v>Bodmin MB</v>
      </c>
      <c r="T191" s="11" t="s">
        <v>5211</v>
      </c>
      <c r="V191" s="11" t="str">
        <f>INDEX('Lookup 1961'!$A$2:$A$1300, MATCH(S191, 'Lookup 1961'!$B$2:$B$1300,0))</f>
        <v>J04000168</v>
      </c>
      <c r="W191" s="11" t="str">
        <f>INDEX('Lookup 1961'!$F$2:$F$1300, MATCH(S191, 'Lookup 1961'!$B$2:$B$1300,0))</f>
        <v>e060121</v>
      </c>
      <c r="X191" s="11" t="str">
        <f>INDEX('Lookup 1961'!$C$2:$C$1300, MATCH(V191, 'Lookup 1961'!$A$2:$A$1300,0))</f>
        <v>Cornwall And Isles Of Scilly</v>
      </c>
    </row>
    <row r="192" spans="1:24" ht="25.05" customHeight="1" x14ac:dyDescent="0.3">
      <c r="A192" s="2" t="s">
        <v>213</v>
      </c>
      <c r="B192" s="2" t="s">
        <v>213</v>
      </c>
      <c r="C192" s="1">
        <v>24</v>
      </c>
      <c r="D192" s="1">
        <v>6</v>
      </c>
      <c r="E192" s="1">
        <v>17</v>
      </c>
      <c r="F192" s="1">
        <v>0</v>
      </c>
      <c r="K192" s="6">
        <v>1145</v>
      </c>
      <c r="L192" s="6">
        <v>290034</v>
      </c>
      <c r="M192" s="1">
        <v>64.900000000000006</v>
      </c>
      <c r="N192" s="1">
        <v>14</v>
      </c>
      <c r="O192" s="1">
        <v>6</v>
      </c>
      <c r="P192" s="1">
        <v>9.6</v>
      </c>
      <c r="Q192" s="11">
        <f>'Table H'!$J$33</f>
        <v>0.94343644130888948</v>
      </c>
      <c r="R192" s="11">
        <f t="shared" si="4"/>
        <v>273628.64481858246</v>
      </c>
      <c r="S192" s="11" t="str">
        <f t="shared" si="5"/>
        <v>Falmouth MB</v>
      </c>
      <c r="T192" s="11" t="s">
        <v>5211</v>
      </c>
      <c r="V192" s="11" t="str">
        <f>INDEX('Lookup 1961'!$A$2:$A$1300, MATCH(S192, 'Lookup 1961'!$B$2:$B$1300,0))</f>
        <v>J04000490</v>
      </c>
      <c r="W192" s="11" t="str">
        <f>INDEX('Lookup 1961'!$F$2:$F$1300, MATCH(S192, 'Lookup 1961'!$B$2:$B$1300,0))</f>
        <v>e060124</v>
      </c>
      <c r="X192" s="11" t="str">
        <f>INDEX('Lookup 1961'!$C$2:$C$1300, MATCH(V192, 'Lookup 1961'!$A$2:$A$1300,0))</f>
        <v>Cornwall And Isles Of Scilly</v>
      </c>
    </row>
    <row r="193" spans="1:24" ht="25.05" customHeight="1" x14ac:dyDescent="0.3">
      <c r="A193" s="2" t="s">
        <v>214</v>
      </c>
      <c r="B193" s="2" t="s">
        <v>214</v>
      </c>
      <c r="C193" s="1">
        <v>23</v>
      </c>
      <c r="D193" s="1">
        <v>8</v>
      </c>
      <c r="E193" s="1">
        <v>16</v>
      </c>
      <c r="F193" s="1">
        <v>4</v>
      </c>
      <c r="K193" s="1">
        <v>117</v>
      </c>
      <c r="L193" s="6">
        <v>30765</v>
      </c>
      <c r="M193" s="1">
        <v>60.5</v>
      </c>
      <c r="N193" s="1">
        <v>10</v>
      </c>
      <c r="O193" s="1">
        <v>13</v>
      </c>
      <c r="P193" s="1">
        <v>9.5</v>
      </c>
      <c r="Q193" s="11">
        <f>'Table H'!$J$33</f>
        <v>0.94343644130888948</v>
      </c>
      <c r="R193" s="11">
        <f t="shared" si="4"/>
        <v>29024.822116867985</v>
      </c>
      <c r="S193" s="11" t="str">
        <f t="shared" si="5"/>
        <v>Fowey MB</v>
      </c>
      <c r="T193" s="11" t="s">
        <v>5211</v>
      </c>
      <c r="V193" s="11" t="str">
        <f>INDEX('Lookup 1961'!$A$2:$A$1300, MATCH(S193, 'Lookup 1961'!$B$2:$B$1300,0))</f>
        <v>J04000514</v>
      </c>
      <c r="W193" s="11" t="str">
        <f>INDEX('Lookup 1961'!$F$2:$F$1300, MATCH(S193, 'Lookup 1961'!$B$2:$B$1300,0))</f>
        <v>e060132</v>
      </c>
      <c r="X193" s="11" t="str">
        <f>INDEX('Lookup 1961'!$C$2:$C$1300, MATCH(V193, 'Lookup 1961'!$A$2:$A$1300,0))</f>
        <v>Cornwall And Isles Of Scilly</v>
      </c>
    </row>
    <row r="194" spans="1:24" ht="25.05" customHeight="1" x14ac:dyDescent="0.3">
      <c r="A194" s="2" t="s">
        <v>215</v>
      </c>
      <c r="B194" s="2" t="s">
        <v>215</v>
      </c>
      <c r="C194" s="1">
        <v>25</v>
      </c>
      <c r="D194" s="1">
        <v>9</v>
      </c>
      <c r="E194" s="1">
        <v>18</v>
      </c>
      <c r="F194" s="1">
        <v>0</v>
      </c>
      <c r="K194" s="1">
        <v>258</v>
      </c>
      <c r="L194" s="6">
        <v>65479</v>
      </c>
      <c r="M194" s="1">
        <v>117.2</v>
      </c>
      <c r="N194" s="1">
        <v>9</v>
      </c>
      <c r="O194" s="1">
        <v>8</v>
      </c>
      <c r="P194" s="1">
        <v>42.3</v>
      </c>
      <c r="Q194" s="11">
        <f>'Table H'!$J$33</f>
        <v>0.94343644130888948</v>
      </c>
      <c r="R194" s="11">
        <f t="shared" si="4"/>
        <v>61775.274740464774</v>
      </c>
      <c r="S194" s="11" t="str">
        <f t="shared" si="5"/>
        <v>Helston MB</v>
      </c>
      <c r="T194" s="11" t="s">
        <v>5211</v>
      </c>
      <c r="V194" s="11" t="str">
        <f>INDEX('Lookup 1961'!$A$2:$A$1300, MATCH(S194, 'Lookup 1961'!$B$2:$B$1300,0))</f>
        <v>J04000602</v>
      </c>
      <c r="W194" s="11" t="str">
        <f>INDEX('Lookup 1961'!$F$2:$F$1300, MATCH(S194, 'Lookup 1961'!$B$2:$B$1300,0))</f>
        <v>e060125</v>
      </c>
      <c r="X194" s="11" t="str">
        <f>INDEX('Lookup 1961'!$C$2:$C$1300, MATCH(V194, 'Lookup 1961'!$A$2:$A$1300,0))</f>
        <v>Cornwall And Isles Of Scilly</v>
      </c>
    </row>
    <row r="195" spans="1:24" ht="25.05" customHeight="1" x14ac:dyDescent="0.3">
      <c r="A195" s="2" t="s">
        <v>216</v>
      </c>
      <c r="B195" s="2" t="s">
        <v>982</v>
      </c>
      <c r="C195" s="1">
        <v>21</v>
      </c>
      <c r="D195" s="1">
        <v>8</v>
      </c>
      <c r="E195" s="1">
        <v>15</v>
      </c>
      <c r="F195" s="1">
        <v>6</v>
      </c>
      <c r="K195" s="1">
        <v>269</v>
      </c>
      <c r="L195" s="6">
        <v>67841</v>
      </c>
      <c r="M195" s="1">
        <v>51</v>
      </c>
      <c r="N195" s="1">
        <v>11</v>
      </c>
      <c r="O195" s="1">
        <v>2</v>
      </c>
      <c r="P195" s="1">
        <v>8.6</v>
      </c>
      <c r="Q195" s="11">
        <f>'Table H'!$J$33</f>
        <v>0.94343644130888948</v>
      </c>
      <c r="R195" s="11">
        <f t="shared" si="4"/>
        <v>64003.67161483637</v>
      </c>
      <c r="S195" s="11" t="str">
        <f t="shared" si="5"/>
        <v>Launceston MB</v>
      </c>
      <c r="T195" s="11" t="s">
        <v>5211</v>
      </c>
      <c r="V195" s="11" t="str">
        <f>INDEX('Lookup 1961'!$A$2:$A$1300, MATCH(S195, 'Lookup 1961'!$B$2:$B$1300,0))</f>
        <v>J04000722</v>
      </c>
      <c r="W195" s="11" t="str">
        <f>INDEX('Lookup 1961'!$F$2:$F$1300, MATCH(S195, 'Lookup 1961'!$B$2:$B$1300,0))</f>
        <v>e060126</v>
      </c>
      <c r="X195" s="11" t="str">
        <f>INDEX('Lookup 1961'!$C$2:$C$1300, MATCH(V195, 'Lookup 1961'!$A$2:$A$1300,0))</f>
        <v>Cornwall And Isles Of Scilly</v>
      </c>
    </row>
    <row r="196" spans="1:24" ht="25.05" customHeight="1" x14ac:dyDescent="0.3">
      <c r="A196" s="2" t="s">
        <v>217</v>
      </c>
      <c r="B196" s="2" t="s">
        <v>217</v>
      </c>
      <c r="C196" s="1">
        <v>22</v>
      </c>
      <c r="D196" s="1">
        <v>8</v>
      </c>
      <c r="E196" s="1">
        <v>15</v>
      </c>
      <c r="F196" s="1">
        <v>6</v>
      </c>
      <c r="K196" s="1">
        <v>230</v>
      </c>
      <c r="L196" s="6">
        <v>59667</v>
      </c>
      <c r="M196" s="1">
        <v>68.900000000000006</v>
      </c>
      <c r="N196" s="1">
        <v>10</v>
      </c>
      <c r="O196" s="1">
        <v>12</v>
      </c>
      <c r="P196" s="1">
        <v>15.1</v>
      </c>
      <c r="Q196" s="11">
        <f>'Table H'!$J$33</f>
        <v>0.94343644130888948</v>
      </c>
      <c r="R196" s="11">
        <f t="shared" ref="R196:R259" si="6">Q196*L196</f>
        <v>56292.022143577509</v>
      </c>
      <c r="S196" s="11" t="str">
        <f t="shared" si="5"/>
        <v>Liskeard MB</v>
      </c>
      <c r="T196" s="11" t="s">
        <v>5211</v>
      </c>
      <c r="V196" s="11" t="str">
        <f>INDEX('Lookup 1961'!$A$2:$A$1300, MATCH(S196, 'Lookup 1961'!$B$2:$B$1300,0))</f>
        <v>J04000748</v>
      </c>
      <c r="W196" s="11" t="str">
        <f>INDEX('Lookup 1961'!$F$2:$F$1300, MATCH(S196, 'Lookup 1961'!$B$2:$B$1300,0))</f>
        <v>e060127</v>
      </c>
      <c r="X196" s="11" t="str">
        <f>INDEX('Lookup 1961'!$C$2:$C$1300, MATCH(V196, 'Lookup 1961'!$A$2:$A$1300,0))</f>
        <v>Cornwall And Isles Of Scilly</v>
      </c>
    </row>
    <row r="197" spans="1:24" ht="25.05" customHeight="1" x14ac:dyDescent="0.3">
      <c r="A197" s="2" t="s">
        <v>218</v>
      </c>
      <c r="B197" s="2" t="s">
        <v>218</v>
      </c>
      <c r="C197" s="1">
        <v>23</v>
      </c>
      <c r="D197" s="1">
        <v>0</v>
      </c>
      <c r="E197" s="1">
        <v>16</v>
      </c>
      <c r="F197" s="1">
        <v>0</v>
      </c>
      <c r="K197" s="1">
        <v>68</v>
      </c>
      <c r="L197" s="6">
        <v>17488</v>
      </c>
      <c r="M197" s="1">
        <v>75.7</v>
      </c>
      <c r="N197" s="1">
        <v>6</v>
      </c>
      <c r="O197" s="1">
        <v>14</v>
      </c>
      <c r="P197" s="1">
        <v>20.9</v>
      </c>
      <c r="Q197" s="11">
        <f>'Table H'!$J$33</f>
        <v>0.94343644130888948</v>
      </c>
      <c r="R197" s="11">
        <f t="shared" si="6"/>
        <v>16498.816485609859</v>
      </c>
      <c r="S197" s="11" t="str">
        <f t="shared" ref="S197:S260" si="7">_xlfn.CONCAT(B197," ",T197)</f>
        <v>Lostwithiel MB</v>
      </c>
      <c r="T197" s="11" t="s">
        <v>5211</v>
      </c>
      <c r="V197" s="11" t="str">
        <f>INDEX('Lookup 1961'!$A$2:$A$1300, MATCH(S197, 'Lookup 1961'!$B$2:$B$1300,0))</f>
        <v>J04000781</v>
      </c>
      <c r="W197" s="11" t="str">
        <f>INDEX('Lookup 1961'!$F$2:$F$1300, MATCH(S197, 'Lookup 1961'!$B$2:$B$1300,0))</f>
        <v>e060142</v>
      </c>
      <c r="X197" s="11" t="str">
        <f>INDEX('Lookup 1961'!$C$2:$C$1300, MATCH(V197, 'Lookup 1961'!$A$2:$A$1300,0))</f>
        <v>Cornwall And Isles Of Scilly</v>
      </c>
    </row>
    <row r="198" spans="1:24" ht="25.05" customHeight="1" x14ac:dyDescent="0.3">
      <c r="A198" s="2" t="s">
        <v>219</v>
      </c>
      <c r="B198" s="2" t="s">
        <v>219</v>
      </c>
      <c r="C198" s="1">
        <v>24</v>
      </c>
      <c r="D198" s="1">
        <v>0</v>
      </c>
      <c r="E198" s="1">
        <v>16</v>
      </c>
      <c r="F198" s="1">
        <v>0</v>
      </c>
      <c r="K198" s="1">
        <v>155</v>
      </c>
      <c r="L198" s="6">
        <v>40375</v>
      </c>
      <c r="M198" s="1">
        <v>81.5</v>
      </c>
      <c r="N198" s="1">
        <v>7</v>
      </c>
      <c r="O198" s="1">
        <v>0</v>
      </c>
      <c r="P198" s="1">
        <v>18.399999999999999</v>
      </c>
      <c r="Q198" s="11">
        <f>'Table H'!$J$33</f>
        <v>0.94343644130888948</v>
      </c>
      <c r="R198" s="11">
        <f t="shared" si="6"/>
        <v>38091.24631784641</v>
      </c>
      <c r="S198" s="11" t="str">
        <f t="shared" si="7"/>
        <v>Penryn MB</v>
      </c>
      <c r="T198" s="11" t="s">
        <v>5211</v>
      </c>
      <c r="V198" s="11" t="str">
        <f>INDEX('Lookup 1961'!$A$2:$A$1300, MATCH(S198, 'Lookup 1961'!$B$2:$B$1300,0))</f>
        <v>J04000983</v>
      </c>
      <c r="W198" s="11" t="str">
        <f>INDEX('Lookup 1961'!$F$2:$F$1300, MATCH(S198, 'Lookup 1961'!$B$2:$B$1300,0))</f>
        <v>e060130</v>
      </c>
      <c r="X198" s="11" t="str">
        <f>INDEX('Lookup 1961'!$C$2:$C$1300, MATCH(V198, 'Lookup 1961'!$A$2:$A$1300,0))</f>
        <v>Cornwall And Isles Of Scilly</v>
      </c>
    </row>
    <row r="199" spans="1:24" ht="25.05" customHeight="1" x14ac:dyDescent="0.3">
      <c r="A199" s="2" t="s">
        <v>220</v>
      </c>
      <c r="B199" s="2" t="s">
        <v>220</v>
      </c>
      <c r="C199" s="1">
        <v>25</v>
      </c>
      <c r="D199" s="1">
        <v>0</v>
      </c>
      <c r="E199" s="1">
        <v>17</v>
      </c>
      <c r="F199" s="1">
        <v>6</v>
      </c>
      <c r="K199" s="1">
        <v>978</v>
      </c>
      <c r="L199" s="6">
        <v>252645</v>
      </c>
      <c r="M199" s="1">
        <v>80.2</v>
      </c>
      <c r="N199" s="1">
        <v>10</v>
      </c>
      <c r="O199" s="1">
        <v>10</v>
      </c>
      <c r="P199" s="1">
        <v>22.3</v>
      </c>
      <c r="Q199" s="11">
        <f>'Table H'!$J$33</f>
        <v>0.94343644130888948</v>
      </c>
      <c r="R199" s="11">
        <f t="shared" si="6"/>
        <v>238354.49971448438</v>
      </c>
      <c r="S199" s="11" t="str">
        <f t="shared" si="7"/>
        <v>Penzance MB</v>
      </c>
      <c r="T199" s="11" t="s">
        <v>5211</v>
      </c>
      <c r="V199" s="11" t="str">
        <f>INDEX('Lookup 1961'!$A$2:$A$1300, MATCH(S199, 'Lookup 1961'!$B$2:$B$1300,0))</f>
        <v>J04000985</v>
      </c>
      <c r="W199" s="11" t="str">
        <f>INDEX('Lookup 1961'!$F$2:$F$1300, MATCH(S199, 'Lookup 1961'!$B$2:$B$1300,0))</f>
        <v>e060131</v>
      </c>
      <c r="X199" s="11" t="str">
        <f>INDEX('Lookup 1961'!$C$2:$C$1300, MATCH(V199, 'Lookup 1961'!$A$2:$A$1300,0))</f>
        <v>Cornwall And Isles Of Scilly</v>
      </c>
    </row>
    <row r="200" spans="1:24" ht="25.05" customHeight="1" x14ac:dyDescent="0.3">
      <c r="A200" s="2" t="s">
        <v>221</v>
      </c>
      <c r="B200" s="2" t="s">
        <v>221</v>
      </c>
      <c r="C200" s="1">
        <v>22</v>
      </c>
      <c r="D200" s="1">
        <v>2</v>
      </c>
      <c r="E200" s="1">
        <v>15</v>
      </c>
      <c r="F200" s="1">
        <v>6</v>
      </c>
      <c r="K200" s="1">
        <v>530</v>
      </c>
      <c r="L200" s="6">
        <v>134140</v>
      </c>
      <c r="M200" s="1">
        <v>51.4</v>
      </c>
      <c r="N200" s="1">
        <v>11</v>
      </c>
      <c r="O200" s="1">
        <v>16</v>
      </c>
      <c r="P200" s="1">
        <v>3.1</v>
      </c>
      <c r="Q200" s="11">
        <f>'Table H'!$J$33</f>
        <v>0.94343644130888948</v>
      </c>
      <c r="R200" s="11">
        <f t="shared" si="6"/>
        <v>126552.56423717443</v>
      </c>
      <c r="S200" s="11" t="str">
        <f t="shared" si="7"/>
        <v>St. Ives MB</v>
      </c>
      <c r="T200" s="11" t="s">
        <v>5211</v>
      </c>
      <c r="V200" s="11" t="s">
        <v>1715</v>
      </c>
      <c r="W200" s="11" t="s">
        <v>1716</v>
      </c>
      <c r="X200" s="11" t="str">
        <f>INDEX('Lookup 1961'!$C$2:$C$1300, MATCH(V200, 'Lookup 1961'!$A$2:$A$1300,0))</f>
        <v>Cornwall And Isles Of Scilly</v>
      </c>
    </row>
    <row r="201" spans="1:24" ht="25.05" customHeight="1" x14ac:dyDescent="0.3">
      <c r="A201" s="2" t="s">
        <v>222</v>
      </c>
      <c r="B201" s="2" t="s">
        <v>222</v>
      </c>
      <c r="C201" s="1">
        <v>20</v>
      </c>
      <c r="D201" s="1">
        <v>4</v>
      </c>
      <c r="E201" s="1">
        <v>14</v>
      </c>
      <c r="F201" s="1">
        <v>10</v>
      </c>
      <c r="K201" s="1">
        <v>332</v>
      </c>
      <c r="L201" s="6">
        <v>81562</v>
      </c>
      <c r="M201" s="1">
        <v>45.4</v>
      </c>
      <c r="N201" s="1">
        <v>7</v>
      </c>
      <c r="O201" s="1">
        <v>19</v>
      </c>
      <c r="P201" s="1">
        <v>6.4</v>
      </c>
      <c r="Q201" s="11">
        <f>'Table H'!$J$33</f>
        <v>0.94343644130888948</v>
      </c>
      <c r="R201" s="11">
        <f t="shared" si="6"/>
        <v>76948.563026035641</v>
      </c>
      <c r="S201" s="11" t="str">
        <f t="shared" si="7"/>
        <v>Saltash MB</v>
      </c>
      <c r="T201" s="11" t="s">
        <v>5211</v>
      </c>
      <c r="V201" s="11" t="str">
        <f>INDEX('Lookup 1961'!$A$2:$A$1300, MATCH(S201, 'Lookup 1961'!$B$2:$B$1300,0))</f>
        <v>J04001097</v>
      </c>
      <c r="W201" s="11" t="str">
        <f>INDEX('Lookup 1961'!$F$2:$F$1300, MATCH(S201, 'Lookup 1961'!$B$2:$B$1300,0))</f>
        <v>e060135</v>
      </c>
      <c r="X201" s="11" t="str">
        <f>INDEX('Lookup 1961'!$C$2:$C$1300, MATCH(V201, 'Lookup 1961'!$A$2:$A$1300,0))</f>
        <v>Cornwall And Isles Of Scilly</v>
      </c>
    </row>
    <row r="202" spans="1:24" ht="25.05" customHeight="1" x14ac:dyDescent="0.3">
      <c r="A202" s="2" t="s">
        <v>223</v>
      </c>
      <c r="B202" s="2" t="s">
        <v>223</v>
      </c>
      <c r="C202" s="1">
        <v>26</v>
      </c>
      <c r="D202" s="1">
        <v>8</v>
      </c>
      <c r="E202" s="1">
        <v>17</v>
      </c>
      <c r="F202" s="1">
        <v>0</v>
      </c>
      <c r="K202" s="1">
        <v>760</v>
      </c>
      <c r="L202" s="6">
        <v>204086</v>
      </c>
      <c r="M202" s="1">
        <v>119.2</v>
      </c>
      <c r="N202" s="1">
        <v>12</v>
      </c>
      <c r="O202" s="1">
        <v>3</v>
      </c>
      <c r="P202" s="1">
        <v>37.200000000000003</v>
      </c>
      <c r="Q202" s="11">
        <f>'Table H'!$J$33</f>
        <v>0.94343644130888948</v>
      </c>
      <c r="R202" s="11">
        <f t="shared" si="6"/>
        <v>192542.16956096602</v>
      </c>
      <c r="S202" s="11" t="str">
        <f t="shared" si="7"/>
        <v>Truro MB</v>
      </c>
      <c r="T202" s="11" t="s">
        <v>5211</v>
      </c>
      <c r="V202" s="11" t="s">
        <v>1729</v>
      </c>
      <c r="W202" t="s">
        <v>1731</v>
      </c>
      <c r="X202" s="11" t="str">
        <f>INDEX('Lookup 1961'!$C$2:$C$1300, MATCH(V202, 'Lookup 1961'!$A$2:$A$1300,0))</f>
        <v>Cornwall And Isles Of Scilly</v>
      </c>
    </row>
    <row r="203" spans="1:24" ht="25.05" customHeight="1" x14ac:dyDescent="0.3">
      <c r="A203" s="2" t="s">
        <v>150</v>
      </c>
      <c r="B203" s="2" t="s">
        <v>1221</v>
      </c>
      <c r="S203" s="11" t="str">
        <f t="shared" si="7"/>
        <v xml:space="preserve">Urban Districts  </v>
      </c>
      <c r="V203" s="11" t="e">
        <f>INDEX('Lookup 1961'!$A$2:$A$1300, MATCH(S203, 'Lookup 1961'!$B$2:$B$1300,0))</f>
        <v>#N/A</v>
      </c>
      <c r="W203" s="11" t="e">
        <f>INDEX('Lookup 1961'!$F$2:$F$1300, MATCH(S203, 'Lookup 1961'!$B$2:$B$1300,0))</f>
        <v>#N/A</v>
      </c>
      <c r="X203" s="11" t="e">
        <f>INDEX('Lookup 1961'!$C$2:$C$1300, MATCH(V203, 'Lookup 1961'!$A$2:$A$1300,0))</f>
        <v>#N/A</v>
      </c>
    </row>
    <row r="204" spans="1:24" ht="25.05" customHeight="1" x14ac:dyDescent="0.3">
      <c r="A204" s="2" t="s">
        <v>224</v>
      </c>
      <c r="B204" s="2" t="s">
        <v>5249</v>
      </c>
      <c r="C204" s="1">
        <v>23</v>
      </c>
      <c r="D204" s="1">
        <v>6</v>
      </c>
      <c r="E204" s="1">
        <v>16</v>
      </c>
      <c r="F204" s="1">
        <v>10</v>
      </c>
      <c r="K204" s="1">
        <v>329</v>
      </c>
      <c r="L204" s="6">
        <v>82201</v>
      </c>
      <c r="M204" s="1">
        <v>58</v>
      </c>
      <c r="N204" s="1">
        <v>12</v>
      </c>
      <c r="O204" s="1">
        <v>14</v>
      </c>
      <c r="P204" s="1">
        <v>10</v>
      </c>
      <c r="Q204" s="11">
        <f>'Table H'!$J$34</f>
        <v>0.93666901247332002</v>
      </c>
      <c r="R204" s="11">
        <f t="shared" si="6"/>
        <v>76995.129494319379</v>
      </c>
      <c r="S204" s="11" t="str">
        <f t="shared" si="7"/>
        <v>Bude-Stratton UD</v>
      </c>
      <c r="T204" s="11" t="s">
        <v>5214</v>
      </c>
      <c r="V204" s="11" t="str">
        <f>INDEX('Lookup 1961'!$A$2:$A$1300, MATCH(S204, 'Lookup 1961'!$B$2:$B$1300,0))</f>
        <v>J04000230</v>
      </c>
      <c r="W204" s="11" t="str">
        <f>INDEX('Lookup 1961'!$F$2:$F$1300, MATCH(S204, 'Lookup 1961'!$B$2:$B$1300,0))</f>
        <v>e060122</v>
      </c>
      <c r="X204" s="11" t="str">
        <f>INDEX('Lookup 1961'!$C$2:$C$1300, MATCH(V204, 'Lookup 1961'!$A$2:$A$1300,0))</f>
        <v>Cornwall And Isles Of Scilly</v>
      </c>
    </row>
    <row r="205" spans="1:24" ht="25.05" customHeight="1" x14ac:dyDescent="0.3">
      <c r="A205" s="2" t="s">
        <v>225</v>
      </c>
      <c r="B205" s="2" t="s">
        <v>225</v>
      </c>
      <c r="C205" s="1">
        <v>26</v>
      </c>
      <c r="D205" s="1">
        <v>0</v>
      </c>
      <c r="E205" s="1">
        <v>17</v>
      </c>
      <c r="F205" s="1">
        <v>0</v>
      </c>
      <c r="K205" s="6">
        <v>1114</v>
      </c>
      <c r="L205" s="6">
        <v>291269</v>
      </c>
      <c r="M205" s="1">
        <v>89.8</v>
      </c>
      <c r="N205" s="1">
        <v>6</v>
      </c>
      <c r="O205" s="1">
        <v>15</v>
      </c>
      <c r="P205" s="1">
        <v>22.4</v>
      </c>
      <c r="Q205" s="11">
        <f>'Table H'!$J$34</f>
        <v>0.93666901247332002</v>
      </c>
      <c r="R205" s="11">
        <f t="shared" si="6"/>
        <v>272822.64659409143</v>
      </c>
      <c r="S205" s="11" t="str">
        <f t="shared" si="7"/>
        <v>Camborne-Redruth UD</v>
      </c>
      <c r="T205" s="11" t="s">
        <v>5214</v>
      </c>
      <c r="V205" s="11" t="str">
        <f>INDEX('Lookup 1961'!$A$2:$A$1300, MATCH(S205, 'Lookup 1961'!$B$2:$B$1300,0))</f>
        <v>J04000255</v>
      </c>
      <c r="W205" s="11" t="str">
        <f>INDEX('Lookup 1961'!$F$2:$F$1300, MATCH(S205, 'Lookup 1961'!$B$2:$B$1300,0))</f>
        <v>e060123</v>
      </c>
      <c r="X205" s="11" t="str">
        <f>INDEX('Lookup 1961'!$C$2:$C$1300, MATCH(V205, 'Lookup 1961'!$A$2:$A$1300,0))</f>
        <v>Cornwall And Isles Of Scilly</v>
      </c>
    </row>
    <row r="206" spans="1:24" ht="25.05" customHeight="1" x14ac:dyDescent="0.3">
      <c r="A206" s="2" t="s">
        <v>226</v>
      </c>
      <c r="B206" s="2" t="s">
        <v>226</v>
      </c>
      <c r="C206" s="1">
        <v>21</v>
      </c>
      <c r="D206" s="1">
        <v>6</v>
      </c>
      <c r="E206" s="1">
        <v>14</v>
      </c>
      <c r="F206" s="1">
        <v>6</v>
      </c>
      <c r="K206" s="1">
        <v>276</v>
      </c>
      <c r="L206" s="6">
        <v>71478</v>
      </c>
      <c r="M206" s="1">
        <v>65.3</v>
      </c>
      <c r="N206" s="1">
        <v>13</v>
      </c>
      <c r="O206" s="1">
        <v>17</v>
      </c>
      <c r="P206" s="1">
        <v>15.1</v>
      </c>
      <c r="Q206" s="11">
        <f>'Table H'!$J$34</f>
        <v>0.93666901247332002</v>
      </c>
      <c r="R206" s="11">
        <f t="shared" si="6"/>
        <v>66951.227673567962</v>
      </c>
      <c r="S206" s="11" t="str">
        <f t="shared" si="7"/>
        <v>Looe UD</v>
      </c>
      <c r="T206" s="11" t="s">
        <v>5214</v>
      </c>
      <c r="V206" s="11" t="str">
        <f>INDEX('Lookup 1961'!$A$2:$A$1300, MATCH(S206, 'Lookup 1961'!$B$2:$B$1300,0))</f>
        <v>J04000780</v>
      </c>
      <c r="W206" s="11" t="str">
        <f>INDEX('Lookup 1961'!$F$2:$F$1300, MATCH(S206, 'Lookup 1961'!$B$2:$B$1300,0))</f>
        <v>e060128</v>
      </c>
      <c r="X206" s="11" t="str">
        <f>INDEX('Lookup 1961'!$C$2:$C$1300, MATCH(V206, 'Lookup 1961'!$A$2:$A$1300,0))</f>
        <v>Cornwall And Isles Of Scilly</v>
      </c>
    </row>
    <row r="207" spans="1:24" ht="25.05" customHeight="1" x14ac:dyDescent="0.3">
      <c r="A207" s="2" t="s">
        <v>227</v>
      </c>
      <c r="B207" s="2" t="s">
        <v>227</v>
      </c>
      <c r="C207" s="1">
        <v>24</v>
      </c>
      <c r="D207" s="1">
        <v>8</v>
      </c>
      <c r="E207" s="1">
        <v>17</v>
      </c>
      <c r="F207" s="1">
        <v>0</v>
      </c>
      <c r="K207" s="6">
        <v>1008</v>
      </c>
      <c r="L207" s="6">
        <v>252392</v>
      </c>
      <c r="M207" s="1">
        <v>90.5</v>
      </c>
      <c r="N207" s="1">
        <v>21</v>
      </c>
      <c r="O207" s="1">
        <v>3</v>
      </c>
      <c r="P207" s="1">
        <v>30.5</v>
      </c>
      <c r="Q207" s="11">
        <f>'Table H'!$J$34</f>
        <v>0.93666901247332002</v>
      </c>
      <c r="R207" s="11">
        <f t="shared" si="6"/>
        <v>236407.76539616619</v>
      </c>
      <c r="S207" s="11" t="str">
        <f t="shared" si="7"/>
        <v>Newquay UD</v>
      </c>
      <c r="T207" s="11" t="s">
        <v>5214</v>
      </c>
      <c r="V207" s="11" t="str">
        <f>INDEX('Lookup 1961'!$A$2:$A$1300, MATCH(S207, 'Lookup 1961'!$B$2:$B$1300,0))</f>
        <v>J04000912</v>
      </c>
      <c r="W207" s="11" t="str">
        <f>INDEX('Lookup 1961'!$F$2:$F$1300, MATCH(S207, 'Lookup 1961'!$B$2:$B$1300,0))</f>
        <v>e060129</v>
      </c>
      <c r="X207" s="11" t="str">
        <f>INDEX('Lookup 1961'!$C$2:$C$1300, MATCH(V207, 'Lookup 1961'!$A$2:$A$1300,0))</f>
        <v>Cornwall And Isles Of Scilly</v>
      </c>
    </row>
    <row r="208" spans="1:24" ht="25.05" customHeight="1" x14ac:dyDescent="0.3">
      <c r="A208" s="2" t="s">
        <v>228</v>
      </c>
      <c r="B208" s="2" t="s">
        <v>228</v>
      </c>
      <c r="C208" s="1">
        <v>23</v>
      </c>
      <c r="D208" s="1">
        <v>0</v>
      </c>
      <c r="E208" s="1">
        <v>17</v>
      </c>
      <c r="F208" s="1">
        <v>0</v>
      </c>
      <c r="K208" s="1">
        <v>124</v>
      </c>
      <c r="L208" s="6">
        <v>31485</v>
      </c>
      <c r="M208" s="1">
        <v>35.1</v>
      </c>
      <c r="N208" s="1">
        <v>9</v>
      </c>
      <c r="O208" s="1">
        <v>1</v>
      </c>
      <c r="P208" s="1">
        <v>-2.2000000000000002</v>
      </c>
      <c r="Q208" s="11">
        <f>'Table H'!$J$34</f>
        <v>0.93666901247332002</v>
      </c>
      <c r="R208" s="11">
        <f t="shared" si="6"/>
        <v>29491.023857722481</v>
      </c>
      <c r="S208" s="11" t="str">
        <f t="shared" si="7"/>
        <v>Padstow UD</v>
      </c>
      <c r="T208" s="11" t="s">
        <v>5214</v>
      </c>
      <c r="V208" s="11" t="str">
        <f>INDEX('Lookup 1961'!$A$2:$A$1300, MATCH(S208, 'Lookup 1961'!$B$2:$B$1300,0))</f>
        <v>J04000970</v>
      </c>
      <c r="W208" s="11" t="str">
        <f>INDEX('Lookup 1961'!$F$2:$F$1300, MATCH(S208, 'Lookup 1961'!$B$2:$B$1300,0))</f>
        <v>e060146</v>
      </c>
      <c r="X208" s="11" t="str">
        <f>INDEX('Lookup 1961'!$C$2:$C$1300, MATCH(V208, 'Lookup 1961'!$A$2:$A$1300,0))</f>
        <v>Cornwall And Isles Of Scilly</v>
      </c>
    </row>
    <row r="209" spans="1:24" ht="25.05" customHeight="1" x14ac:dyDescent="0.3">
      <c r="A209" s="2" t="s">
        <v>229</v>
      </c>
      <c r="B209" s="2" t="s">
        <v>229</v>
      </c>
      <c r="C209" s="1">
        <v>24</v>
      </c>
      <c r="D209" s="1">
        <v>4</v>
      </c>
      <c r="E209" s="1">
        <v>17</v>
      </c>
      <c r="F209" s="1">
        <v>4</v>
      </c>
      <c r="K209" s="1">
        <v>904</v>
      </c>
      <c r="L209" s="6">
        <v>232529</v>
      </c>
      <c r="M209" s="1">
        <v>75.099999999999994</v>
      </c>
      <c r="N209" s="1">
        <v>8</v>
      </c>
      <c r="O209" s="1">
        <v>10</v>
      </c>
      <c r="P209" s="1">
        <v>32.6</v>
      </c>
      <c r="Q209" s="11">
        <f>'Table H'!$J$34</f>
        <v>0.93666901247332002</v>
      </c>
      <c r="R209" s="11">
        <f t="shared" si="6"/>
        <v>217802.70880140862</v>
      </c>
      <c r="S209" s="11" t="str">
        <f t="shared" si="7"/>
        <v>St. Austell UD</v>
      </c>
      <c r="T209" s="11" t="s">
        <v>5214</v>
      </c>
      <c r="V209" s="11" t="str">
        <f>INDEX('Lookup 1961'!$A$2:$A$1300, MATCH(S209, 'Lookup 1961'!$B$2:$B$1300,0))</f>
        <v>J04001183</v>
      </c>
      <c r="W209" s="11" t="str">
        <f>INDEX('Lookup 1961'!$F$2:$F$1300, MATCH(S209, 'Lookup 1961'!$B$2:$B$1300,0))</f>
        <v>e060132</v>
      </c>
      <c r="X209" s="11" t="str">
        <f>INDEX('Lookup 1961'!$C$2:$C$1300, MATCH(V209, 'Lookup 1961'!$A$2:$A$1300,0))</f>
        <v>Cornwall And Isles Of Scilly</v>
      </c>
    </row>
    <row r="210" spans="1:24" ht="25.05" customHeight="1" x14ac:dyDescent="0.3">
      <c r="A210" s="2" t="s">
        <v>230</v>
      </c>
      <c r="B210" s="2" t="s">
        <v>230</v>
      </c>
      <c r="C210" s="1">
        <v>26</v>
      </c>
      <c r="D210" s="1">
        <v>6</v>
      </c>
      <c r="E210" s="1">
        <v>18</v>
      </c>
      <c r="F210" s="1">
        <v>0</v>
      </c>
      <c r="K210" s="1">
        <v>90</v>
      </c>
      <c r="L210" s="6">
        <v>23355</v>
      </c>
      <c r="M210" s="1">
        <v>87.5</v>
      </c>
      <c r="N210" s="1">
        <v>5</v>
      </c>
      <c r="O210" s="1">
        <v>0</v>
      </c>
      <c r="P210" s="1">
        <v>26.4</v>
      </c>
      <c r="Q210" s="11">
        <f>'Table H'!$J$34</f>
        <v>0.93666901247332002</v>
      </c>
      <c r="R210" s="11">
        <f t="shared" si="6"/>
        <v>21875.90478631439</v>
      </c>
      <c r="S210" s="11" t="str">
        <f t="shared" si="7"/>
        <v>St. Just UD</v>
      </c>
      <c r="T210" s="11" t="s">
        <v>5214</v>
      </c>
      <c r="V210" s="11" t="str">
        <f>INDEX('Lookup 1961'!$A$2:$A$1300, MATCH(S210, 'Lookup 1961'!$B$2:$B$1300,0))</f>
        <v>J04001190</v>
      </c>
      <c r="W210" s="11" t="str">
        <f>INDEX('Lookup 1961'!$F$2:$F$1300, MATCH(S210, 'Lookup 1961'!$B$2:$B$1300,0))</f>
        <v>e060134</v>
      </c>
      <c r="X210" s="11" t="str">
        <f>INDEX('Lookup 1961'!$C$2:$C$1300, MATCH(V210, 'Lookup 1961'!$A$2:$A$1300,0))</f>
        <v>Cornwall And Isles Of Scilly</v>
      </c>
    </row>
    <row r="211" spans="1:24" ht="25.05" customHeight="1" x14ac:dyDescent="0.3">
      <c r="A211" s="2" t="s">
        <v>231</v>
      </c>
      <c r="B211" s="2" t="s">
        <v>231</v>
      </c>
      <c r="C211" s="1">
        <v>21</v>
      </c>
      <c r="D211" s="1">
        <v>4</v>
      </c>
      <c r="E211" s="1">
        <v>15</v>
      </c>
      <c r="F211" s="1">
        <v>6</v>
      </c>
      <c r="K211" s="1">
        <v>210</v>
      </c>
      <c r="L211" s="6">
        <v>51182</v>
      </c>
      <c r="M211" s="1">
        <v>27.7</v>
      </c>
      <c r="N211" s="1">
        <v>7</v>
      </c>
      <c r="O211" s="1">
        <v>7</v>
      </c>
      <c r="P211" s="1">
        <v>6.2</v>
      </c>
      <c r="Q211" s="11">
        <f>'Table H'!$J$34</f>
        <v>0.93666901247332002</v>
      </c>
      <c r="R211" s="11">
        <f t="shared" si="6"/>
        <v>47940.593396409466</v>
      </c>
      <c r="S211" s="11" t="str">
        <f t="shared" si="7"/>
        <v>Torpoint UD</v>
      </c>
      <c r="T211" s="11" t="s">
        <v>5214</v>
      </c>
      <c r="V211" s="11" t="str">
        <f>INDEX('Lookup 1961'!$A$2:$A$1300, MATCH(S211, 'Lookup 1961'!$B$2:$B$1300,0))</f>
        <v>J04001284</v>
      </c>
      <c r="W211" s="11" t="str">
        <f>INDEX('Lookup 1961'!$F$2:$F$1300, MATCH(S211, 'Lookup 1961'!$B$2:$B$1300,0))</f>
        <v>e060136</v>
      </c>
      <c r="X211" s="11" t="str">
        <f>INDEX('Lookup 1961'!$C$2:$C$1300, MATCH(V211, 'Lookup 1961'!$A$2:$A$1300,0))</f>
        <v>Cornwall And Isles Of Scilly</v>
      </c>
    </row>
    <row r="212" spans="1:24" ht="25.05" customHeight="1" x14ac:dyDescent="0.3">
      <c r="A212" s="2" t="s">
        <v>232</v>
      </c>
      <c r="B212" s="2" t="s">
        <v>232</v>
      </c>
      <c r="S212" s="11" t="str">
        <f t="shared" si="7"/>
        <v xml:space="preserve">CUMBERLAND: </v>
      </c>
      <c r="V212" s="11" t="e">
        <f>INDEX('Lookup 1961'!$A$2:$A$1300, MATCH(S212, 'Lookup 1961'!$B$2:$B$1300,0))</f>
        <v>#N/A</v>
      </c>
      <c r="W212" s="11" t="e">
        <f>INDEX('Lookup 1961'!$F$2:$F$1300, MATCH(S212, 'Lookup 1961'!$B$2:$B$1300,0))</f>
        <v>#N/A</v>
      </c>
      <c r="X212" s="11" t="e">
        <f>INDEX('Lookup 1961'!$C$2:$C$1300, MATCH(V212, 'Lookup 1961'!$A$2:$A$1300,0))</f>
        <v>#N/A</v>
      </c>
    </row>
    <row r="213" spans="1:24" ht="25.05" customHeight="1" x14ac:dyDescent="0.3">
      <c r="A213" s="2" t="s">
        <v>146</v>
      </c>
      <c r="B213" s="2" t="s">
        <v>5257</v>
      </c>
      <c r="S213" s="11" t="str">
        <f t="shared" si="7"/>
        <v xml:space="preserve">Non County Boroughs  </v>
      </c>
      <c r="V213" s="11" t="e">
        <f>INDEX('Lookup 1961'!$A$2:$A$1300, MATCH(S213, 'Lookup 1961'!$B$2:$B$1300,0))</f>
        <v>#N/A</v>
      </c>
      <c r="W213" s="11" t="e">
        <f>INDEX('Lookup 1961'!$F$2:$F$1300, MATCH(S213, 'Lookup 1961'!$B$2:$B$1300,0))</f>
        <v>#N/A</v>
      </c>
      <c r="X213" s="11" t="e">
        <f>INDEX('Lookup 1961'!$C$2:$C$1300, MATCH(V213, 'Lookup 1961'!$A$2:$A$1300,0))</f>
        <v>#N/A</v>
      </c>
    </row>
    <row r="214" spans="1:24" ht="25.05" customHeight="1" x14ac:dyDescent="0.3">
      <c r="A214" s="2" t="s">
        <v>233</v>
      </c>
      <c r="B214" s="2" t="s">
        <v>233</v>
      </c>
      <c r="C214" s="1">
        <v>27</v>
      </c>
      <c r="D214" s="1">
        <v>6</v>
      </c>
      <c r="E214" s="1">
        <v>21</v>
      </c>
      <c r="F214" s="1">
        <v>3</v>
      </c>
      <c r="K214" s="1">
        <v>820</v>
      </c>
      <c r="L214" s="6">
        <v>227723</v>
      </c>
      <c r="M214" s="1">
        <v>63.4</v>
      </c>
      <c r="N214" s="1">
        <v>8</v>
      </c>
      <c r="O214" s="1">
        <v>18</v>
      </c>
      <c r="P214" s="1">
        <v>24.7</v>
      </c>
      <c r="Q214" s="11">
        <f>'Table H'!$J$38</f>
        <v>0.83805590498564941</v>
      </c>
      <c r="R214" s="11">
        <f t="shared" si="6"/>
        <v>190844.60485104704</v>
      </c>
      <c r="S214" s="11" t="str">
        <f t="shared" si="7"/>
        <v>Whitehaven MB</v>
      </c>
      <c r="T214" s="11" t="s">
        <v>5211</v>
      </c>
      <c r="V214" s="11" t="str">
        <f>INDEX('Lookup 1961'!$A$2:$A$1300, MATCH(S214, 'Lookup 1961'!$B$2:$B$1300,0))</f>
        <v>J04001403</v>
      </c>
      <c r="W214" s="11" t="str">
        <f>INDEX('Lookup 1961'!$F$2:$F$1300, MATCH(S214, 'Lookup 1961'!$B$2:$B$1300,0))</f>
        <v>e070154</v>
      </c>
      <c r="X214" s="11" t="str">
        <f>INDEX('Lookup 1961'!$C$2:$C$1300, MATCH(V214, 'Lookup 1961'!$A$2:$A$1300,0))</f>
        <v>Cumbria</v>
      </c>
    </row>
    <row r="215" spans="1:24" ht="25.05" customHeight="1" x14ac:dyDescent="0.3">
      <c r="A215" s="2" t="s">
        <v>234</v>
      </c>
      <c r="B215" s="2" t="s">
        <v>234</v>
      </c>
      <c r="C215" s="1">
        <v>28</v>
      </c>
      <c r="D215" s="1">
        <v>0</v>
      </c>
      <c r="E215" s="1">
        <v>20</v>
      </c>
      <c r="F215" s="1">
        <v>6</v>
      </c>
      <c r="K215" s="6">
        <v>1150</v>
      </c>
      <c r="L215" s="6">
        <v>294556</v>
      </c>
      <c r="M215" s="1">
        <v>81.099999999999994</v>
      </c>
      <c r="N215" s="1">
        <v>9</v>
      </c>
      <c r="O215" s="1">
        <v>19</v>
      </c>
      <c r="P215" s="1">
        <v>36.299999999999997</v>
      </c>
      <c r="Q215" s="11">
        <f>'Table H'!$J$38</f>
        <v>0.83805590498564941</v>
      </c>
      <c r="R215" s="11">
        <f t="shared" si="6"/>
        <v>246854.39514895296</v>
      </c>
      <c r="S215" s="11" t="str">
        <f t="shared" si="7"/>
        <v>Workington MB</v>
      </c>
      <c r="T215" s="11" t="s">
        <v>5211</v>
      </c>
      <c r="V215" s="11" t="str">
        <f>INDEX('Lookup 1961'!$A$2:$A$1300, MATCH(S215, 'Lookup 1961'!$B$2:$B$1300,0))</f>
        <v>J04001451</v>
      </c>
      <c r="W215" s="11" t="str">
        <f>INDEX('Lookup 1961'!$F$2:$F$1300, MATCH(S215, 'Lookup 1961'!$B$2:$B$1300,0))</f>
        <v>e070155</v>
      </c>
      <c r="X215" s="11" t="str">
        <f>INDEX('Lookup 1961'!$C$2:$C$1300, MATCH(V215, 'Lookup 1961'!$A$2:$A$1300,0))</f>
        <v>Cumbria</v>
      </c>
    </row>
    <row r="216" spans="1:24" ht="25.05" customHeight="1" x14ac:dyDescent="0.3">
      <c r="A216" s="2" t="s">
        <v>150</v>
      </c>
      <c r="B216" s="2" t="s">
        <v>1221</v>
      </c>
      <c r="S216" s="11" t="str">
        <f t="shared" si="7"/>
        <v xml:space="preserve">Urban Districts  </v>
      </c>
      <c r="V216" s="11" t="e">
        <f>INDEX('Lookup 1961'!$A$2:$A$1300, MATCH(S216, 'Lookup 1961'!$B$2:$B$1300,0))</f>
        <v>#N/A</v>
      </c>
      <c r="W216" s="11" t="e">
        <f>INDEX('Lookup 1961'!$F$2:$F$1300, MATCH(S216, 'Lookup 1961'!$B$2:$B$1300,0))</f>
        <v>#N/A</v>
      </c>
      <c r="X216" s="11" t="e">
        <f>INDEX('Lookup 1961'!$C$2:$C$1300, MATCH(V216, 'Lookup 1961'!$A$2:$A$1300,0))</f>
        <v>#N/A</v>
      </c>
    </row>
    <row r="217" spans="1:24" ht="25.05" customHeight="1" x14ac:dyDescent="0.3">
      <c r="A217" s="2" t="s">
        <v>235</v>
      </c>
      <c r="B217" s="2" t="s">
        <v>235</v>
      </c>
      <c r="C217" s="1">
        <v>26</v>
      </c>
      <c r="D217" s="1">
        <v>10</v>
      </c>
      <c r="E217" s="1">
        <v>20</v>
      </c>
      <c r="F217" s="1">
        <v>0</v>
      </c>
      <c r="K217" s="1">
        <v>173</v>
      </c>
      <c r="L217" s="6">
        <v>45677</v>
      </c>
      <c r="M217" s="1">
        <v>50.5</v>
      </c>
      <c r="N217" s="1">
        <v>8</v>
      </c>
      <c r="O217" s="1">
        <v>2</v>
      </c>
      <c r="P217" s="1">
        <v>7.5</v>
      </c>
      <c r="Q217" s="11">
        <f>'Table H'!$J$39</f>
        <v>0.95629746290640361</v>
      </c>
      <c r="R217" s="11">
        <f t="shared" si="6"/>
        <v>43680.7992131758</v>
      </c>
      <c r="S217" s="11" t="str">
        <f t="shared" si="7"/>
        <v>Cockermouth UD</v>
      </c>
      <c r="T217" s="11" t="s">
        <v>5214</v>
      </c>
      <c r="V217" s="11" t="str">
        <f>INDEX('Lookup 1961'!$A$2:$A$1300, MATCH(S217, 'Lookup 1961'!$B$2:$B$1300,0))</f>
        <v>J04000335</v>
      </c>
      <c r="W217" s="11" t="str">
        <f>INDEX('Lookup 1961'!$F$2:$F$1300, MATCH(S217, 'Lookup 1961'!$B$2:$B$1300,0))</f>
        <v>e070150</v>
      </c>
      <c r="X217" s="11" t="str">
        <f>INDEX('Lookup 1961'!$C$2:$C$1300, MATCH(V217, 'Lookup 1961'!$A$2:$A$1300,0))</f>
        <v>Cumbria</v>
      </c>
    </row>
    <row r="218" spans="1:24" ht="25.05" customHeight="1" x14ac:dyDescent="0.3">
      <c r="A218" s="2" t="s">
        <v>236</v>
      </c>
      <c r="B218" s="2" t="s">
        <v>236</v>
      </c>
      <c r="C218" s="1">
        <v>23</v>
      </c>
      <c r="D218" s="1">
        <v>4</v>
      </c>
      <c r="E218" s="1">
        <v>17</v>
      </c>
      <c r="F218" s="1">
        <v>8</v>
      </c>
      <c r="K218" s="1">
        <v>258</v>
      </c>
      <c r="L218" s="6">
        <v>64627</v>
      </c>
      <c r="M218" s="1">
        <v>66.8</v>
      </c>
      <c r="N218" s="1">
        <v>11</v>
      </c>
      <c r="O218" s="1">
        <v>18</v>
      </c>
      <c r="P218" s="1">
        <v>28.4</v>
      </c>
      <c r="Q218" s="11">
        <f>'Table H'!$J$39</f>
        <v>0.95629746290640361</v>
      </c>
      <c r="R218" s="11">
        <f t="shared" si="6"/>
        <v>61802.636135252149</v>
      </c>
      <c r="S218" s="11" t="str">
        <f t="shared" si="7"/>
        <v>Keswick UD</v>
      </c>
      <c r="T218" s="11" t="s">
        <v>5214</v>
      </c>
      <c r="V218" s="11" t="str">
        <f>INDEX('Lookup 1961'!$A$2:$A$1300, MATCH(S218, 'Lookup 1961'!$B$2:$B$1300,0))</f>
        <v>J04000686</v>
      </c>
      <c r="W218" s="11" t="str">
        <f>INDEX('Lookup 1961'!$F$2:$F$1300, MATCH(S218, 'Lookup 1961'!$B$2:$B$1300,0))</f>
        <v>e070151</v>
      </c>
      <c r="X218" s="11" t="str">
        <f>INDEX('Lookup 1961'!$C$2:$C$1300, MATCH(V218, 'Lookup 1961'!$A$2:$A$1300,0))</f>
        <v>Cumbria</v>
      </c>
    </row>
    <row r="219" spans="1:24" ht="25.05" customHeight="1" x14ac:dyDescent="0.3">
      <c r="A219" s="2" t="s">
        <v>237</v>
      </c>
      <c r="B219" s="2" t="s">
        <v>237</v>
      </c>
      <c r="C219" s="1">
        <v>27</v>
      </c>
      <c r="D219" s="1">
        <v>6</v>
      </c>
      <c r="E219" s="1">
        <v>21</v>
      </c>
      <c r="F219" s="1">
        <v>0</v>
      </c>
      <c r="K219" s="1">
        <v>324</v>
      </c>
      <c r="L219" s="6">
        <v>86449</v>
      </c>
      <c r="M219" s="1">
        <v>46.1</v>
      </c>
      <c r="N219" s="1">
        <v>6</v>
      </c>
      <c r="O219" s="1">
        <v>18</v>
      </c>
      <c r="P219" s="1">
        <v>11.5</v>
      </c>
      <c r="Q219" s="11">
        <f>'Table H'!$J$39</f>
        <v>0.95629746290640361</v>
      </c>
      <c r="R219" s="11">
        <f t="shared" si="6"/>
        <v>82670.959370795681</v>
      </c>
      <c r="S219" s="11" t="str">
        <f t="shared" si="7"/>
        <v>Maryport UD</v>
      </c>
      <c r="T219" s="11" t="s">
        <v>5214</v>
      </c>
      <c r="V219" s="11" t="str">
        <f>INDEX('Lookup 1961'!$A$2:$A$1300, MATCH(S219, 'Lookup 1961'!$B$2:$B$1300,0))</f>
        <v>J04000838</v>
      </c>
      <c r="W219" s="11" t="str">
        <f>INDEX('Lookup 1961'!$F$2:$F$1300, MATCH(S219, 'Lookup 1961'!$B$2:$B$1300,0))</f>
        <v>e070152</v>
      </c>
      <c r="X219" s="11" t="str">
        <f>INDEX('Lookup 1961'!$C$2:$C$1300, MATCH(V219, 'Lookup 1961'!$A$2:$A$1300,0))</f>
        <v>Cumbria</v>
      </c>
    </row>
    <row r="220" spans="1:24" ht="25.05" customHeight="1" x14ac:dyDescent="0.3">
      <c r="A220" s="2" t="s">
        <v>238</v>
      </c>
      <c r="B220" s="2" t="s">
        <v>238</v>
      </c>
      <c r="C220" s="1">
        <v>27</v>
      </c>
      <c r="D220" s="1">
        <v>0</v>
      </c>
      <c r="E220" s="1">
        <v>19</v>
      </c>
      <c r="F220" s="1">
        <v>2</v>
      </c>
      <c r="K220" s="1">
        <v>435</v>
      </c>
      <c r="L220" s="6">
        <v>116913</v>
      </c>
      <c r="M220" s="1">
        <v>63.2</v>
      </c>
      <c r="N220" s="1">
        <v>10</v>
      </c>
      <c r="O220" s="1">
        <v>6</v>
      </c>
      <c r="P220" s="1">
        <v>15.4</v>
      </c>
      <c r="Q220" s="11">
        <f>'Table H'!$J$39</f>
        <v>0.95629746290640361</v>
      </c>
      <c r="R220" s="11">
        <f t="shared" si="6"/>
        <v>111803.60528077636</v>
      </c>
      <c r="S220" s="11" t="str">
        <f t="shared" si="7"/>
        <v>Penrith UD</v>
      </c>
      <c r="T220" s="11" t="s">
        <v>5214</v>
      </c>
      <c r="V220" s="11" t="str">
        <f>INDEX('Lookup 1961'!$A$2:$A$1300, MATCH(S220, 'Lookup 1961'!$B$2:$B$1300,0))</f>
        <v>J04000982</v>
      </c>
      <c r="W220" s="11" t="str">
        <f>INDEX('Lookup 1961'!$F$2:$F$1300, MATCH(S220, 'Lookup 1961'!$B$2:$B$1300,0))</f>
        <v>e070153</v>
      </c>
      <c r="X220" s="11" t="str">
        <f>INDEX('Lookup 1961'!$C$2:$C$1300, MATCH(V220, 'Lookup 1961'!$A$2:$A$1300,0))</f>
        <v>Cumbria</v>
      </c>
    </row>
    <row r="221" spans="1:24" ht="25.05" customHeight="1" x14ac:dyDescent="0.3">
      <c r="A221" s="2" t="s">
        <v>239</v>
      </c>
      <c r="B221" s="2" t="s">
        <v>239</v>
      </c>
      <c r="S221" s="11" t="str">
        <f t="shared" si="7"/>
        <v xml:space="preserve">DERBY: </v>
      </c>
      <c r="V221" s="11" t="e">
        <f>INDEX('Lookup 1961'!$A$2:$A$1300, MATCH(S221, 'Lookup 1961'!$B$2:$B$1300,0))</f>
        <v>#N/A</v>
      </c>
      <c r="W221" s="11" t="e">
        <f>INDEX('Lookup 1961'!$F$2:$F$1300, MATCH(S221, 'Lookup 1961'!$B$2:$B$1300,0))</f>
        <v>#N/A</v>
      </c>
      <c r="X221" s="11" t="e">
        <f>INDEX('Lookup 1961'!$C$2:$C$1300, MATCH(V221, 'Lookup 1961'!$A$2:$A$1300,0))</f>
        <v>#N/A</v>
      </c>
    </row>
    <row r="222" spans="1:24" ht="25.05" customHeight="1" x14ac:dyDescent="0.3">
      <c r="A222" s="2" t="s">
        <v>146</v>
      </c>
      <c r="B222" s="2" t="s">
        <v>5257</v>
      </c>
      <c r="S222" s="11" t="str">
        <f t="shared" si="7"/>
        <v xml:space="preserve">Non County Boroughs  </v>
      </c>
      <c r="V222" s="11" t="e">
        <f>INDEX('Lookup 1961'!$A$2:$A$1300, MATCH(S222, 'Lookup 1961'!$B$2:$B$1300,0))</f>
        <v>#N/A</v>
      </c>
      <c r="W222" s="11" t="e">
        <f>INDEX('Lookup 1961'!$F$2:$F$1300, MATCH(S222, 'Lookup 1961'!$B$2:$B$1300,0))</f>
        <v>#N/A</v>
      </c>
      <c r="X222" s="11" t="e">
        <f>INDEX('Lookup 1961'!$C$2:$C$1300, MATCH(V222, 'Lookup 1961'!$A$2:$A$1300,0))</f>
        <v>#N/A</v>
      </c>
    </row>
    <row r="223" spans="1:24" ht="25.05" customHeight="1" x14ac:dyDescent="0.3">
      <c r="A223" s="2" t="s">
        <v>240</v>
      </c>
      <c r="B223" s="2" t="s">
        <v>240</v>
      </c>
      <c r="C223" s="1">
        <v>24</v>
      </c>
      <c r="D223" s="1">
        <v>0</v>
      </c>
      <c r="E223" s="1">
        <v>18</v>
      </c>
      <c r="F223" s="1">
        <v>0</v>
      </c>
      <c r="K223" s="1">
        <v>985</v>
      </c>
      <c r="L223" s="6">
        <v>255033</v>
      </c>
      <c r="M223" s="1">
        <v>46</v>
      </c>
      <c r="N223" s="1">
        <v>11</v>
      </c>
      <c r="O223" s="1">
        <v>6</v>
      </c>
      <c r="P223" s="1">
        <v>8.1</v>
      </c>
      <c r="Q223" s="11">
        <f>'Table H'!$J$43</f>
        <v>0.87689973296879997</v>
      </c>
      <c r="R223" s="11">
        <f t="shared" si="6"/>
        <v>223638.36959823198</v>
      </c>
      <c r="S223" s="11" t="str">
        <f t="shared" si="7"/>
        <v>Buxton MB</v>
      </c>
      <c r="T223" s="11" t="s">
        <v>5211</v>
      </c>
      <c r="V223" s="11" t="str">
        <f>INDEX('Lookup 1961'!$A$2:$A$1300, MATCH(S223, 'Lookup 1961'!$B$2:$B$1300,0))</f>
        <v>J04000247</v>
      </c>
      <c r="W223" s="11" t="str">
        <f>INDEX('Lookup 1961'!$F$2:$F$1300, MATCH(S223, 'Lookup 1961'!$B$2:$B$1300,0))</f>
        <v>e080169</v>
      </c>
      <c r="X223" s="11" t="str">
        <f>INDEX('Lookup 1961'!$C$2:$C$1300, MATCH(V223, 'Lookup 1961'!$A$2:$A$1300,0))</f>
        <v>Derbyshire</v>
      </c>
    </row>
    <row r="224" spans="1:24" ht="25.05" customHeight="1" x14ac:dyDescent="0.3">
      <c r="A224" s="2" t="s">
        <v>241</v>
      </c>
      <c r="B224" s="2" t="s">
        <v>241</v>
      </c>
      <c r="C224" s="1">
        <v>25</v>
      </c>
      <c r="D224" s="1">
        <v>0</v>
      </c>
      <c r="E224" s="1">
        <v>18</v>
      </c>
      <c r="F224" s="1">
        <v>0</v>
      </c>
      <c r="K224" s="6">
        <v>3017</v>
      </c>
      <c r="L224" s="6">
        <v>781421</v>
      </c>
      <c r="M224" s="1">
        <v>71.099999999999994</v>
      </c>
      <c r="N224" s="1">
        <v>9</v>
      </c>
      <c r="O224" s="1">
        <v>17</v>
      </c>
      <c r="P224" s="1">
        <v>22.4</v>
      </c>
      <c r="Q224" s="11">
        <f>'Table H'!$J$43</f>
        <v>0.87689973296879997</v>
      </c>
      <c r="R224" s="11">
        <f t="shared" si="6"/>
        <v>685227.86623621266</v>
      </c>
      <c r="S224" s="11" t="str">
        <f t="shared" si="7"/>
        <v>Chesterfield MB</v>
      </c>
      <c r="T224" s="11" t="s">
        <v>5211</v>
      </c>
      <c r="V224" s="11" t="str">
        <f>INDEX('Lookup 1961'!$A$2:$A$1300, MATCH(S224, 'Lookup 1961'!$B$2:$B$1300,0))</f>
        <v>J04000302</v>
      </c>
      <c r="W224" s="11" t="str">
        <f>INDEX('Lookup 1961'!$F$2:$F$1300, MATCH(S224, 'Lookup 1961'!$B$2:$B$1300,0))</f>
        <v>e080170</v>
      </c>
      <c r="X224" s="11" t="str">
        <f>INDEX('Lookup 1961'!$C$2:$C$1300, MATCH(V224, 'Lookup 1961'!$A$2:$A$1300,0))</f>
        <v>Derbyshire</v>
      </c>
    </row>
    <row r="225" spans="1:24" ht="25.05" customHeight="1" x14ac:dyDescent="0.3">
      <c r="A225" s="2" t="s">
        <v>242</v>
      </c>
      <c r="B225" s="2" t="s">
        <v>242</v>
      </c>
      <c r="C225" s="1">
        <v>25</v>
      </c>
      <c r="D225" s="1">
        <v>10</v>
      </c>
      <c r="E225" s="1">
        <v>19</v>
      </c>
      <c r="F225" s="1">
        <v>10</v>
      </c>
      <c r="K225" s="1">
        <v>580</v>
      </c>
      <c r="L225" s="6">
        <v>153576</v>
      </c>
      <c r="M225" s="1">
        <v>56.7</v>
      </c>
      <c r="N225" s="1">
        <v>8</v>
      </c>
      <c r="O225" s="1">
        <v>4</v>
      </c>
      <c r="P225" s="1">
        <v>25.6</v>
      </c>
      <c r="Q225" s="11">
        <f>'Table H'!$J$43</f>
        <v>0.87689973296879997</v>
      </c>
      <c r="R225" s="11">
        <f t="shared" si="6"/>
        <v>134670.75339041642</v>
      </c>
      <c r="S225" s="11" t="str">
        <f t="shared" si="7"/>
        <v>Glossop MB</v>
      </c>
      <c r="T225" s="11" t="s">
        <v>5211</v>
      </c>
      <c r="V225" s="11" t="str">
        <f>INDEX('Lookup 1961'!$A$2:$A$1300, MATCH(S225, 'Lookup 1961'!$B$2:$B$1300,0))</f>
        <v>J04000535</v>
      </c>
      <c r="W225" s="11" t="str">
        <f>INDEX('Lookup 1961'!$F$2:$F$1300, MATCH(S225, 'Lookup 1961'!$B$2:$B$1300,0))</f>
        <v>e080173</v>
      </c>
      <c r="X225" s="11" t="str">
        <f>INDEX('Lookup 1961'!$C$2:$C$1300, MATCH(V225, 'Lookup 1961'!$A$2:$A$1300,0))</f>
        <v>Derbyshire</v>
      </c>
    </row>
    <row r="226" spans="1:24" ht="25.05" customHeight="1" x14ac:dyDescent="0.3">
      <c r="A226" s="2" t="s">
        <v>243</v>
      </c>
      <c r="B226" s="2" t="s">
        <v>5287</v>
      </c>
      <c r="C226" s="1">
        <v>23</v>
      </c>
      <c r="D226" s="1">
        <v>4</v>
      </c>
      <c r="E226" s="1">
        <v>15</v>
      </c>
      <c r="F226" s="1">
        <v>8</v>
      </c>
      <c r="K226" s="6">
        <v>1250</v>
      </c>
      <c r="L226" s="6">
        <v>333013</v>
      </c>
      <c r="M226" s="1">
        <v>82.4</v>
      </c>
      <c r="N226" s="1">
        <v>6</v>
      </c>
      <c r="O226" s="1">
        <v>19</v>
      </c>
      <c r="P226" s="1">
        <v>23.7</v>
      </c>
      <c r="Q226" s="11">
        <f>'Table H'!$J$43</f>
        <v>0.87689973296879997</v>
      </c>
      <c r="R226" s="11">
        <f t="shared" si="6"/>
        <v>292019.01077513897</v>
      </c>
      <c r="S226" s="11" t="str">
        <f t="shared" si="7"/>
        <v>Ilkeston MB</v>
      </c>
      <c r="T226" s="11" t="s">
        <v>5211</v>
      </c>
      <c r="V226" s="11" t="str">
        <f>INDEX('Lookup 1961'!$A$2:$A$1300, MATCH(S226, 'Lookup 1961'!$B$2:$B$1300,0))</f>
        <v>J04000667</v>
      </c>
      <c r="W226" s="11" t="str">
        <f>INDEX('Lookup 1961'!$F$2:$F$1300, MATCH(S226, 'Lookup 1961'!$B$2:$B$1300,0))</f>
        <v>e080175</v>
      </c>
      <c r="X226" s="11" t="str">
        <f>INDEX('Lookup 1961'!$C$2:$C$1300, MATCH(V226, 'Lookup 1961'!$A$2:$A$1300,0))</f>
        <v>Derbyshire</v>
      </c>
    </row>
    <row r="227" spans="1:24" ht="25.05" customHeight="1" x14ac:dyDescent="0.3">
      <c r="A227" s="2" t="s">
        <v>150</v>
      </c>
      <c r="B227" s="2" t="s">
        <v>1221</v>
      </c>
      <c r="S227" s="11" t="str">
        <f t="shared" si="7"/>
        <v xml:space="preserve">Urban Districts  </v>
      </c>
      <c r="V227" s="11" t="e">
        <f>INDEX('Lookup 1961'!$A$2:$A$1300, MATCH(S227, 'Lookup 1961'!$B$2:$B$1300,0))</f>
        <v>#N/A</v>
      </c>
      <c r="W227" s="11" t="e">
        <f>INDEX('Lookup 1961'!$F$2:$F$1300, MATCH(S227, 'Lookup 1961'!$B$2:$B$1300,0))</f>
        <v>#N/A</v>
      </c>
      <c r="X227" s="11" t="e">
        <f>INDEX('Lookup 1961'!$C$2:$C$1300, MATCH(V227, 'Lookup 1961'!$A$2:$A$1300,0))</f>
        <v>#N/A</v>
      </c>
    </row>
    <row r="228" spans="1:24" ht="25.05" customHeight="1" x14ac:dyDescent="0.3">
      <c r="A228" s="2" t="s">
        <v>244</v>
      </c>
      <c r="B228" s="2" t="s">
        <v>244</v>
      </c>
      <c r="C228" s="1">
        <v>23</v>
      </c>
      <c r="D228" s="1">
        <v>6</v>
      </c>
      <c r="E228" s="1">
        <v>17</v>
      </c>
      <c r="F228" s="1">
        <v>6</v>
      </c>
      <c r="K228" s="1">
        <v>750</v>
      </c>
      <c r="L228" s="6">
        <v>199925</v>
      </c>
      <c r="M228" s="1">
        <v>75</v>
      </c>
      <c r="N228" s="1">
        <v>7</v>
      </c>
      <c r="O228" s="1">
        <v>1</v>
      </c>
      <c r="P228" s="1">
        <v>29.5</v>
      </c>
      <c r="Q228" s="11">
        <f>'Table H'!$J$44</f>
        <v>0.87798282397852145</v>
      </c>
      <c r="R228" s="11">
        <f t="shared" si="6"/>
        <v>175530.71608390589</v>
      </c>
      <c r="S228" s="11" t="str">
        <f t="shared" si="7"/>
        <v>Alfreton UD</v>
      </c>
      <c r="T228" s="11" t="s">
        <v>5214</v>
      </c>
      <c r="V228" s="11" t="str">
        <f>INDEX('Lookup 1961'!$A$2:$A$1300, MATCH(S228, 'Lookup 1961'!$B$2:$B$1300,0))</f>
        <v>J04000027</v>
      </c>
      <c r="W228" s="11" t="str">
        <f>INDEX('Lookup 1961'!$F$2:$F$1300, MATCH(S228, 'Lookup 1961'!$B$2:$B$1300,0))</f>
        <v>e080164</v>
      </c>
      <c r="X228" s="11" t="str">
        <f>INDEX('Lookup 1961'!$C$2:$C$1300, MATCH(V228, 'Lookup 1961'!$A$2:$A$1300,0))</f>
        <v>Derbyshire</v>
      </c>
    </row>
    <row r="229" spans="1:24" ht="25.05" customHeight="1" x14ac:dyDescent="0.3">
      <c r="A229" s="2" t="s">
        <v>245</v>
      </c>
      <c r="B229" s="2" t="s">
        <v>245</v>
      </c>
      <c r="C229" s="1">
        <v>22</v>
      </c>
      <c r="D229" s="1">
        <v>10</v>
      </c>
      <c r="E229" s="1">
        <v>16</v>
      </c>
      <c r="F229" s="1">
        <v>8</v>
      </c>
      <c r="K229" s="1">
        <v>237</v>
      </c>
      <c r="L229" s="6">
        <v>63364</v>
      </c>
      <c r="M229" s="1">
        <v>73.400000000000006</v>
      </c>
      <c r="N229" s="1">
        <v>9</v>
      </c>
      <c r="O229" s="1">
        <v>16</v>
      </c>
      <c r="P229" s="1">
        <v>29.3</v>
      </c>
      <c r="Q229" s="11">
        <f>'Table H'!$J$44</f>
        <v>0.87798282397852145</v>
      </c>
      <c r="R229" s="11">
        <f t="shared" si="6"/>
        <v>55632.503658575035</v>
      </c>
      <c r="S229" s="11" t="str">
        <f t="shared" si="7"/>
        <v>Ashbourne UD</v>
      </c>
      <c r="T229" s="11" t="s">
        <v>5214</v>
      </c>
      <c r="V229" s="11" t="str">
        <f>INDEX('Lookup 1961'!$A$2:$A$1300, MATCH(S229, 'Lookup 1961'!$B$2:$B$1300,0))</f>
        <v>J04000049</v>
      </c>
      <c r="W229" s="11" t="str">
        <f>INDEX('Lookup 1961'!$F$2:$F$1300, MATCH(S229, 'Lookup 1961'!$B$2:$B$1300,0))</f>
        <v>e080165</v>
      </c>
      <c r="X229" s="11" t="str">
        <f>INDEX('Lookup 1961'!$C$2:$C$1300, MATCH(V229, 'Lookup 1961'!$A$2:$A$1300,0))</f>
        <v>Derbyshire</v>
      </c>
    </row>
    <row r="230" spans="1:24" ht="25.05" customHeight="1" x14ac:dyDescent="0.3">
      <c r="A230" s="2" t="s">
        <v>246</v>
      </c>
      <c r="B230" s="2" t="s">
        <v>246</v>
      </c>
      <c r="C230" s="1">
        <v>23</v>
      </c>
      <c r="D230" s="1">
        <v>0</v>
      </c>
      <c r="E230" s="1">
        <v>16</v>
      </c>
      <c r="F230" s="1">
        <v>6</v>
      </c>
      <c r="K230" s="1">
        <v>179</v>
      </c>
      <c r="L230" s="6">
        <v>46876</v>
      </c>
      <c r="M230" s="1">
        <v>65.099999999999994</v>
      </c>
      <c r="N230" s="1">
        <v>10</v>
      </c>
      <c r="O230" s="1">
        <v>12</v>
      </c>
      <c r="P230" s="1">
        <v>22.9</v>
      </c>
      <c r="Q230" s="11">
        <f>'Table H'!$J$44</f>
        <v>0.87798282397852145</v>
      </c>
      <c r="R230" s="11">
        <f t="shared" si="6"/>
        <v>41156.322856817169</v>
      </c>
      <c r="S230" s="11" t="str">
        <f t="shared" si="7"/>
        <v>Bakewell UD</v>
      </c>
      <c r="T230" s="11" t="s">
        <v>5214</v>
      </c>
      <c r="V230" s="11" t="str">
        <f>INDEX('Lookup 1961'!$A$2:$A$1300, MATCH(S230, 'Lookup 1961'!$B$2:$B$1300,0))</f>
        <v>J04000072</v>
      </c>
      <c r="W230" s="11" t="str">
        <f>INDEX('Lookup 1961'!$F$2:$F$1300, MATCH(S230, 'Lookup 1961'!$B$2:$B$1300,0))</f>
        <v>e080166</v>
      </c>
      <c r="X230" s="11" t="str">
        <f>INDEX('Lookup 1961'!$C$2:$C$1300, MATCH(V230, 'Lookup 1961'!$A$2:$A$1300,0))</f>
        <v>Derbyshire</v>
      </c>
    </row>
    <row r="231" spans="1:24" ht="25.05" customHeight="1" x14ac:dyDescent="0.3">
      <c r="A231" s="2" t="s">
        <v>247</v>
      </c>
      <c r="B231" s="2" t="s">
        <v>247</v>
      </c>
      <c r="C231" s="1">
        <v>22</v>
      </c>
      <c r="D231" s="1">
        <v>4</v>
      </c>
      <c r="E231" s="1">
        <v>18</v>
      </c>
      <c r="F231" s="1">
        <v>0</v>
      </c>
      <c r="K231" s="1">
        <v>535</v>
      </c>
      <c r="L231" s="6">
        <v>140164</v>
      </c>
      <c r="M231" s="1">
        <v>55.3</v>
      </c>
      <c r="N231" s="1">
        <v>7</v>
      </c>
      <c r="O231" s="1">
        <v>16</v>
      </c>
      <c r="P231" s="1">
        <v>24.6</v>
      </c>
      <c r="Q231" s="11">
        <f>'Table H'!$J$44</f>
        <v>0.87798282397852145</v>
      </c>
      <c r="R231" s="11">
        <f t="shared" si="6"/>
        <v>123061.58454012548</v>
      </c>
      <c r="S231" s="11" t="str">
        <f t="shared" si="7"/>
        <v>Belper UD</v>
      </c>
      <c r="T231" s="11" t="s">
        <v>5214</v>
      </c>
      <c r="V231" s="11" t="str">
        <f>INDEX('Lookup 1961'!$A$2:$A$1300, MATCH(S231, 'Lookup 1961'!$B$2:$B$1300,0))</f>
        <v>J04000122</v>
      </c>
      <c r="W231" s="11" t="str">
        <f>INDEX('Lookup 1961'!$F$2:$F$1300, MATCH(S231, 'Lookup 1961'!$B$2:$B$1300,0))</f>
        <v>e080167</v>
      </c>
      <c r="X231" s="11" t="str">
        <f>INDEX('Lookup 1961'!$C$2:$C$1300, MATCH(V231, 'Lookup 1961'!$A$2:$A$1300,0))</f>
        <v>Derbyshire</v>
      </c>
    </row>
    <row r="232" spans="1:24" ht="25.05" customHeight="1" x14ac:dyDescent="0.3">
      <c r="A232" s="2" t="s">
        <v>248</v>
      </c>
      <c r="B232" s="2" t="s">
        <v>248</v>
      </c>
      <c r="C232" s="1">
        <v>23</v>
      </c>
      <c r="D232" s="1">
        <v>6</v>
      </c>
      <c r="E232" s="1">
        <v>17</v>
      </c>
      <c r="F232" s="1">
        <v>0</v>
      </c>
      <c r="K232" s="1">
        <v>395</v>
      </c>
      <c r="L232" s="6">
        <v>102205</v>
      </c>
      <c r="M232" s="1">
        <v>74.400000000000006</v>
      </c>
      <c r="N232" s="1">
        <v>7</v>
      </c>
      <c r="O232" s="1">
        <v>14</v>
      </c>
      <c r="P232" s="1">
        <v>26</v>
      </c>
      <c r="Q232" s="11">
        <f>'Table H'!$J$44</f>
        <v>0.87798282397852145</v>
      </c>
      <c r="R232" s="11">
        <f t="shared" si="6"/>
        <v>89734.234524724787</v>
      </c>
      <c r="S232" s="11" t="str">
        <f t="shared" si="7"/>
        <v>Bolsover UD</v>
      </c>
      <c r="T232" s="11" t="s">
        <v>5214</v>
      </c>
      <c r="V232" s="11" t="str">
        <f>INDEX('Lookup 1961'!$A$2:$A$1300, MATCH(S232, 'Lookup 1961'!$B$2:$B$1300,0))</f>
        <v>J04000172</v>
      </c>
      <c r="W232" s="11" t="str">
        <f>INDEX('Lookup 1961'!$F$2:$F$1300, MATCH(S232, 'Lookup 1961'!$B$2:$B$1300,0))</f>
        <v>e080168</v>
      </c>
      <c r="X232" s="11" t="str">
        <f>INDEX('Lookup 1961'!$C$2:$C$1300, MATCH(V232, 'Lookup 1961'!$A$2:$A$1300,0))</f>
        <v>Derbyshire</v>
      </c>
    </row>
    <row r="233" spans="1:24" ht="25.05" customHeight="1" x14ac:dyDescent="0.3">
      <c r="A233" s="2" t="s">
        <v>249</v>
      </c>
      <c r="B233" s="2" t="s">
        <v>249</v>
      </c>
      <c r="C233" s="1">
        <v>24</v>
      </c>
      <c r="D233" s="1">
        <v>0</v>
      </c>
      <c r="E233" s="1">
        <v>18</v>
      </c>
      <c r="F233" s="1">
        <v>0</v>
      </c>
      <c r="K233" s="1">
        <v>282</v>
      </c>
      <c r="L233" s="6">
        <v>72034</v>
      </c>
      <c r="M233" s="1">
        <v>64.900000000000006</v>
      </c>
      <c r="N233" s="1">
        <v>6</v>
      </c>
      <c r="O233" s="1">
        <v>16</v>
      </c>
      <c r="P233" s="1">
        <v>21.4</v>
      </c>
      <c r="Q233" s="11">
        <f>'Table H'!$J$44</f>
        <v>0.87798282397852145</v>
      </c>
      <c r="R233" s="11">
        <f t="shared" si="6"/>
        <v>63244.614742468817</v>
      </c>
      <c r="S233" s="11" t="str">
        <f t="shared" si="7"/>
        <v>Clay Cross UD</v>
      </c>
      <c r="T233" s="11" t="s">
        <v>5214</v>
      </c>
      <c r="V233" s="11" t="str">
        <f>INDEX('Lookup 1961'!$A$2:$A$1300, MATCH(S233, 'Lookup 1961'!$B$2:$B$1300,0))</f>
        <v>J04000324</v>
      </c>
      <c r="W233" s="11" t="str">
        <f>INDEX('Lookup 1961'!$F$2:$F$1300, MATCH(S233, 'Lookup 1961'!$B$2:$B$1300,0))</f>
        <v>e080171</v>
      </c>
      <c r="X233" s="11" t="str">
        <f>INDEX('Lookup 1961'!$C$2:$C$1300, MATCH(V233, 'Lookup 1961'!$A$2:$A$1300,0))</f>
        <v>Derbyshire</v>
      </c>
    </row>
    <row r="234" spans="1:24" ht="25.05" customHeight="1" x14ac:dyDescent="0.3">
      <c r="A234" s="2" t="s">
        <v>250</v>
      </c>
      <c r="B234" s="2" t="s">
        <v>250</v>
      </c>
      <c r="C234" s="1">
        <v>24</v>
      </c>
      <c r="D234" s="1">
        <v>9</v>
      </c>
      <c r="E234" s="1">
        <v>18</v>
      </c>
      <c r="F234" s="1">
        <v>8</v>
      </c>
      <c r="K234" s="1">
        <v>270</v>
      </c>
      <c r="L234" s="6">
        <v>69780</v>
      </c>
      <c r="M234" s="1">
        <v>78.3</v>
      </c>
      <c r="N234" s="1">
        <v>7</v>
      </c>
      <c r="O234" s="1">
        <v>13</v>
      </c>
      <c r="P234" s="1">
        <v>24.6</v>
      </c>
      <c r="Q234" s="11">
        <f>'Table H'!$J$44</f>
        <v>0.87798282397852145</v>
      </c>
      <c r="R234" s="11">
        <f t="shared" si="6"/>
        <v>61265.641457221231</v>
      </c>
      <c r="S234" s="11" t="str">
        <f t="shared" si="7"/>
        <v>Dronfield UD</v>
      </c>
      <c r="T234" s="11" t="s">
        <v>5214</v>
      </c>
      <c r="V234" s="11" t="str">
        <f>INDEX('Lookup 1961'!$A$2:$A$1300, MATCH(S234, 'Lookup 1961'!$B$2:$B$1300,0))</f>
        <v>J04000430</v>
      </c>
      <c r="W234" s="11" t="str">
        <f>INDEX('Lookup 1961'!$F$2:$F$1300, MATCH(S234, 'Lookup 1961'!$B$2:$B$1300,0))</f>
        <v>e080172</v>
      </c>
      <c r="X234" s="11" t="str">
        <f>INDEX('Lookup 1961'!$C$2:$C$1300, MATCH(V234, 'Lookup 1961'!$A$2:$A$1300,0))</f>
        <v>Derbyshire</v>
      </c>
    </row>
    <row r="235" spans="1:24" ht="25.05" customHeight="1" x14ac:dyDescent="0.3">
      <c r="A235" s="2" t="s">
        <v>251</v>
      </c>
      <c r="B235" s="2" t="s">
        <v>251</v>
      </c>
      <c r="C235" s="1">
        <v>24</v>
      </c>
      <c r="D235" s="1">
        <v>8</v>
      </c>
      <c r="E235" s="1">
        <v>18</v>
      </c>
      <c r="F235" s="1">
        <v>6</v>
      </c>
      <c r="K235" s="1">
        <v>740</v>
      </c>
      <c r="L235" s="6">
        <v>190782</v>
      </c>
      <c r="M235" s="1">
        <v>61</v>
      </c>
      <c r="N235" s="1">
        <v>6</v>
      </c>
      <c r="O235" s="1">
        <v>19</v>
      </c>
      <c r="P235" s="1">
        <v>23.8</v>
      </c>
      <c r="Q235" s="11">
        <f>'Table H'!$J$44</f>
        <v>0.87798282397852145</v>
      </c>
      <c r="R235" s="11">
        <f t="shared" si="6"/>
        <v>167503.31912427029</v>
      </c>
      <c r="S235" s="11" t="str">
        <f t="shared" si="7"/>
        <v>Heanor UD</v>
      </c>
      <c r="T235" s="11" t="s">
        <v>5214</v>
      </c>
      <c r="V235" s="11" t="str">
        <f>INDEX('Lookup 1961'!$A$2:$A$1300, MATCH(S235, 'Lookup 1961'!$B$2:$B$1300,0))</f>
        <v>J04000596</v>
      </c>
      <c r="W235" s="11" t="str">
        <f>INDEX('Lookup 1961'!$F$2:$F$1300, MATCH(S235, 'Lookup 1961'!$B$2:$B$1300,0))</f>
        <v>e080174</v>
      </c>
      <c r="X235" s="11" t="str">
        <f>INDEX('Lookup 1961'!$C$2:$C$1300, MATCH(V235, 'Lookup 1961'!$A$2:$A$1300,0))</f>
        <v>Derbyshire</v>
      </c>
    </row>
    <row r="236" spans="1:24" ht="25.05" customHeight="1" x14ac:dyDescent="0.3">
      <c r="A236" s="2" t="s">
        <v>252</v>
      </c>
      <c r="B236" s="2" t="s">
        <v>252</v>
      </c>
      <c r="C236" s="1">
        <v>21</v>
      </c>
      <c r="D236" s="1">
        <v>0</v>
      </c>
      <c r="E236" s="1">
        <v>15</v>
      </c>
      <c r="F236" s="1">
        <v>6</v>
      </c>
      <c r="K236" s="6">
        <v>1140</v>
      </c>
      <c r="L236" s="6">
        <v>295166</v>
      </c>
      <c r="M236" s="1">
        <v>55.5</v>
      </c>
      <c r="N236" s="1">
        <v>7</v>
      </c>
      <c r="O236" s="1">
        <v>12</v>
      </c>
      <c r="P236" s="1">
        <v>13.7</v>
      </c>
      <c r="Q236" s="11">
        <f>'Table H'!$J$44</f>
        <v>0.87798282397852145</v>
      </c>
      <c r="R236" s="11">
        <f t="shared" si="6"/>
        <v>259150.67822244426</v>
      </c>
      <c r="S236" s="11" t="str">
        <f t="shared" si="7"/>
        <v>Long Eaton UD</v>
      </c>
      <c r="T236" s="11" t="s">
        <v>5214</v>
      </c>
      <c r="V236" s="11" t="str">
        <f>INDEX('Lookup 1961'!$A$2:$A$1300, MATCH(S236, 'Lookup 1961'!$B$2:$B$1300,0))</f>
        <v>J04000776</v>
      </c>
      <c r="W236" s="11" t="str">
        <f>INDEX('Lookup 1961'!$F$2:$F$1300, MATCH(S236, 'Lookup 1961'!$B$2:$B$1300,0))</f>
        <v>e080176</v>
      </c>
      <c r="X236" s="11" t="str">
        <f>INDEX('Lookup 1961'!$C$2:$C$1300, MATCH(V236, 'Lookup 1961'!$A$2:$A$1300,0))</f>
        <v>Derbyshire</v>
      </c>
    </row>
    <row r="237" spans="1:24" ht="25.05" customHeight="1" x14ac:dyDescent="0.3">
      <c r="A237" s="2" t="s">
        <v>253</v>
      </c>
      <c r="B237" s="2" t="s">
        <v>253</v>
      </c>
      <c r="C237" s="1">
        <v>24</v>
      </c>
      <c r="D237" s="1">
        <v>8</v>
      </c>
      <c r="E237" s="1">
        <v>16</v>
      </c>
      <c r="F237" s="1">
        <v>9</v>
      </c>
      <c r="K237" s="1">
        <v>764</v>
      </c>
      <c r="L237" s="6">
        <v>197407</v>
      </c>
      <c r="M237" s="1">
        <v>55.9</v>
      </c>
      <c r="N237" s="1">
        <v>8</v>
      </c>
      <c r="O237" s="1">
        <v>11</v>
      </c>
      <c r="P237" s="1">
        <v>30.6</v>
      </c>
      <c r="Q237" s="11">
        <f>'Table H'!$J$44</f>
        <v>0.87798282397852145</v>
      </c>
      <c r="R237" s="11">
        <f t="shared" si="6"/>
        <v>173319.95533312799</v>
      </c>
      <c r="S237" s="11" t="str">
        <f t="shared" si="7"/>
        <v>Matlock UD</v>
      </c>
      <c r="T237" s="11" t="s">
        <v>5214</v>
      </c>
      <c r="V237" s="11" t="str">
        <f>INDEX('Lookup 1961'!$A$2:$A$1300, MATCH(S237, 'Lookup 1961'!$B$2:$B$1300,0))</f>
        <v>J04000840</v>
      </c>
      <c r="W237" s="11" t="str">
        <f>INDEX('Lookup 1961'!$F$2:$F$1300, MATCH(S237, 'Lookup 1961'!$B$2:$B$1300,0))</f>
        <v>e080177</v>
      </c>
      <c r="X237" s="11" t="str">
        <f>INDEX('Lookup 1961'!$C$2:$C$1300, MATCH(V237, 'Lookup 1961'!$A$2:$A$1300,0))</f>
        <v>Derbyshire</v>
      </c>
    </row>
    <row r="238" spans="1:24" ht="25.05" customHeight="1" x14ac:dyDescent="0.3">
      <c r="A238" s="2" t="s">
        <v>254</v>
      </c>
      <c r="B238" s="2" t="s">
        <v>254</v>
      </c>
      <c r="C238" s="1">
        <v>22</v>
      </c>
      <c r="D238" s="1">
        <v>0</v>
      </c>
      <c r="E238" s="1">
        <v>16</v>
      </c>
      <c r="F238" s="1">
        <v>0</v>
      </c>
      <c r="K238" s="1">
        <v>312</v>
      </c>
      <c r="L238" s="6">
        <v>82959</v>
      </c>
      <c r="M238" s="1">
        <v>63.9</v>
      </c>
      <c r="N238" s="1">
        <v>7</v>
      </c>
      <c r="O238" s="1">
        <v>10</v>
      </c>
      <c r="P238" s="1">
        <v>18.3</v>
      </c>
      <c r="Q238" s="11">
        <f>'Table H'!$J$44</f>
        <v>0.87798282397852145</v>
      </c>
      <c r="R238" s="11">
        <f t="shared" si="6"/>
        <v>72836.577094434164</v>
      </c>
      <c r="S238" s="11" t="str">
        <f t="shared" si="7"/>
        <v>New Mills UD</v>
      </c>
      <c r="T238" s="11" t="s">
        <v>5214</v>
      </c>
      <c r="V238" s="11" t="str">
        <f>INDEX('Lookup 1961'!$A$2:$A$1300, MATCH(S238, 'Lookup 1961'!$B$2:$B$1300,0))</f>
        <v>J04000887</v>
      </c>
      <c r="W238" s="11" t="str">
        <f>INDEX('Lookup 1961'!$F$2:$F$1300, MATCH(S238, 'Lookup 1961'!$B$2:$B$1300,0))</f>
        <v>e080178</v>
      </c>
      <c r="X238" s="11" t="str">
        <f>INDEX('Lookup 1961'!$C$2:$C$1300, MATCH(V238, 'Lookup 1961'!$A$2:$A$1300,0))</f>
        <v>Derbyshire</v>
      </c>
    </row>
    <row r="239" spans="1:24" ht="25.05" customHeight="1" x14ac:dyDescent="0.3">
      <c r="A239" s="2" t="s">
        <v>255</v>
      </c>
      <c r="B239" s="2" t="s">
        <v>255</v>
      </c>
      <c r="C239" s="1">
        <v>23</v>
      </c>
      <c r="D239" s="1">
        <v>6</v>
      </c>
      <c r="E239" s="1">
        <v>16</v>
      </c>
      <c r="F239" s="1">
        <v>8</v>
      </c>
      <c r="K239" s="1">
        <v>590</v>
      </c>
      <c r="L239" s="6">
        <v>157639</v>
      </c>
      <c r="M239" s="1">
        <v>55.7</v>
      </c>
      <c r="N239" s="1">
        <v>6</v>
      </c>
      <c r="O239" s="1">
        <v>18</v>
      </c>
      <c r="P239" s="1">
        <v>14.2</v>
      </c>
      <c r="Q239" s="11">
        <f>'Table H'!$J$44</f>
        <v>0.87798282397852145</v>
      </c>
      <c r="R239" s="11">
        <f t="shared" si="6"/>
        <v>138404.33438915014</v>
      </c>
      <c r="S239" s="11" t="str">
        <f t="shared" si="7"/>
        <v>Ripley UD</v>
      </c>
      <c r="T239" s="11" t="s">
        <v>5214</v>
      </c>
      <c r="V239" s="11" t="str">
        <f>INDEX('Lookup 1961'!$A$2:$A$1300, MATCH(S239, 'Lookup 1961'!$B$2:$B$1300,0))</f>
        <v>J04001051</v>
      </c>
      <c r="W239" s="11" t="str">
        <f>INDEX('Lookup 1961'!$F$2:$F$1300, MATCH(S239, 'Lookup 1961'!$B$2:$B$1300,0))</f>
        <v>e080179</v>
      </c>
      <c r="X239" s="11" t="str">
        <f>INDEX('Lookup 1961'!$C$2:$C$1300, MATCH(V239, 'Lookup 1961'!$A$2:$A$1300,0))</f>
        <v>Derbyshire</v>
      </c>
    </row>
    <row r="240" spans="1:24" ht="25.05" customHeight="1" x14ac:dyDescent="0.3">
      <c r="A240" s="2" t="s">
        <v>256</v>
      </c>
      <c r="B240" s="2" t="s">
        <v>256</v>
      </c>
      <c r="C240" s="1">
        <v>24</v>
      </c>
      <c r="D240" s="1">
        <v>0</v>
      </c>
      <c r="E240" s="1">
        <v>16</v>
      </c>
      <c r="F240" s="1">
        <v>10</v>
      </c>
      <c r="K240" s="1">
        <v>737</v>
      </c>
      <c r="L240" s="6">
        <v>187549</v>
      </c>
      <c r="M240" s="1">
        <v>97.1</v>
      </c>
      <c r="N240" s="1">
        <v>8</v>
      </c>
      <c r="O240" s="1">
        <v>14</v>
      </c>
      <c r="P240" s="1">
        <v>39.4</v>
      </c>
      <c r="Q240" s="11">
        <f>'Table H'!$J$44</f>
        <v>0.87798282397852145</v>
      </c>
      <c r="R240" s="11">
        <f t="shared" si="6"/>
        <v>164664.80065434772</v>
      </c>
      <c r="S240" s="11" t="str">
        <f t="shared" si="7"/>
        <v>Staveley UD</v>
      </c>
      <c r="T240" s="11" t="s">
        <v>5214</v>
      </c>
      <c r="V240" s="11" t="str">
        <f>INDEX('Lookup 1961'!$A$2:$A$1300, MATCH(S240, 'Lookup 1961'!$B$2:$B$1300,0))</f>
        <v>J04001205</v>
      </c>
      <c r="W240" s="11" t="str">
        <f>INDEX('Lookup 1961'!$F$2:$F$1300, MATCH(S240, 'Lookup 1961'!$B$2:$B$1300,0))</f>
        <v>e080180</v>
      </c>
      <c r="X240" s="11" t="str">
        <f>INDEX('Lookup 1961'!$C$2:$C$1300, MATCH(V240, 'Lookup 1961'!$A$2:$A$1300,0))</f>
        <v>Derbyshire</v>
      </c>
    </row>
    <row r="241" spans="1:24" ht="25.05" customHeight="1" x14ac:dyDescent="0.3">
      <c r="A241" s="2" t="s">
        <v>257</v>
      </c>
      <c r="B241" s="2" t="s">
        <v>257</v>
      </c>
      <c r="C241" s="1">
        <v>24</v>
      </c>
      <c r="D241" s="1">
        <v>4</v>
      </c>
      <c r="E241" s="1">
        <v>18</v>
      </c>
      <c r="F241" s="1">
        <v>6</v>
      </c>
      <c r="K241" s="1">
        <v>600</v>
      </c>
      <c r="L241" s="6">
        <v>159608</v>
      </c>
      <c r="M241" s="1">
        <v>64.900000000000006</v>
      </c>
      <c r="N241" s="1">
        <v>7</v>
      </c>
      <c r="O241" s="1">
        <v>2</v>
      </c>
      <c r="P241" s="1">
        <v>28.6</v>
      </c>
      <c r="Q241" s="11">
        <f>'Table H'!$J$44</f>
        <v>0.87798282397852145</v>
      </c>
      <c r="R241" s="11">
        <f t="shared" si="6"/>
        <v>140133.08256956385</v>
      </c>
      <c r="S241" s="11" t="str">
        <f t="shared" si="7"/>
        <v>Swadlincote UD</v>
      </c>
      <c r="T241" s="11" t="s">
        <v>5214</v>
      </c>
      <c r="V241" s="11" t="str">
        <f>INDEX('Lookup 1961'!$A$2:$A$1300, MATCH(S241, 'Lookup 1961'!$B$2:$B$1300,0))</f>
        <v>J04001237</v>
      </c>
      <c r="W241" s="11" t="str">
        <f>INDEX('Lookup 1961'!$F$2:$F$1300, MATCH(S241, 'Lookup 1961'!$B$2:$B$1300,0))</f>
        <v>e080181</v>
      </c>
      <c r="X241" s="11" t="str">
        <f>INDEX('Lookup 1961'!$C$2:$C$1300, MATCH(V241, 'Lookup 1961'!$A$2:$A$1300,0))</f>
        <v>Derbyshire</v>
      </c>
    </row>
    <row r="242" spans="1:24" ht="25.05" customHeight="1" x14ac:dyDescent="0.3">
      <c r="A242" s="2" t="s">
        <v>258</v>
      </c>
      <c r="B242" s="2" t="s">
        <v>258</v>
      </c>
      <c r="C242" s="1">
        <v>21</v>
      </c>
      <c r="D242" s="1">
        <v>6</v>
      </c>
      <c r="E242" s="1">
        <v>16</v>
      </c>
      <c r="F242" s="1">
        <v>0</v>
      </c>
      <c r="K242" s="1">
        <v>209</v>
      </c>
      <c r="L242" s="6">
        <v>56332</v>
      </c>
      <c r="M242" s="1">
        <v>62.4</v>
      </c>
      <c r="N242" s="1">
        <v>7</v>
      </c>
      <c r="O242" s="1">
        <v>17</v>
      </c>
      <c r="P242" s="1">
        <v>15.1</v>
      </c>
      <c r="Q242" s="11">
        <f>'Table H'!$J$44</f>
        <v>0.87798282397852145</v>
      </c>
      <c r="R242" s="11">
        <f t="shared" si="6"/>
        <v>49458.528440358074</v>
      </c>
      <c r="S242" s="11" t="str">
        <f t="shared" si="7"/>
        <v>Whaley Bridge UD</v>
      </c>
      <c r="T242" s="11" t="s">
        <v>5214</v>
      </c>
      <c r="V242" s="11" t="str">
        <f>INDEX('Lookup 1961'!$A$2:$A$1300, MATCH(S242, 'Lookup 1961'!$B$2:$B$1300,0))</f>
        <v>J04001395</v>
      </c>
      <c r="W242" s="11" t="str">
        <f>INDEX('Lookup 1961'!$F$2:$F$1300, MATCH(S242, 'Lookup 1961'!$B$2:$B$1300,0))</f>
        <v>e080182</v>
      </c>
      <c r="X242" s="11" t="str">
        <f>INDEX('Lookup 1961'!$C$2:$C$1300, MATCH(V242, 'Lookup 1961'!$A$2:$A$1300,0))</f>
        <v>Derbyshire</v>
      </c>
    </row>
    <row r="243" spans="1:24" ht="25.05" customHeight="1" x14ac:dyDescent="0.3">
      <c r="A243" s="2" t="s">
        <v>259</v>
      </c>
      <c r="B243" s="2" t="s">
        <v>259</v>
      </c>
      <c r="C243" s="1">
        <v>21</v>
      </c>
      <c r="D243" s="1">
        <v>9</v>
      </c>
      <c r="E243" s="1">
        <v>16</v>
      </c>
      <c r="F243" s="1">
        <v>6</v>
      </c>
      <c r="K243" s="1">
        <v>143</v>
      </c>
      <c r="L243" s="6">
        <v>39805</v>
      </c>
      <c r="M243" s="1">
        <v>59.3</v>
      </c>
      <c r="N243" s="1">
        <v>6</v>
      </c>
      <c r="O243" s="1">
        <v>6</v>
      </c>
      <c r="P243" s="1">
        <v>20.2</v>
      </c>
      <c r="Q243" s="11">
        <f>'Table H'!$J$44</f>
        <v>0.87798282397852145</v>
      </c>
      <c r="R243" s="11">
        <f t="shared" si="6"/>
        <v>34948.106308465045</v>
      </c>
      <c r="S243" s="11" t="str">
        <f t="shared" si="7"/>
        <v>Wirksworth UD</v>
      </c>
      <c r="T243" s="11" t="s">
        <v>5214</v>
      </c>
      <c r="V243" s="11" t="str">
        <f>INDEX('Lookup 1961'!$A$2:$A$1300, MATCH(S243, 'Lookup 1961'!$B$2:$B$1300,0))</f>
        <v>J04001429</v>
      </c>
      <c r="W243" s="11" t="str">
        <f>INDEX('Lookup 1961'!$F$2:$F$1300, MATCH(S243, 'Lookup 1961'!$B$2:$B$1300,0))</f>
        <v>e080183</v>
      </c>
      <c r="X243" s="11" t="str">
        <f>INDEX('Lookup 1961'!$C$2:$C$1300, MATCH(V243, 'Lookup 1961'!$A$2:$A$1300,0))</f>
        <v>Derbyshire</v>
      </c>
    </row>
    <row r="244" spans="1:24" ht="25.05" customHeight="1" x14ac:dyDescent="0.3">
      <c r="A244" s="2" t="s">
        <v>260</v>
      </c>
      <c r="B244" s="2" t="s">
        <v>260</v>
      </c>
      <c r="S244" s="11" t="str">
        <f t="shared" si="7"/>
        <v xml:space="preserve">DEVON: </v>
      </c>
      <c r="V244" s="11" t="e">
        <f>INDEX('Lookup 1961'!$A$2:$A$1300, MATCH(S244, 'Lookup 1961'!$B$2:$B$1300,0))</f>
        <v>#N/A</v>
      </c>
      <c r="W244" s="11" t="e">
        <f>INDEX('Lookup 1961'!$F$2:$F$1300, MATCH(S244, 'Lookup 1961'!$B$2:$B$1300,0))</f>
        <v>#N/A</v>
      </c>
      <c r="X244" s="11" t="e">
        <f>INDEX('Lookup 1961'!$C$2:$C$1300, MATCH(V244, 'Lookup 1961'!$A$2:$A$1300,0))</f>
        <v>#N/A</v>
      </c>
    </row>
    <row r="245" spans="1:24" ht="25.05" customHeight="1" x14ac:dyDescent="0.3">
      <c r="A245" s="2" t="s">
        <v>146</v>
      </c>
      <c r="B245" s="2" t="s">
        <v>5257</v>
      </c>
      <c r="S245" s="11" t="str">
        <f t="shared" si="7"/>
        <v xml:space="preserve">Non County Boroughs  </v>
      </c>
      <c r="V245" s="11" t="e">
        <f>INDEX('Lookup 1961'!$A$2:$A$1300, MATCH(S245, 'Lookup 1961'!$B$2:$B$1300,0))</f>
        <v>#N/A</v>
      </c>
      <c r="W245" s="11" t="e">
        <f>INDEX('Lookup 1961'!$F$2:$F$1300, MATCH(S245, 'Lookup 1961'!$B$2:$B$1300,0))</f>
        <v>#N/A</v>
      </c>
      <c r="X245" s="11" t="e">
        <f>INDEX('Lookup 1961'!$C$2:$C$1300, MATCH(V245, 'Lookup 1961'!$A$2:$A$1300,0))</f>
        <v>#N/A</v>
      </c>
    </row>
    <row r="246" spans="1:24" ht="25.05" customHeight="1" x14ac:dyDescent="0.3">
      <c r="A246" s="2" t="s">
        <v>261</v>
      </c>
      <c r="B246" s="2" t="s">
        <v>999</v>
      </c>
      <c r="C246" s="1">
        <v>24</v>
      </c>
      <c r="D246" s="1">
        <v>0</v>
      </c>
      <c r="E246" s="1">
        <v>15</v>
      </c>
      <c r="F246" s="6">
        <v>10</v>
      </c>
      <c r="G246" s="6"/>
      <c r="H246" s="6"/>
      <c r="I246" s="6"/>
      <c r="J246" s="6"/>
      <c r="K246" s="6">
        <v>1107</v>
      </c>
      <c r="L246" s="6">
        <v>283487</v>
      </c>
      <c r="M246" s="1">
        <v>126.7</v>
      </c>
      <c r="N246" s="1">
        <v>13</v>
      </c>
      <c r="O246" s="1">
        <v>8</v>
      </c>
      <c r="P246" s="1">
        <v>44.5</v>
      </c>
      <c r="Q246" s="11">
        <f>'Table H'!$J$48</f>
        <v>0.96922909923423073</v>
      </c>
      <c r="R246" s="11">
        <f t="shared" si="6"/>
        <v>274763.84965461434</v>
      </c>
      <c r="S246" s="11" t="str">
        <f t="shared" si="7"/>
        <v>Barnstaple MB</v>
      </c>
      <c r="T246" s="11" t="s">
        <v>5211</v>
      </c>
      <c r="V246" s="11" t="str">
        <f>INDEX('Lookup 1961'!$A$2:$A$1300, MATCH(S246, 'Lookup 1961'!$B$2:$B$1300,0))</f>
        <v>J04000088</v>
      </c>
      <c r="W246" s="11" t="str">
        <f>INDEX('Lookup 1961'!$F$2:$F$1300, MATCH(S246, 'Lookup 1961'!$B$2:$B$1300,0))</f>
        <v>e090200</v>
      </c>
      <c r="X246" s="11" t="str">
        <f>INDEX('Lookup 1961'!$C$2:$C$1300, MATCH(V246, 'Lookup 1961'!$A$2:$A$1300,0))</f>
        <v>Devon</v>
      </c>
    </row>
    <row r="247" spans="1:24" ht="25.05" customHeight="1" x14ac:dyDescent="0.3">
      <c r="A247" s="2" t="s">
        <v>262</v>
      </c>
      <c r="B247" s="2" t="s">
        <v>262</v>
      </c>
      <c r="C247" s="1">
        <v>26</v>
      </c>
      <c r="D247" s="1">
        <v>2</v>
      </c>
      <c r="E247" s="1">
        <v>16</v>
      </c>
      <c r="F247" s="1">
        <v>8</v>
      </c>
      <c r="K247" s="1">
        <v>626</v>
      </c>
      <c r="L247" s="6">
        <v>160275</v>
      </c>
      <c r="M247" s="1">
        <v>118</v>
      </c>
      <c r="N247" s="1">
        <v>12</v>
      </c>
      <c r="O247" s="1">
        <v>7</v>
      </c>
      <c r="P247" s="1">
        <v>34.700000000000003</v>
      </c>
      <c r="Q247" s="11">
        <f>'Table H'!$J$48</f>
        <v>0.96922909923423073</v>
      </c>
      <c r="R247" s="11">
        <f t="shared" si="6"/>
        <v>155343.19387976633</v>
      </c>
      <c r="S247" s="11" t="str">
        <f t="shared" si="7"/>
        <v>Bideford MB</v>
      </c>
      <c r="T247" s="11" t="s">
        <v>5211</v>
      </c>
      <c r="V247" s="11" t="str">
        <f>INDEX('Lookup 1961'!$A$2:$A$1300, MATCH(S247, 'Lookup 1961'!$B$2:$B$1300,0))</f>
        <v>J04000139</v>
      </c>
      <c r="W247" s="11" t="str">
        <f>INDEX('Lookup 1961'!$F$2:$F$1300, MATCH(S247, 'Lookup 1961'!$B$2:$B$1300,0))</f>
        <v>e090201</v>
      </c>
      <c r="X247" s="11" t="str">
        <f>INDEX('Lookup 1961'!$C$2:$C$1300, MATCH(V247, 'Lookup 1961'!$A$2:$A$1300,0))</f>
        <v>Devon</v>
      </c>
    </row>
    <row r="248" spans="1:24" ht="25.05" customHeight="1" x14ac:dyDescent="0.3">
      <c r="A248" s="2" t="s">
        <v>263</v>
      </c>
      <c r="B248" s="2" t="s">
        <v>5250</v>
      </c>
      <c r="C248" s="1">
        <v>25</v>
      </c>
      <c r="D248" s="1">
        <v>6</v>
      </c>
      <c r="E248" s="1">
        <v>17</v>
      </c>
      <c r="F248" s="1">
        <v>6</v>
      </c>
      <c r="K248" s="1">
        <v>335</v>
      </c>
      <c r="L248" s="6">
        <v>86221</v>
      </c>
      <c r="M248" s="1">
        <v>52.3</v>
      </c>
      <c r="N248" s="1">
        <v>12</v>
      </c>
      <c r="O248" s="1">
        <v>3</v>
      </c>
      <c r="P248" s="1">
        <v>1.1000000000000001</v>
      </c>
      <c r="Q248" s="11">
        <f>'Table H'!$J$48</f>
        <v>0.96922909923423073</v>
      </c>
      <c r="R248" s="11">
        <f t="shared" si="6"/>
        <v>83567.902165074614</v>
      </c>
      <c r="S248" s="11" t="str">
        <f t="shared" si="7"/>
        <v>Dartmouth MB</v>
      </c>
      <c r="T248" s="11" t="s">
        <v>5211</v>
      </c>
      <c r="V248" s="11" t="str">
        <f>INDEX('Lookup 1961'!$A$2:$A$1300, MATCH(S248, 'Lookup 1961'!$B$2:$B$1300,0))</f>
        <v>J04000385</v>
      </c>
      <c r="W248" s="11" t="str">
        <f>INDEX('Lookup 1961'!$F$2:$F$1300, MATCH(S248, 'Lookup 1961'!$B$2:$B$1300,0))</f>
        <v>e090205</v>
      </c>
      <c r="X248" s="11" t="str">
        <f>INDEX('Lookup 1961'!$C$2:$C$1300, MATCH(V248, 'Lookup 1961'!$A$2:$A$1300,0))</f>
        <v>Devon</v>
      </c>
    </row>
    <row r="249" spans="1:24" ht="25.05" customHeight="1" x14ac:dyDescent="0.3">
      <c r="A249" s="2" t="s">
        <v>264</v>
      </c>
      <c r="B249" s="2" t="s">
        <v>264</v>
      </c>
      <c r="C249" s="1">
        <v>26</v>
      </c>
      <c r="D249" s="1">
        <v>0</v>
      </c>
      <c r="E249" s="1">
        <v>16</v>
      </c>
      <c r="F249" s="1">
        <v>6</v>
      </c>
      <c r="K249" s="1">
        <v>133</v>
      </c>
      <c r="L249" s="6">
        <v>32848</v>
      </c>
      <c r="M249" s="1">
        <v>101.2</v>
      </c>
      <c r="N249" s="1">
        <v>9</v>
      </c>
      <c r="O249" s="1">
        <v>8</v>
      </c>
      <c r="P249" s="1">
        <v>28.6</v>
      </c>
      <c r="Q249" s="11">
        <f>'Table H'!$J$48</f>
        <v>0.96922909923423073</v>
      </c>
      <c r="R249" s="11">
        <f t="shared" si="6"/>
        <v>31837.237451646011</v>
      </c>
      <c r="S249" s="11" t="str">
        <f t="shared" si="7"/>
        <v>Great Torrington MB</v>
      </c>
      <c r="T249" s="11" t="s">
        <v>5211</v>
      </c>
      <c r="V249" s="11" t="str">
        <f>INDEX('Lookup 1961'!$A$2:$A$1300, MATCH(S249, 'Lookup 1961'!$B$2:$B$1300,0))</f>
        <v>J04000551</v>
      </c>
      <c r="W249" s="11" t="str">
        <f>INDEX('Lookup 1961'!$F$2:$F$1300, MATCH(S249, 'Lookup 1961'!$B$2:$B$1300,0))</f>
        <v>e090208</v>
      </c>
      <c r="X249" s="11" t="str">
        <f>INDEX('Lookup 1961'!$C$2:$C$1300, MATCH(V249, 'Lookup 1961'!$A$2:$A$1300,0))</f>
        <v>Devon</v>
      </c>
    </row>
    <row r="250" spans="1:24" ht="25.05" customHeight="1" x14ac:dyDescent="0.3">
      <c r="A250" s="2" t="s">
        <v>265</v>
      </c>
      <c r="B250" s="2" t="s">
        <v>265</v>
      </c>
      <c r="C250" s="1">
        <v>24</v>
      </c>
      <c r="D250" s="1">
        <v>3</v>
      </c>
      <c r="E250" s="1">
        <v>17</v>
      </c>
      <c r="F250" s="1">
        <v>0</v>
      </c>
      <c r="K250" s="1">
        <v>239</v>
      </c>
      <c r="L250" s="6">
        <v>63438</v>
      </c>
      <c r="M250" s="1">
        <v>82</v>
      </c>
      <c r="N250" s="1">
        <v>11</v>
      </c>
      <c r="O250" s="1">
        <v>13</v>
      </c>
      <c r="P250" s="1">
        <v>30</v>
      </c>
      <c r="Q250" s="11">
        <f>'Table H'!$J$48</f>
        <v>0.96922909923423073</v>
      </c>
      <c r="R250" s="11">
        <f t="shared" si="6"/>
        <v>61485.955597221131</v>
      </c>
      <c r="S250" s="11" t="str">
        <f t="shared" si="7"/>
        <v>Honiton MB</v>
      </c>
      <c r="T250" s="11" t="s">
        <v>5211</v>
      </c>
      <c r="V250" s="11" t="str">
        <f>INDEX('Lookup 1961'!$A$2:$A$1300, MATCH(S250, 'Lookup 1961'!$B$2:$B$1300,0))</f>
        <v>J04000639</v>
      </c>
      <c r="W250" s="11" t="str">
        <f>INDEX('Lookup 1961'!$F$2:$F$1300, MATCH(S250, 'Lookup 1961'!$B$2:$B$1300,0))</f>
        <v>e090209</v>
      </c>
      <c r="X250" s="11" t="str">
        <f>INDEX('Lookup 1961'!$C$2:$C$1300, MATCH(V250, 'Lookup 1961'!$A$2:$A$1300,0))</f>
        <v>Devon</v>
      </c>
    </row>
    <row r="251" spans="1:24" ht="25.05" customHeight="1" x14ac:dyDescent="0.3">
      <c r="A251" s="2" t="s">
        <v>266</v>
      </c>
      <c r="B251" s="2" t="s">
        <v>266</v>
      </c>
      <c r="C251" s="1">
        <v>22</v>
      </c>
      <c r="D251" s="1">
        <v>6</v>
      </c>
      <c r="E251" s="1">
        <v>15</v>
      </c>
      <c r="F251" s="1">
        <v>6</v>
      </c>
      <c r="K251" s="1">
        <v>196</v>
      </c>
      <c r="L251" s="6">
        <v>49515</v>
      </c>
      <c r="M251" s="1">
        <v>84.8</v>
      </c>
      <c r="N251" s="1">
        <v>10</v>
      </c>
      <c r="O251" s="1">
        <v>4</v>
      </c>
      <c r="P251" s="1">
        <v>29.2</v>
      </c>
      <c r="Q251" s="11">
        <f>'Table H'!$J$48</f>
        <v>0.96922909923423073</v>
      </c>
      <c r="R251" s="11">
        <f t="shared" si="6"/>
        <v>47991.378848582935</v>
      </c>
      <c r="S251" s="11" t="str">
        <f t="shared" si="7"/>
        <v>Okehampton MB</v>
      </c>
      <c r="T251" s="11" t="s">
        <v>5211</v>
      </c>
      <c r="V251" s="11" t="str">
        <f>INDEX('Lookup 1961'!$A$2:$A$1300, MATCH(S251, 'Lookup 1961'!$B$2:$B$1300,0))</f>
        <v>J04000950</v>
      </c>
      <c r="W251" s="11" t="str">
        <f>INDEX('Lookup 1961'!$F$2:$F$1300, MATCH(S251, 'Lookup 1961'!$B$2:$B$1300,0))</f>
        <v>e090215</v>
      </c>
      <c r="X251" s="11" t="str">
        <f>INDEX('Lookup 1961'!$C$2:$C$1300, MATCH(V251, 'Lookup 1961'!$A$2:$A$1300,0))</f>
        <v>Devon</v>
      </c>
    </row>
    <row r="252" spans="1:24" ht="25.05" customHeight="1" x14ac:dyDescent="0.3">
      <c r="A252" s="2" t="s">
        <v>267</v>
      </c>
      <c r="B252" s="2" t="s">
        <v>1003</v>
      </c>
      <c r="C252" s="1">
        <v>24</v>
      </c>
      <c r="D252" s="1">
        <v>10</v>
      </c>
      <c r="E252" s="1">
        <v>16</v>
      </c>
      <c r="F252" s="1">
        <v>0</v>
      </c>
      <c r="K252" s="1">
        <v>163</v>
      </c>
      <c r="L252" s="6">
        <v>40989</v>
      </c>
      <c r="M252" s="1">
        <v>125.8</v>
      </c>
      <c r="N252" s="1">
        <v>10</v>
      </c>
      <c r="O252" s="1">
        <v>10</v>
      </c>
      <c r="P252" s="1">
        <v>48.5</v>
      </c>
      <c r="Q252" s="11">
        <f>'Table H'!$J$48</f>
        <v>0.96922909923423073</v>
      </c>
      <c r="R252" s="11">
        <f t="shared" si="6"/>
        <v>39727.731548511882</v>
      </c>
      <c r="S252" s="11" t="str">
        <f t="shared" si="7"/>
        <v>South Molton MB</v>
      </c>
      <c r="T252" s="11" t="s">
        <v>5211</v>
      </c>
      <c r="V252" s="11" t="str">
        <f>INDEX('Lookup 1961'!$A$2:$A$1300, MATCH(S252, 'Lookup 1961'!$B$2:$B$1300,0))</f>
        <v>J04001158</v>
      </c>
      <c r="W252" s="11" t="str">
        <f>INDEX('Lookup 1961'!$F$2:$F$1300, MATCH(S252, 'Lookup 1961'!$B$2:$B$1300,0))</f>
        <v>e090234</v>
      </c>
      <c r="X252" s="11" t="str">
        <f>INDEX('Lookup 1961'!$C$2:$C$1300, MATCH(V252, 'Lookup 1961'!$A$2:$A$1300,0))</f>
        <v>Devon</v>
      </c>
    </row>
    <row r="253" spans="1:24" ht="25.05" customHeight="1" x14ac:dyDescent="0.3">
      <c r="A253" s="2" t="s">
        <v>268</v>
      </c>
      <c r="B253" s="2" t="s">
        <v>268</v>
      </c>
      <c r="C253" s="1">
        <v>24</v>
      </c>
      <c r="D253" s="1">
        <v>4</v>
      </c>
      <c r="E253" s="1">
        <v>16</v>
      </c>
      <c r="F253" s="1">
        <v>8</v>
      </c>
      <c r="K253" s="1">
        <v>628</v>
      </c>
      <c r="L253" s="6">
        <v>162032</v>
      </c>
      <c r="M253" s="1">
        <v>98.3</v>
      </c>
      <c r="N253" s="1">
        <v>10</v>
      </c>
      <c r="O253" s="1">
        <v>17</v>
      </c>
      <c r="P253" s="1">
        <v>25</v>
      </c>
      <c r="Q253" s="11">
        <f>'Table H'!$J$48</f>
        <v>0.96922909923423073</v>
      </c>
      <c r="R253" s="11">
        <f t="shared" si="6"/>
        <v>157046.12940712087</v>
      </c>
      <c r="S253" s="11" t="str">
        <f t="shared" si="7"/>
        <v>Tiverton MB</v>
      </c>
      <c r="T253" s="11" t="s">
        <v>5211</v>
      </c>
      <c r="V253" s="11" t="str">
        <f>INDEX('Lookup 1961'!$A$2:$A$1300, MATCH(S253, 'Lookup 1961'!$B$2:$B$1300,0))</f>
        <v>J04001279</v>
      </c>
      <c r="W253" s="11" t="str">
        <f>INDEX('Lookup 1961'!$F$2:$F$1300, MATCH(S253, 'Lookup 1961'!$B$2:$B$1300,0))</f>
        <v>e090221</v>
      </c>
      <c r="X253" s="11" t="str">
        <f>INDEX('Lookup 1961'!$C$2:$C$1300, MATCH(V253, 'Lookup 1961'!$A$2:$A$1300,0))</f>
        <v>Devon</v>
      </c>
    </row>
    <row r="254" spans="1:24" ht="25.05" customHeight="1" x14ac:dyDescent="0.3">
      <c r="A254" s="2" t="s">
        <v>269</v>
      </c>
      <c r="B254" s="2" t="s">
        <v>269</v>
      </c>
      <c r="C254" s="1">
        <v>25</v>
      </c>
      <c r="D254" s="1">
        <v>10</v>
      </c>
      <c r="E254" s="1">
        <v>17</v>
      </c>
      <c r="F254" s="1">
        <v>4</v>
      </c>
      <c r="K254" s="6">
        <v>4250</v>
      </c>
      <c r="L254" s="6">
        <v>1070207</v>
      </c>
      <c r="M254" s="1">
        <v>76</v>
      </c>
      <c r="N254" s="1">
        <v>17</v>
      </c>
      <c r="O254" s="1">
        <v>17</v>
      </c>
      <c r="P254" s="1">
        <v>16.7</v>
      </c>
      <c r="Q254" s="11">
        <f>'Table H'!$J$48</f>
        <v>0.96922909923423073</v>
      </c>
      <c r="R254" s="11">
        <f t="shared" si="6"/>
        <v>1037275.7666041683</v>
      </c>
      <c r="S254" s="11" t="str">
        <f t="shared" si="7"/>
        <v>Torquay MB</v>
      </c>
      <c r="T254" s="11" t="s">
        <v>5211</v>
      </c>
      <c r="V254" s="11" t="str">
        <f>INDEX('Lookup 1961'!$A$2:$A$1300, MATCH(S254, 'Lookup 1961'!$B$2:$B$1300,0))</f>
        <v>J04001285</v>
      </c>
      <c r="W254" s="11" t="str">
        <f>INDEX('Lookup 1961'!$F$2:$F$1300, MATCH(S254, 'Lookup 1961'!$B$2:$B$1300,0))</f>
        <v>e090198</v>
      </c>
      <c r="X254" s="11" t="str">
        <f>INDEX('Lookup 1961'!$C$2:$C$1300, MATCH(V254, 'Lookup 1961'!$A$2:$A$1300,0))</f>
        <v>Devon</v>
      </c>
    </row>
    <row r="255" spans="1:24" ht="25.05" customHeight="1" x14ac:dyDescent="0.3">
      <c r="A255" s="2" t="s">
        <v>270</v>
      </c>
      <c r="B255" s="2" t="s">
        <v>270</v>
      </c>
      <c r="C255" s="1">
        <v>23</v>
      </c>
      <c r="D255" s="1">
        <v>2</v>
      </c>
      <c r="E255" s="1">
        <v>16</v>
      </c>
      <c r="F255" s="1">
        <v>6</v>
      </c>
      <c r="K255" s="1">
        <v>306</v>
      </c>
      <c r="L255" s="6">
        <v>77708</v>
      </c>
      <c r="M255" s="1">
        <v>60</v>
      </c>
      <c r="N255" s="1">
        <v>11</v>
      </c>
      <c r="O255" s="1">
        <v>1</v>
      </c>
      <c r="P255" s="1">
        <v>11</v>
      </c>
      <c r="Q255" s="11">
        <f>'Table H'!$J$48</f>
        <v>0.96922909923423073</v>
      </c>
      <c r="R255" s="11">
        <f t="shared" si="6"/>
        <v>75316.854843293608</v>
      </c>
      <c r="S255" s="11" t="str">
        <f t="shared" si="7"/>
        <v>Totnes MB</v>
      </c>
      <c r="T255" s="11" t="s">
        <v>5211</v>
      </c>
      <c r="V255" s="11" t="str">
        <f>INDEX('Lookup 1961'!$A$2:$A$1300, MATCH(S255, 'Lookup 1961'!$B$2:$B$1300,0))</f>
        <v>J04001287</v>
      </c>
      <c r="W255" s="11" t="str">
        <f>INDEX('Lookup 1961'!$F$2:$F$1300, MATCH(S255, 'Lookup 1961'!$B$2:$B$1300,0))</f>
        <v>e090222</v>
      </c>
      <c r="X255" s="11" t="str">
        <f>INDEX('Lookup 1961'!$C$2:$C$1300, MATCH(V255, 'Lookup 1961'!$A$2:$A$1300,0))</f>
        <v>Devon</v>
      </c>
    </row>
    <row r="256" spans="1:24" ht="25.05" customHeight="1" x14ac:dyDescent="0.3">
      <c r="A256" s="2" t="s">
        <v>150</v>
      </c>
      <c r="B256" s="2" t="s">
        <v>1221</v>
      </c>
      <c r="S256" s="11" t="str">
        <f t="shared" si="7"/>
        <v xml:space="preserve">Urban Districts  </v>
      </c>
      <c r="V256" s="11" t="e">
        <f>INDEX('Lookup 1961'!$A$2:$A$1300, MATCH(S256, 'Lookup 1961'!$B$2:$B$1300,0))</f>
        <v>#N/A</v>
      </c>
      <c r="W256" s="11" t="e">
        <f>INDEX('Lookup 1961'!$F$2:$F$1300, MATCH(S256, 'Lookup 1961'!$B$2:$B$1300,0))</f>
        <v>#N/A</v>
      </c>
      <c r="X256" s="11" t="e">
        <f>INDEX('Lookup 1961'!$C$2:$C$1300, MATCH(V256, 'Lookup 1961'!$A$2:$A$1300,0))</f>
        <v>#N/A</v>
      </c>
    </row>
    <row r="257" spans="1:24" ht="25.05" customHeight="1" x14ac:dyDescent="0.3">
      <c r="A257" s="2" t="s">
        <v>271</v>
      </c>
      <c r="B257" s="2" t="s">
        <v>271</v>
      </c>
      <c r="C257" s="1">
        <v>25</v>
      </c>
      <c r="D257" s="1">
        <v>4</v>
      </c>
      <c r="E257" s="1">
        <v>17</v>
      </c>
      <c r="F257" s="1">
        <v>10</v>
      </c>
      <c r="K257" s="1">
        <v>108</v>
      </c>
      <c r="L257" s="6">
        <v>27973</v>
      </c>
      <c r="M257" s="1">
        <v>75.099999999999994</v>
      </c>
      <c r="N257" s="1">
        <v>8</v>
      </c>
      <c r="O257" s="1">
        <v>10</v>
      </c>
      <c r="P257" s="1">
        <v>22.7</v>
      </c>
      <c r="Q257" s="11">
        <f>'Table H'!$J$49</f>
        <v>0.97985614566894108</v>
      </c>
      <c r="R257" s="11">
        <f t="shared" si="6"/>
        <v>27409.51596279729</v>
      </c>
      <c r="S257" s="11" t="str">
        <f t="shared" si="7"/>
        <v>Ashburton UD</v>
      </c>
      <c r="T257" s="11" t="s">
        <v>5214</v>
      </c>
      <c r="V257" s="11" t="str">
        <f>INDEX('Lookup 1961'!$A$2:$A$1300, MATCH(S257, 'Lookup 1961'!$B$2:$B$1300,0))</f>
        <v>J04000050</v>
      </c>
      <c r="W257" s="11" t="str">
        <f>INDEX('Lookup 1961'!$F$2:$F$1300, MATCH(S257, 'Lookup 1961'!$B$2:$B$1300,0))</f>
        <v>e090199</v>
      </c>
      <c r="X257" s="11" t="str">
        <f>INDEX('Lookup 1961'!$C$2:$C$1300, MATCH(V257, 'Lookup 1961'!$A$2:$A$1300,0))</f>
        <v>Devon</v>
      </c>
    </row>
    <row r="258" spans="1:24" ht="25.05" customHeight="1" x14ac:dyDescent="0.3">
      <c r="A258" s="2" t="s">
        <v>272</v>
      </c>
      <c r="B258" s="2" t="s">
        <v>272</v>
      </c>
      <c r="C258" s="1">
        <v>25</v>
      </c>
      <c r="D258" s="1">
        <v>0</v>
      </c>
      <c r="E258" s="1">
        <v>16</v>
      </c>
      <c r="F258" s="1">
        <v>0</v>
      </c>
      <c r="K258" s="1">
        <v>510</v>
      </c>
      <c r="L258" s="6">
        <v>129818</v>
      </c>
      <c r="M258" s="1">
        <v>108.1</v>
      </c>
      <c r="N258" s="1">
        <v>10</v>
      </c>
      <c r="O258" s="1">
        <v>18</v>
      </c>
      <c r="P258" s="1">
        <v>28.6</v>
      </c>
      <c r="Q258" s="11">
        <f>'Table H'!$J$49</f>
        <v>0.97985614566894108</v>
      </c>
      <c r="R258" s="11">
        <f t="shared" si="6"/>
        <v>127202.96511845059</v>
      </c>
      <c r="S258" s="11" t="str">
        <f t="shared" si="7"/>
        <v>Brixham UD</v>
      </c>
      <c r="T258" s="11" t="s">
        <v>5214</v>
      </c>
      <c r="V258" s="11" t="str">
        <f>INDEX('Lookup 1961'!$A$2:$A$1300, MATCH(S258, 'Lookup 1961'!$B$2:$B$1300,0))</f>
        <v>J04000214</v>
      </c>
      <c r="W258" s="11" t="str">
        <f>INDEX('Lookup 1961'!$F$2:$F$1300, MATCH(S258, 'Lookup 1961'!$B$2:$B$1300,0))</f>
        <v>e090198</v>
      </c>
      <c r="X258" s="11" t="str">
        <f>INDEX('Lookup 1961'!$C$2:$C$1300, MATCH(V258, 'Lookup 1961'!$A$2:$A$1300,0))</f>
        <v>Devon</v>
      </c>
    </row>
    <row r="259" spans="1:24" ht="25.05" customHeight="1" x14ac:dyDescent="0.3">
      <c r="A259" s="2" t="s">
        <v>273</v>
      </c>
      <c r="B259" s="2" t="s">
        <v>273</v>
      </c>
      <c r="C259" s="1">
        <v>23</v>
      </c>
      <c r="D259" s="1">
        <v>0</v>
      </c>
      <c r="E259" s="1">
        <v>15</v>
      </c>
      <c r="F259" s="1">
        <v>0</v>
      </c>
      <c r="K259" s="1">
        <v>119</v>
      </c>
      <c r="L259" s="6">
        <v>30373</v>
      </c>
      <c r="M259" s="1">
        <v>97</v>
      </c>
      <c r="N259" s="1">
        <v>9</v>
      </c>
      <c r="O259" s="1">
        <v>0</v>
      </c>
      <c r="P259" s="1">
        <v>28.6</v>
      </c>
      <c r="Q259" s="11">
        <f>'Table H'!$J$49</f>
        <v>0.97985614566894108</v>
      </c>
      <c r="R259" s="11">
        <f t="shared" si="6"/>
        <v>29761.170712402749</v>
      </c>
      <c r="S259" s="11" t="str">
        <f t="shared" si="7"/>
        <v>Buckfastleigh UD</v>
      </c>
      <c r="T259" s="11" t="s">
        <v>5214</v>
      </c>
      <c r="V259" s="11" t="str">
        <f>INDEX('Lookup 1961'!$A$2:$A$1300, MATCH(S259, 'Lookup 1961'!$B$2:$B$1300,0))</f>
        <v>J04000225</v>
      </c>
      <c r="W259" s="11" t="str">
        <f>INDEX('Lookup 1961'!$F$2:$F$1300, MATCH(S259, 'Lookup 1961'!$B$2:$B$1300,0))</f>
        <v>e090202</v>
      </c>
      <c r="X259" s="11" t="str">
        <f>INDEX('Lookup 1961'!$C$2:$C$1300, MATCH(V259, 'Lookup 1961'!$A$2:$A$1300,0))</f>
        <v>Devon</v>
      </c>
    </row>
    <row r="260" spans="1:24" ht="25.05" customHeight="1" x14ac:dyDescent="0.3">
      <c r="A260" s="2" t="s">
        <v>274</v>
      </c>
      <c r="B260" s="2" t="s">
        <v>274</v>
      </c>
      <c r="C260" s="1">
        <v>23</v>
      </c>
      <c r="D260" s="1">
        <v>0</v>
      </c>
      <c r="E260" s="1">
        <v>15</v>
      </c>
      <c r="F260" s="1">
        <v>6</v>
      </c>
      <c r="K260" s="1">
        <v>326</v>
      </c>
      <c r="L260" s="6">
        <v>81780</v>
      </c>
      <c r="M260" s="1">
        <v>62.8</v>
      </c>
      <c r="N260" s="1">
        <v>15</v>
      </c>
      <c r="O260" s="1">
        <v>15</v>
      </c>
      <c r="P260" s="1">
        <v>7.8</v>
      </c>
      <c r="Q260" s="11">
        <f>'Table H'!$J$49</f>
        <v>0.97985614566894108</v>
      </c>
      <c r="R260" s="11">
        <f t="shared" ref="R260:R323" si="8">Q260*L260</f>
        <v>80132.635592806007</v>
      </c>
      <c r="S260" s="11" t="str">
        <f t="shared" si="7"/>
        <v>Budleigh Salterton UD</v>
      </c>
      <c r="T260" s="11" t="s">
        <v>5214</v>
      </c>
      <c r="V260" s="11" t="str">
        <f>INDEX('Lookup 1961'!$A$2:$A$1300, MATCH(S260, 'Lookup 1961'!$B$2:$B$1300,0))</f>
        <v>J04000231</v>
      </c>
      <c r="W260" s="11" t="str">
        <f>INDEX('Lookup 1961'!$F$2:$F$1300, MATCH(S260, 'Lookup 1961'!$B$2:$B$1300,0))</f>
        <v>e090203</v>
      </c>
      <c r="X260" s="11" t="str">
        <f>INDEX('Lookup 1961'!$C$2:$C$1300, MATCH(V260, 'Lookup 1961'!$A$2:$A$1300,0))</f>
        <v>Devon</v>
      </c>
    </row>
    <row r="261" spans="1:24" ht="25.05" customHeight="1" x14ac:dyDescent="0.3">
      <c r="A261" s="2" t="s">
        <v>275</v>
      </c>
      <c r="B261" s="2" t="s">
        <v>275</v>
      </c>
      <c r="C261" s="1">
        <v>24</v>
      </c>
      <c r="D261" s="1">
        <v>2</v>
      </c>
      <c r="E261" s="1">
        <v>15</v>
      </c>
      <c r="F261" s="1">
        <v>5</v>
      </c>
      <c r="K261" s="1">
        <v>221</v>
      </c>
      <c r="L261" s="6">
        <v>55946</v>
      </c>
      <c r="M261" s="1">
        <v>126.4</v>
      </c>
      <c r="N261" s="1">
        <v>9</v>
      </c>
      <c r="O261" s="1">
        <v>18</v>
      </c>
      <c r="P261" s="1">
        <v>44.5</v>
      </c>
      <c r="Q261" s="11">
        <f>'Table H'!$J$49</f>
        <v>0.97985614566894108</v>
      </c>
      <c r="R261" s="11">
        <f t="shared" si="8"/>
        <v>54819.03192559458</v>
      </c>
      <c r="S261" s="11" t="str">
        <f t="shared" ref="S261:S324" si="9">_xlfn.CONCAT(B261," ",T261)</f>
        <v>Crediton UD</v>
      </c>
      <c r="T261" s="11" t="s">
        <v>5214</v>
      </c>
      <c r="V261" s="11" t="str">
        <f>INDEX('Lookup 1961'!$A$2:$A$1300, MATCH(S261, 'Lookup 1961'!$B$2:$B$1300,0))</f>
        <v>J04000360</v>
      </c>
      <c r="W261" s="11" t="str">
        <f>INDEX('Lookup 1961'!$F$2:$F$1300, MATCH(S261, 'Lookup 1961'!$B$2:$B$1300,0))</f>
        <v>e090204</v>
      </c>
      <c r="X261" s="11" t="str">
        <f>INDEX('Lookup 1961'!$C$2:$C$1300, MATCH(V261, 'Lookup 1961'!$A$2:$A$1300,0))</f>
        <v>Devon</v>
      </c>
    </row>
    <row r="262" spans="1:24" ht="25.05" customHeight="1" x14ac:dyDescent="0.3">
      <c r="A262" s="2" t="s">
        <v>276</v>
      </c>
      <c r="B262" s="2" t="s">
        <v>276</v>
      </c>
      <c r="C262" s="1">
        <v>25</v>
      </c>
      <c r="D262" s="1">
        <v>10</v>
      </c>
      <c r="E262" s="1">
        <v>18</v>
      </c>
      <c r="F262" s="1">
        <v>5</v>
      </c>
      <c r="K262" s="1">
        <v>375</v>
      </c>
      <c r="L262" s="6">
        <v>93812</v>
      </c>
      <c r="M262" s="1">
        <v>71</v>
      </c>
      <c r="N262" s="1">
        <v>11</v>
      </c>
      <c r="O262" s="1">
        <v>17</v>
      </c>
      <c r="P262" s="1">
        <v>19.399999999999999</v>
      </c>
      <c r="Q262" s="11">
        <f>'Table H'!$J$49</f>
        <v>0.97985614566894108</v>
      </c>
      <c r="R262" s="11">
        <f t="shared" si="8"/>
        <v>91922.264737494697</v>
      </c>
      <c r="S262" s="11" t="str">
        <f t="shared" si="9"/>
        <v>Dawlish UD</v>
      </c>
      <c r="T262" s="11" t="s">
        <v>5214</v>
      </c>
      <c r="V262" s="11" t="str">
        <f>INDEX('Lookup 1961'!$A$2:$A$1300, MATCH(S262, 'Lookup 1961'!$B$2:$B$1300,0))</f>
        <v>J04000391</v>
      </c>
      <c r="W262" s="11" t="str">
        <f>INDEX('Lookup 1961'!$F$2:$F$1300, MATCH(S262, 'Lookup 1961'!$B$2:$B$1300,0))</f>
        <v>e090206</v>
      </c>
      <c r="X262" s="11" t="str">
        <f>INDEX('Lookup 1961'!$C$2:$C$1300, MATCH(V262, 'Lookup 1961'!$A$2:$A$1300,0))</f>
        <v>Devon</v>
      </c>
    </row>
    <row r="263" spans="1:24" ht="25.05" customHeight="1" x14ac:dyDescent="0.3">
      <c r="A263" s="2" t="s">
        <v>277</v>
      </c>
      <c r="B263" s="2" t="s">
        <v>277</v>
      </c>
      <c r="C263" s="1">
        <v>25</v>
      </c>
      <c r="D263" s="1">
        <v>0</v>
      </c>
      <c r="E263" s="1">
        <v>16</v>
      </c>
      <c r="F263" s="1">
        <v>6</v>
      </c>
      <c r="K263" s="6">
        <v>1400</v>
      </c>
      <c r="L263" s="6">
        <v>359193</v>
      </c>
      <c r="M263" s="1">
        <v>82.9</v>
      </c>
      <c r="N263" s="1">
        <v>15</v>
      </c>
      <c r="O263" s="1">
        <v>15</v>
      </c>
      <c r="P263" s="1">
        <v>14.9</v>
      </c>
      <c r="Q263" s="11">
        <f>'Table H'!$J$49</f>
        <v>0.97985614566894108</v>
      </c>
      <c r="R263" s="11">
        <f t="shared" si="8"/>
        <v>351957.46853126393</v>
      </c>
      <c r="S263" s="11" t="str">
        <f t="shared" si="9"/>
        <v>Exmouth UD</v>
      </c>
      <c r="T263" s="11" t="s">
        <v>5214</v>
      </c>
      <c r="V263" s="11" t="str">
        <f>INDEX('Lookup 1961'!$A$2:$A$1300, MATCH(S263, 'Lookup 1961'!$B$2:$B$1300,0))</f>
        <v>J04000487</v>
      </c>
      <c r="W263" s="11" t="str">
        <f>INDEX('Lookup 1961'!$F$2:$F$1300, MATCH(S263, 'Lookup 1961'!$B$2:$B$1300,0))</f>
        <v>e090207</v>
      </c>
      <c r="X263" s="11" t="str">
        <f>INDEX('Lookup 1961'!$C$2:$C$1300, MATCH(V263, 'Lookup 1961'!$A$2:$A$1300,0))</f>
        <v>Devon</v>
      </c>
    </row>
    <row r="264" spans="1:24" ht="25.05" customHeight="1" x14ac:dyDescent="0.3">
      <c r="A264" s="2" t="s">
        <v>278</v>
      </c>
      <c r="B264" s="2" t="s">
        <v>278</v>
      </c>
      <c r="C264" s="1">
        <v>25</v>
      </c>
      <c r="D264" s="1">
        <v>0</v>
      </c>
      <c r="E264" s="1">
        <v>17</v>
      </c>
      <c r="F264" s="1">
        <v>0</v>
      </c>
      <c r="K264" s="1">
        <v>92</v>
      </c>
      <c r="L264" s="6">
        <v>23049</v>
      </c>
      <c r="M264" s="1">
        <v>81.5</v>
      </c>
      <c r="N264" s="1">
        <v>12</v>
      </c>
      <c r="O264" s="1">
        <v>7</v>
      </c>
      <c r="P264" s="1">
        <v>24.4</v>
      </c>
      <c r="Q264" s="11">
        <f>'Table H'!$J$49</f>
        <v>0.97985614566894108</v>
      </c>
      <c r="R264" s="11">
        <f t="shared" si="8"/>
        <v>22584.704301523423</v>
      </c>
      <c r="S264" s="11" t="str">
        <f t="shared" si="9"/>
        <v>Holsworthy UD</v>
      </c>
      <c r="T264" s="11" t="s">
        <v>5214</v>
      </c>
      <c r="V264" s="11" t="str">
        <f>INDEX('Lookup 1961'!$A$2:$A$1300, MATCH(S264, 'Lookup 1961'!$B$2:$B$1300,0))</f>
        <v>J04000635</v>
      </c>
      <c r="W264" s="11" t="str">
        <f>INDEX('Lookup 1961'!$F$2:$F$1300, MATCH(S264, 'Lookup 1961'!$B$2:$B$1300,0))</f>
        <v>e090227</v>
      </c>
      <c r="X264" s="11" t="str">
        <f>INDEX('Lookup 1961'!$C$2:$C$1300, MATCH(V264, 'Lookup 1961'!$A$2:$A$1300,0))</f>
        <v>Devon</v>
      </c>
    </row>
    <row r="265" spans="1:24" ht="25.05" customHeight="1" x14ac:dyDescent="0.3">
      <c r="A265" s="2" t="s">
        <v>279</v>
      </c>
      <c r="B265" s="2" t="s">
        <v>279</v>
      </c>
      <c r="C265" s="1">
        <v>27</v>
      </c>
      <c r="D265" s="1">
        <v>4</v>
      </c>
      <c r="E265" s="1">
        <v>17</v>
      </c>
      <c r="F265" s="1">
        <v>11</v>
      </c>
      <c r="K265" s="1">
        <v>685</v>
      </c>
      <c r="L265" s="6">
        <v>174576</v>
      </c>
      <c r="M265" s="1">
        <v>95.5</v>
      </c>
      <c r="N265" s="1">
        <v>16</v>
      </c>
      <c r="O265" s="1">
        <v>19</v>
      </c>
      <c r="P265" s="1">
        <v>27.5</v>
      </c>
      <c r="Q265" s="11">
        <f>'Table H'!$J$49</f>
        <v>0.97985614566894108</v>
      </c>
      <c r="R265" s="11">
        <f t="shared" si="8"/>
        <v>171059.36648630106</v>
      </c>
      <c r="S265" s="11" t="str">
        <f t="shared" si="9"/>
        <v>Ilfracombe UD</v>
      </c>
      <c r="T265" s="11" t="s">
        <v>5214</v>
      </c>
      <c r="V265" s="11" t="str">
        <f>INDEX('Lookup 1961'!$A$2:$A$1300, MATCH(S265, 'Lookup 1961'!$B$2:$B$1300,0))</f>
        <v>J04000666</v>
      </c>
      <c r="W265" s="11" t="str">
        <f>INDEX('Lookup 1961'!$F$2:$F$1300, MATCH(S265, 'Lookup 1961'!$B$2:$B$1300,0))</f>
        <v>e090210</v>
      </c>
      <c r="X265" s="11" t="str">
        <f>INDEX('Lookup 1961'!$C$2:$C$1300, MATCH(V265, 'Lookup 1961'!$A$2:$A$1300,0))</f>
        <v>Devon</v>
      </c>
    </row>
    <row r="266" spans="1:24" ht="25.05" customHeight="1" x14ac:dyDescent="0.3">
      <c r="A266" s="2" t="s">
        <v>280</v>
      </c>
      <c r="B266" s="2" t="s">
        <v>280</v>
      </c>
      <c r="C266" s="1">
        <v>24</v>
      </c>
      <c r="D266" s="1">
        <v>3</v>
      </c>
      <c r="E266" s="1">
        <v>16</v>
      </c>
      <c r="F266" s="1">
        <v>0</v>
      </c>
      <c r="K266" s="1">
        <v>192</v>
      </c>
      <c r="L266" s="6">
        <v>48597</v>
      </c>
      <c r="M266" s="1">
        <v>99.6</v>
      </c>
      <c r="N266" s="1">
        <v>12</v>
      </c>
      <c r="O266" s="1">
        <v>0</v>
      </c>
      <c r="P266" s="1">
        <v>30.7</v>
      </c>
      <c r="Q266" s="11">
        <f>'Table H'!$J$49</f>
        <v>0.97985614566894108</v>
      </c>
      <c r="R266" s="11">
        <f t="shared" si="8"/>
        <v>47618.069111073528</v>
      </c>
      <c r="S266" s="11" t="str">
        <f t="shared" si="9"/>
        <v>Kingsbridge UD</v>
      </c>
      <c r="T266" s="11" t="s">
        <v>5214</v>
      </c>
      <c r="V266" s="11" t="str">
        <f>INDEX('Lookup 1961'!$A$2:$A$1300, MATCH(S266, 'Lookup 1961'!$B$2:$B$1300,0))</f>
        <v>J04000697</v>
      </c>
      <c r="W266" s="11" t="str">
        <f>INDEX('Lookup 1961'!$F$2:$F$1300, MATCH(S266, 'Lookup 1961'!$B$2:$B$1300,0))</f>
        <v>e090211</v>
      </c>
      <c r="X266" s="11" t="str">
        <f>INDEX('Lookup 1961'!$C$2:$C$1300, MATCH(V266, 'Lookup 1961'!$A$2:$A$1300,0))</f>
        <v>Devon</v>
      </c>
    </row>
    <row r="267" spans="1:24" ht="25.05" customHeight="1" x14ac:dyDescent="0.3">
      <c r="A267" s="2" t="s">
        <v>281</v>
      </c>
      <c r="B267" s="2" t="s">
        <v>281</v>
      </c>
      <c r="C267" s="1">
        <v>27</v>
      </c>
      <c r="D267" s="1">
        <v>1</v>
      </c>
      <c r="E267" s="1">
        <v>17</v>
      </c>
      <c r="F267" s="1">
        <v>4</v>
      </c>
      <c r="K267" s="1">
        <v>115</v>
      </c>
      <c r="L267" s="6">
        <v>29666</v>
      </c>
      <c r="M267" s="1">
        <v>76.599999999999994</v>
      </c>
      <c r="N267" s="1">
        <v>13</v>
      </c>
      <c r="O267" s="1">
        <v>10</v>
      </c>
      <c r="P267" s="1">
        <v>11</v>
      </c>
      <c r="Q267" s="11">
        <f>'Table H'!$J$49</f>
        <v>0.97985614566894108</v>
      </c>
      <c r="R267" s="11">
        <f t="shared" si="8"/>
        <v>29068.412417414806</v>
      </c>
      <c r="S267" s="11" t="str">
        <f t="shared" si="9"/>
        <v>Lynton UD</v>
      </c>
      <c r="T267" s="11" t="s">
        <v>5214</v>
      </c>
      <c r="V267" s="11" t="str">
        <f>INDEX('Lookup 1961'!$A$2:$A$1300, MATCH(S267, 'Lookup 1961'!$B$2:$B$1300,0))</f>
        <v>J04000798</v>
      </c>
      <c r="W267" s="11" t="str">
        <f>INDEX('Lookup 1961'!$F$2:$F$1300, MATCH(S267, 'Lookup 1961'!$B$2:$B$1300,0))</f>
        <v>e090212</v>
      </c>
      <c r="X267" s="11" t="str">
        <f>INDEX('Lookup 1961'!$C$2:$C$1300, MATCH(V267, 'Lookup 1961'!$A$2:$A$1300,0))</f>
        <v>Devon</v>
      </c>
    </row>
    <row r="268" spans="1:24" ht="25.05" customHeight="1" x14ac:dyDescent="0.3">
      <c r="A268" s="2" t="s">
        <v>282</v>
      </c>
      <c r="B268" s="2" t="s">
        <v>282</v>
      </c>
      <c r="C268" s="1">
        <v>25</v>
      </c>
      <c r="D268" s="1">
        <v>4</v>
      </c>
      <c r="E268" s="1">
        <v>17</v>
      </c>
      <c r="F268" s="1">
        <v>0</v>
      </c>
      <c r="K268" s="6">
        <v>1018</v>
      </c>
      <c r="L268" s="6">
        <v>264861</v>
      </c>
      <c r="M268" s="1">
        <v>91.3</v>
      </c>
      <c r="N268" s="1">
        <v>12</v>
      </c>
      <c r="O268" s="1">
        <v>19</v>
      </c>
      <c r="P268" s="1">
        <v>28</v>
      </c>
      <c r="Q268" s="11">
        <f>'Table H'!$J$49</f>
        <v>0.97985614566894108</v>
      </c>
      <c r="R268" s="11">
        <f t="shared" si="8"/>
        <v>259525.67859802139</v>
      </c>
      <c r="S268" s="11" t="str">
        <f t="shared" si="9"/>
        <v>Newton Abbot UD</v>
      </c>
      <c r="T268" s="11" t="s">
        <v>5214</v>
      </c>
      <c r="V268" s="11" t="str">
        <f>INDEX('Lookup 1961'!$A$2:$A$1300, MATCH(S268, 'Lookup 1961'!$B$2:$B$1300,0))</f>
        <v>J04000914</v>
      </c>
      <c r="W268" s="11" t="str">
        <f>INDEX('Lookup 1961'!$F$2:$F$1300, MATCH(S268, 'Lookup 1961'!$B$2:$B$1300,0))</f>
        <v>e090213</v>
      </c>
      <c r="X268" s="11" t="str">
        <f>INDEX('Lookup 1961'!$C$2:$C$1300, MATCH(V268, 'Lookup 1961'!$A$2:$A$1300,0))</f>
        <v>Devon</v>
      </c>
    </row>
    <row r="269" spans="1:24" ht="25.05" customHeight="1" x14ac:dyDescent="0.3">
      <c r="A269" s="2" t="s">
        <v>283</v>
      </c>
      <c r="B269" s="2" t="s">
        <v>283</v>
      </c>
      <c r="C269" s="1">
        <v>24</v>
      </c>
      <c r="D269" s="1">
        <v>2</v>
      </c>
      <c r="E269" s="1">
        <v>16</v>
      </c>
      <c r="F269" s="1">
        <v>6</v>
      </c>
      <c r="K269" s="1">
        <v>309</v>
      </c>
      <c r="L269" s="6">
        <v>80362</v>
      </c>
      <c r="M269" s="1">
        <v>87.6</v>
      </c>
      <c r="N269" s="1">
        <v>9</v>
      </c>
      <c r="O269" s="1">
        <v>4</v>
      </c>
      <c r="P269" s="1">
        <v>18.399999999999999</v>
      </c>
      <c r="Q269" s="11">
        <f>'Table H'!$J$49</f>
        <v>0.97985614566894108</v>
      </c>
      <c r="R269" s="11">
        <f t="shared" si="8"/>
        <v>78743.199578247441</v>
      </c>
      <c r="S269" s="11" t="str">
        <f t="shared" si="9"/>
        <v>Northam UD</v>
      </c>
      <c r="T269" s="11" t="s">
        <v>5214</v>
      </c>
      <c r="V269" s="11" t="str">
        <f>INDEX('Lookup 1961'!$A$2:$A$1300, MATCH(S269, 'Lookup 1961'!$B$2:$B$1300,0))</f>
        <v>J04000931</v>
      </c>
      <c r="W269" s="11" t="str">
        <f>INDEX('Lookup 1961'!$F$2:$F$1300, MATCH(S269, 'Lookup 1961'!$B$2:$B$1300,0))</f>
        <v>e090214</v>
      </c>
      <c r="X269" s="11" t="str">
        <f>INDEX('Lookup 1961'!$C$2:$C$1300, MATCH(V269, 'Lookup 1961'!$A$2:$A$1300,0))</f>
        <v>Devon</v>
      </c>
    </row>
    <row r="270" spans="1:24" ht="25.05" customHeight="1" x14ac:dyDescent="0.3">
      <c r="A270" s="2" t="s">
        <v>284</v>
      </c>
      <c r="B270" s="2" t="s">
        <v>284</v>
      </c>
      <c r="C270" s="1">
        <v>22</v>
      </c>
      <c r="D270" s="1">
        <v>0</v>
      </c>
      <c r="E270" s="1">
        <v>15</v>
      </c>
      <c r="F270" s="1">
        <v>0</v>
      </c>
      <c r="K270" s="1">
        <v>175</v>
      </c>
      <c r="L270" s="6">
        <v>44639</v>
      </c>
      <c r="M270" s="1">
        <v>88.5</v>
      </c>
      <c r="N270" s="1">
        <v>7</v>
      </c>
      <c r="O270" s="1">
        <v>17</v>
      </c>
      <c r="P270" s="1">
        <v>27.4</v>
      </c>
      <c r="Q270" s="11">
        <f>'Table H'!$J$49</f>
        <v>0.97985614566894108</v>
      </c>
      <c r="R270" s="11">
        <f t="shared" si="8"/>
        <v>43739.798486515858</v>
      </c>
      <c r="S270" s="11" t="str">
        <f t="shared" si="9"/>
        <v>Ottery St. Mary UD</v>
      </c>
      <c r="T270" s="11" t="s">
        <v>5214</v>
      </c>
      <c r="V270" s="11" t="str">
        <f>INDEX('Lookup 1961'!$A$2:$A$1300, MATCH(S270, 'Lookup 1961'!$B$2:$B$1300,0))</f>
        <v>J04000964</v>
      </c>
      <c r="W270" s="11" t="str">
        <f>INDEX('Lookup 1961'!$F$2:$F$1300, MATCH(S270, 'Lookup 1961'!$B$2:$B$1300,0))</f>
        <v>e090216</v>
      </c>
      <c r="X270" s="11" t="str">
        <f>INDEX('Lookup 1961'!$C$2:$C$1300, MATCH(V270, 'Lookup 1961'!$A$2:$A$1300,0))</f>
        <v>Devon</v>
      </c>
    </row>
    <row r="271" spans="1:24" ht="25.05" customHeight="1" x14ac:dyDescent="0.3">
      <c r="A271" s="2" t="s">
        <v>285</v>
      </c>
      <c r="B271" s="2" t="s">
        <v>285</v>
      </c>
      <c r="C271" s="1">
        <v>24</v>
      </c>
      <c r="D271" s="1">
        <v>4</v>
      </c>
      <c r="E271" s="1">
        <v>17</v>
      </c>
      <c r="F271" s="1">
        <v>6</v>
      </c>
      <c r="K271" s="6">
        <v>1949</v>
      </c>
      <c r="L271" s="6">
        <v>491824</v>
      </c>
      <c r="M271" s="1">
        <v>81.8</v>
      </c>
      <c r="N271" s="1">
        <v>16</v>
      </c>
      <c r="O271" s="1">
        <v>1</v>
      </c>
      <c r="P271" s="1">
        <v>24.8</v>
      </c>
      <c r="Q271" s="11">
        <f>'Table H'!$J$49</f>
        <v>0.97985614566894108</v>
      </c>
      <c r="R271" s="11">
        <f t="shared" si="8"/>
        <v>481916.76898748125</v>
      </c>
      <c r="S271" s="11" t="str">
        <f t="shared" si="9"/>
        <v>Paignton UD</v>
      </c>
      <c r="T271" s="11" t="s">
        <v>5214</v>
      </c>
      <c r="V271" s="11" t="str">
        <f>INDEX('Lookup 1961'!$A$2:$A$1300, MATCH(S271, 'Lookup 1961'!$B$2:$B$1300,0))</f>
        <v>J04000971</v>
      </c>
      <c r="W271" s="11" t="str">
        <f>INDEX('Lookup 1961'!$F$2:$F$1300, MATCH(S271, 'Lookup 1961'!$B$2:$B$1300,0))</f>
        <v>e090198</v>
      </c>
      <c r="X271" s="11" t="str">
        <f>INDEX('Lookup 1961'!$C$2:$C$1300, MATCH(V271, 'Lookup 1961'!$A$2:$A$1300,0))</f>
        <v>Devon</v>
      </c>
    </row>
    <row r="272" spans="1:24" ht="25.05" customHeight="1" x14ac:dyDescent="0.3">
      <c r="A272" s="2" t="s">
        <v>286</v>
      </c>
      <c r="B272" s="2" t="s">
        <v>286</v>
      </c>
      <c r="C272" s="1">
        <v>24</v>
      </c>
      <c r="D272" s="1">
        <v>3</v>
      </c>
      <c r="E272" s="1">
        <v>16</v>
      </c>
      <c r="F272" s="1">
        <v>0</v>
      </c>
      <c r="K272" s="1">
        <v>152</v>
      </c>
      <c r="L272" s="6">
        <v>40019</v>
      </c>
      <c r="M272" s="1">
        <v>61.6</v>
      </c>
      <c r="N272" s="1">
        <v>12</v>
      </c>
      <c r="O272" s="1">
        <v>3</v>
      </c>
      <c r="P272" s="1">
        <v>3</v>
      </c>
      <c r="Q272" s="11">
        <f>'Table H'!$J$49</f>
        <v>0.97985614566894108</v>
      </c>
      <c r="R272" s="11">
        <f t="shared" si="8"/>
        <v>39212.863093525353</v>
      </c>
      <c r="S272" s="11" t="str">
        <f t="shared" si="9"/>
        <v>Salcombe UD</v>
      </c>
      <c r="T272" s="11" t="s">
        <v>5214</v>
      </c>
      <c r="V272" s="11" t="str">
        <f>INDEX('Lookup 1961'!$A$2:$A$1300, MATCH(S272, 'Lookup 1961'!$B$2:$B$1300,0))</f>
        <v>J04001092</v>
      </c>
      <c r="W272" s="11" t="str">
        <f>INDEX('Lookup 1961'!$F$2:$F$1300, MATCH(S272, 'Lookup 1961'!$B$2:$B$1300,0))</f>
        <v>e090217</v>
      </c>
      <c r="X272" s="11" t="str">
        <f>INDEX('Lookup 1961'!$C$2:$C$1300, MATCH(V272, 'Lookup 1961'!$A$2:$A$1300,0))</f>
        <v>Devon</v>
      </c>
    </row>
    <row r="273" spans="1:24" ht="25.05" customHeight="1" x14ac:dyDescent="0.3">
      <c r="A273" s="2" t="s">
        <v>287</v>
      </c>
      <c r="B273" s="2" t="s">
        <v>287</v>
      </c>
      <c r="C273" s="1">
        <v>25</v>
      </c>
      <c r="D273" s="1">
        <v>0</v>
      </c>
      <c r="E273" s="1">
        <v>17</v>
      </c>
      <c r="F273" s="1">
        <v>6</v>
      </c>
      <c r="K273" s="1">
        <v>247</v>
      </c>
      <c r="L273" s="6">
        <v>63311</v>
      </c>
      <c r="M273" s="1">
        <v>75.8</v>
      </c>
      <c r="N273" s="1">
        <v>17</v>
      </c>
      <c r="O273" s="1">
        <v>16</v>
      </c>
      <c r="P273" s="1">
        <v>19.600000000000001</v>
      </c>
      <c r="Q273" s="11">
        <f>'Table H'!$J$49</f>
        <v>0.97985614566894108</v>
      </c>
      <c r="R273" s="11">
        <f t="shared" si="8"/>
        <v>62035.67243844633</v>
      </c>
      <c r="S273" s="11" t="str">
        <f t="shared" si="9"/>
        <v>Seaton UD</v>
      </c>
      <c r="T273" s="11" t="s">
        <v>5214</v>
      </c>
      <c r="V273" s="11" t="str">
        <f>INDEX('Lookup 1961'!$A$2:$A$1300, MATCH(S273, 'Lookup 1961'!$B$2:$B$1300,0))</f>
        <v>J04001112</v>
      </c>
      <c r="W273" s="11" t="str">
        <f>INDEX('Lookup 1961'!$F$2:$F$1300, MATCH(S273, 'Lookup 1961'!$B$2:$B$1300,0))</f>
        <v>e090218</v>
      </c>
      <c r="X273" s="11" t="str">
        <f>INDEX('Lookup 1961'!$C$2:$C$1300, MATCH(V273, 'Lookup 1961'!$A$2:$A$1300,0))</f>
        <v>Devon</v>
      </c>
    </row>
    <row r="274" spans="1:24" ht="25.05" customHeight="1" x14ac:dyDescent="0.3">
      <c r="A274" s="2" t="s">
        <v>288</v>
      </c>
      <c r="B274" s="2" t="s">
        <v>288</v>
      </c>
      <c r="C274" s="1">
        <v>23</v>
      </c>
      <c r="D274" s="1">
        <v>7</v>
      </c>
      <c r="E274" s="1">
        <v>16</v>
      </c>
      <c r="F274" s="1">
        <v>4</v>
      </c>
      <c r="K274" s="1">
        <v>832</v>
      </c>
      <c r="L274" s="6">
        <v>210460</v>
      </c>
      <c r="M274" s="1">
        <v>78</v>
      </c>
      <c r="N274" s="1">
        <v>16</v>
      </c>
      <c r="O274" s="1">
        <v>11</v>
      </c>
      <c r="P274" s="1">
        <v>17.2</v>
      </c>
      <c r="Q274" s="11">
        <f>'Table H'!$J$49</f>
        <v>0.97985614566894108</v>
      </c>
      <c r="R274" s="11">
        <f t="shared" si="8"/>
        <v>206220.52441748534</v>
      </c>
      <c r="S274" s="11" t="str">
        <f t="shared" si="9"/>
        <v>Sidmouth UD</v>
      </c>
      <c r="T274" s="11" t="s">
        <v>5214</v>
      </c>
      <c r="V274" s="11" t="str">
        <f>INDEX('Lookup 1961'!$A$2:$A$1300, MATCH(S274, 'Lookup 1961'!$B$2:$B$1300,0))</f>
        <v>J04001141</v>
      </c>
      <c r="W274" s="11" t="str">
        <f>INDEX('Lookup 1961'!$F$2:$F$1300, MATCH(S274, 'Lookup 1961'!$B$2:$B$1300,0))</f>
        <v>e090219</v>
      </c>
      <c r="X274" s="11" t="str">
        <f>INDEX('Lookup 1961'!$C$2:$C$1300, MATCH(V274, 'Lookup 1961'!$A$2:$A$1300,0))</f>
        <v>Devon</v>
      </c>
    </row>
    <row r="275" spans="1:24" ht="25.05" customHeight="1" x14ac:dyDescent="0.3">
      <c r="A275" s="2" t="s">
        <v>289</v>
      </c>
      <c r="B275" s="2" t="s">
        <v>289</v>
      </c>
      <c r="C275" s="1">
        <v>21</v>
      </c>
      <c r="D275" s="1">
        <v>9</v>
      </c>
      <c r="E275" s="1">
        <v>14</v>
      </c>
      <c r="F275" s="1">
        <v>4</v>
      </c>
      <c r="K275" s="1">
        <v>321</v>
      </c>
      <c r="L275" s="6">
        <v>81689</v>
      </c>
      <c r="M275" s="1">
        <v>68.2</v>
      </c>
      <c r="N275" s="1">
        <v>9</v>
      </c>
      <c r="O275" s="1">
        <v>1</v>
      </c>
      <c r="P275" s="1">
        <v>7.6</v>
      </c>
      <c r="Q275" s="11">
        <f>'Table H'!$J$49</f>
        <v>0.97985614566894108</v>
      </c>
      <c r="R275" s="11">
        <f t="shared" si="8"/>
        <v>80043.468683550134</v>
      </c>
      <c r="S275" s="11" t="str">
        <f t="shared" si="9"/>
        <v>Tavistock UD</v>
      </c>
      <c r="T275" s="11" t="s">
        <v>5214</v>
      </c>
      <c r="V275" s="11" t="str">
        <f>INDEX('Lookup 1961'!$A$2:$A$1300, MATCH(S275, 'Lookup 1961'!$B$2:$B$1300,0))</f>
        <v>J04001254</v>
      </c>
      <c r="W275" s="11" t="str">
        <f>INDEX('Lookup 1961'!$F$2:$F$1300, MATCH(S275, 'Lookup 1961'!$B$2:$B$1300,0))</f>
        <v>e090235</v>
      </c>
      <c r="X275" s="11" t="str">
        <f>INDEX('Lookup 1961'!$C$2:$C$1300, MATCH(V275, 'Lookup 1961'!$A$2:$A$1300,0))</f>
        <v>Devon</v>
      </c>
    </row>
    <row r="276" spans="1:24" ht="25.05" customHeight="1" x14ac:dyDescent="0.3">
      <c r="A276" s="2" t="s">
        <v>290</v>
      </c>
      <c r="B276" s="2" t="s">
        <v>290</v>
      </c>
      <c r="C276" s="1">
        <v>26</v>
      </c>
      <c r="D276" s="1">
        <v>8</v>
      </c>
      <c r="E276" s="1">
        <v>18</v>
      </c>
      <c r="F276" s="1">
        <v>2</v>
      </c>
      <c r="K276" s="1">
        <v>645</v>
      </c>
      <c r="L276" s="6">
        <v>163354</v>
      </c>
      <c r="M276" s="1">
        <v>62.1</v>
      </c>
      <c r="N276" s="1">
        <v>13</v>
      </c>
      <c r="O276" s="1">
        <v>12</v>
      </c>
      <c r="P276" s="1">
        <v>6.7</v>
      </c>
      <c r="Q276" s="11">
        <f>'Table H'!$J$49</f>
        <v>0.97985614566894108</v>
      </c>
      <c r="R276" s="11">
        <f t="shared" si="8"/>
        <v>160063.42081960419</v>
      </c>
      <c r="S276" s="11" t="str">
        <f t="shared" si="9"/>
        <v>Teignmouth UD</v>
      </c>
      <c r="T276" s="11" t="s">
        <v>5214</v>
      </c>
      <c r="V276" s="11" t="str">
        <f>INDEX('Lookup 1961'!$A$2:$A$1300, MATCH(S276, 'Lookup 1961'!$B$2:$B$1300,0))</f>
        <v>J04001256</v>
      </c>
      <c r="W276" s="11" t="str">
        <f>INDEX('Lookup 1961'!$F$2:$F$1300, MATCH(S276, 'Lookup 1961'!$B$2:$B$1300,0))</f>
        <v>e090220</v>
      </c>
      <c r="X276" s="11" t="str">
        <f>INDEX('Lookup 1961'!$C$2:$C$1300, MATCH(V276, 'Lookup 1961'!$A$2:$A$1300,0))</f>
        <v>Devon</v>
      </c>
    </row>
    <row r="277" spans="1:24" ht="25.05" customHeight="1" x14ac:dyDescent="0.3">
      <c r="A277" s="2" t="s">
        <v>292</v>
      </c>
      <c r="B277" s="2" t="s">
        <v>292</v>
      </c>
      <c r="L277" s="6"/>
      <c r="S277" s="11" t="str">
        <f t="shared" si="9"/>
        <v xml:space="preserve">DORSET: </v>
      </c>
      <c r="V277" s="11" t="e">
        <f>INDEX('Lookup 1961'!$A$2:$A$1300, MATCH(S277, 'Lookup 1961'!$B$2:$B$1300,0))</f>
        <v>#N/A</v>
      </c>
      <c r="W277" s="11" t="e">
        <f>INDEX('Lookup 1961'!$F$2:$F$1300, MATCH(S277, 'Lookup 1961'!$B$2:$B$1300,0))</f>
        <v>#N/A</v>
      </c>
      <c r="X277" s="11" t="e">
        <f>INDEX('Lookup 1961'!$C$2:$C$1300, MATCH(V277, 'Lookup 1961'!$A$2:$A$1300,0))</f>
        <v>#N/A</v>
      </c>
    </row>
    <row r="278" spans="1:24" ht="25.05" customHeight="1" x14ac:dyDescent="0.3">
      <c r="A278" s="2" t="s">
        <v>146</v>
      </c>
      <c r="B278" s="2" t="s">
        <v>5257</v>
      </c>
      <c r="S278" s="11" t="str">
        <f t="shared" si="9"/>
        <v xml:space="preserve">Non County Boroughs  </v>
      </c>
      <c r="V278" s="11" t="e">
        <f>INDEX('Lookup 1961'!$A$2:$A$1300, MATCH(S278, 'Lookup 1961'!$B$2:$B$1300,0))</f>
        <v>#N/A</v>
      </c>
      <c r="W278" s="11" t="e">
        <f>INDEX('Lookup 1961'!$F$2:$F$1300, MATCH(S278, 'Lookup 1961'!$B$2:$B$1300,0))</f>
        <v>#N/A</v>
      </c>
      <c r="X278" s="11" t="e">
        <f>INDEX('Lookup 1961'!$C$2:$C$1300, MATCH(V278, 'Lookup 1961'!$A$2:$A$1300,0))</f>
        <v>#N/A</v>
      </c>
    </row>
    <row r="279" spans="1:24" ht="25.05" customHeight="1" x14ac:dyDescent="0.3">
      <c r="A279" s="2" t="s">
        <v>291</v>
      </c>
      <c r="B279" s="2" t="s">
        <v>291</v>
      </c>
      <c r="C279" s="1">
        <v>23</v>
      </c>
      <c r="D279" s="1">
        <v>6</v>
      </c>
      <c r="E279" s="1">
        <v>17</v>
      </c>
      <c r="F279" s="1">
        <v>2</v>
      </c>
      <c r="K279" s="1">
        <v>203</v>
      </c>
      <c r="L279" s="6">
        <v>51994</v>
      </c>
      <c r="M279" s="1">
        <v>79.400000000000006</v>
      </c>
      <c r="N279" s="1">
        <v>12</v>
      </c>
      <c r="O279" s="1">
        <v>12</v>
      </c>
      <c r="P279" s="1">
        <v>33.9</v>
      </c>
      <c r="Q279" s="11">
        <f>'Table H'!$J$53</f>
        <v>0.95788810560499793</v>
      </c>
      <c r="R279" s="11">
        <f t="shared" si="8"/>
        <v>49804.434162826263</v>
      </c>
      <c r="S279" s="11" t="str">
        <f t="shared" si="9"/>
        <v>Blandford Forum MB</v>
      </c>
      <c r="T279" s="11" t="s">
        <v>5211</v>
      </c>
      <c r="V279" s="11" t="str">
        <f>INDEX('Lookup 1961'!$A$2:$A$1300, MATCH(S279, 'Lookup 1961'!$B$2:$B$1300,0))</f>
        <v>J04000161</v>
      </c>
      <c r="W279" s="11" t="str">
        <f>INDEX('Lookup 1961'!$F$2:$F$1300, MATCH(S279, 'Lookup 1961'!$B$2:$B$1300,0))</f>
        <v>e100239</v>
      </c>
      <c r="X279" s="11" t="str">
        <f>INDEX('Lookup 1961'!$C$2:$C$1300, MATCH(V279, 'Lookup 1961'!$A$2:$A$1300,0))</f>
        <v>Dorset</v>
      </c>
    </row>
    <row r="280" spans="1:24" ht="25.05" customHeight="1" x14ac:dyDescent="0.3">
      <c r="A280" s="2" t="s">
        <v>293</v>
      </c>
      <c r="B280" s="2" t="s">
        <v>293</v>
      </c>
      <c r="C280" s="1">
        <v>24</v>
      </c>
      <c r="D280" s="1">
        <v>0</v>
      </c>
      <c r="E280" s="1">
        <v>17</v>
      </c>
      <c r="F280" s="1">
        <v>6</v>
      </c>
      <c r="K280" s="1">
        <v>395</v>
      </c>
      <c r="L280" s="6">
        <v>99958</v>
      </c>
      <c r="M280" s="1">
        <v>90</v>
      </c>
      <c r="N280" s="1">
        <v>12</v>
      </c>
      <c r="O280" s="1">
        <v>9</v>
      </c>
      <c r="P280" s="1">
        <v>35.6</v>
      </c>
      <c r="Q280" s="11">
        <f>'Table H'!$J$53</f>
        <v>0.95788810560499793</v>
      </c>
      <c r="R280" s="11">
        <f t="shared" si="8"/>
        <v>95748.579260064376</v>
      </c>
      <c r="S280" s="11" t="str">
        <f t="shared" si="9"/>
        <v>Bridport MB</v>
      </c>
      <c r="T280" s="11" t="s">
        <v>5211</v>
      </c>
      <c r="V280" s="11" t="str">
        <f>INDEX('Lookup 1961'!$A$2:$A$1300, MATCH(S280, 'Lookup 1961'!$B$2:$B$1300,0))</f>
        <v>J04000205</v>
      </c>
      <c r="W280" s="11" t="str">
        <f>INDEX('Lookup 1961'!$F$2:$F$1300, MATCH(S280, 'Lookup 1961'!$B$2:$B$1300,0))</f>
        <v>e100240</v>
      </c>
      <c r="X280" s="11" t="str">
        <f>INDEX('Lookup 1961'!$C$2:$C$1300, MATCH(V280, 'Lookup 1961'!$A$2:$A$1300,0))</f>
        <v>Dorset</v>
      </c>
    </row>
    <row r="281" spans="1:24" ht="25.05" customHeight="1" x14ac:dyDescent="0.3">
      <c r="A281" s="2" t="s">
        <v>294</v>
      </c>
      <c r="B281" s="2" t="s">
        <v>294</v>
      </c>
      <c r="C281" s="1">
        <v>23</v>
      </c>
      <c r="D281" s="1">
        <v>8</v>
      </c>
      <c r="E281" s="1">
        <v>17</v>
      </c>
      <c r="F281" s="1">
        <v>0</v>
      </c>
      <c r="K281" s="1">
        <v>720</v>
      </c>
      <c r="L281" s="6">
        <v>182765</v>
      </c>
      <c r="M281" s="1">
        <v>77.5</v>
      </c>
      <c r="N281" s="1">
        <v>13</v>
      </c>
      <c r="O281" s="1">
        <v>15</v>
      </c>
      <c r="P281" s="1">
        <v>34.200000000000003</v>
      </c>
      <c r="Q281" s="11">
        <f>'Table H'!$J$53</f>
        <v>0.95788810560499793</v>
      </c>
      <c r="R281" s="11">
        <f t="shared" si="8"/>
        <v>175068.41962089745</v>
      </c>
      <c r="S281" s="11" t="str">
        <f t="shared" si="9"/>
        <v>Dorchester MB</v>
      </c>
      <c r="T281" s="11" t="s">
        <v>5211</v>
      </c>
      <c r="V281" s="11" t="str">
        <f>INDEX('Lookup 1961'!$A$2:$A$1300, MATCH(S281, 'Lookup 1961'!$B$2:$B$1300,0))</f>
        <v>J04000416</v>
      </c>
      <c r="W281" s="11" t="str">
        <f>INDEX('Lookup 1961'!$F$2:$F$1300, MATCH(S281, 'Lookup 1961'!$B$2:$B$1300,0))</f>
        <v>e100241</v>
      </c>
      <c r="X281" s="11" t="str">
        <f>INDEX('Lookup 1961'!$C$2:$C$1300, MATCH(V281, 'Lookup 1961'!$A$2:$A$1300,0))</f>
        <v>Dorset</v>
      </c>
    </row>
    <row r="282" spans="1:24" ht="25.05" customHeight="1" x14ac:dyDescent="0.3">
      <c r="A282" s="2" t="s">
        <v>295</v>
      </c>
      <c r="B282" s="2" t="s">
        <v>295</v>
      </c>
      <c r="C282" s="1">
        <v>24</v>
      </c>
      <c r="D282" s="1">
        <v>0</v>
      </c>
      <c r="E282" s="1">
        <v>16</v>
      </c>
      <c r="F282" s="1">
        <v>8</v>
      </c>
      <c r="K282" s="1">
        <v>220</v>
      </c>
      <c r="L282" s="6">
        <v>55130</v>
      </c>
      <c r="M282" s="1">
        <v>88.8</v>
      </c>
      <c r="N282" s="1">
        <v>13</v>
      </c>
      <c r="O282" s="1">
        <v>15</v>
      </c>
      <c r="P282" s="1">
        <v>25.7</v>
      </c>
      <c r="Q282" s="11">
        <f>'Table H'!$J$53</f>
        <v>0.95788810560499793</v>
      </c>
      <c r="R282" s="11">
        <f t="shared" si="8"/>
        <v>52808.371262003537</v>
      </c>
      <c r="S282" s="11" t="str">
        <f t="shared" si="9"/>
        <v>Lyme Regis MB</v>
      </c>
      <c r="T282" s="11" t="s">
        <v>5211</v>
      </c>
      <c r="V282" s="11" t="str">
        <f>INDEX('Lookup 1961'!$A$2:$A$1300, MATCH(S282, 'Lookup 1961'!$B$2:$B$1300,0))</f>
        <v>J04000795</v>
      </c>
      <c r="W282" s="11" t="str">
        <f>INDEX('Lookup 1961'!$F$2:$F$1300, MATCH(S282, 'Lookup 1961'!$B$2:$B$1300,0))</f>
        <v>e100242</v>
      </c>
      <c r="X282" s="11" t="str">
        <f>INDEX('Lookup 1961'!$C$2:$C$1300, MATCH(V282, 'Lookup 1961'!$A$2:$A$1300,0))</f>
        <v>Dorset</v>
      </c>
    </row>
    <row r="283" spans="1:24" ht="25.05" customHeight="1" x14ac:dyDescent="0.3">
      <c r="A283" s="2" t="s">
        <v>296</v>
      </c>
      <c r="B283" s="2" t="s">
        <v>5251</v>
      </c>
      <c r="C283" s="1">
        <v>23</v>
      </c>
      <c r="D283" s="1">
        <v>2</v>
      </c>
      <c r="E283" s="1">
        <v>17</v>
      </c>
      <c r="F283" s="1">
        <v>0</v>
      </c>
      <c r="K283" s="6">
        <v>4975</v>
      </c>
      <c r="L283" s="6">
        <v>1244576</v>
      </c>
      <c r="M283" s="1">
        <v>69</v>
      </c>
      <c r="N283" s="1">
        <v>12</v>
      </c>
      <c r="O283" s="1">
        <v>0</v>
      </c>
      <c r="P283" s="1">
        <v>25.9</v>
      </c>
      <c r="Q283" s="11">
        <f>'Table H'!$J$53</f>
        <v>0.95788810560499793</v>
      </c>
      <c r="R283" s="11">
        <f t="shared" si="8"/>
        <v>1192164.546921446</v>
      </c>
      <c r="S283" s="11" t="str">
        <f t="shared" si="9"/>
        <v>Poole, county of a town MB</v>
      </c>
      <c r="T283" s="11" t="s">
        <v>5211</v>
      </c>
      <c r="V283" s="11" t="str">
        <f>INDEX('Lookup 1961'!$A$2:$A$1300, MATCH(S283, 'Lookup 1961'!$B$2:$B$1300,0))</f>
        <v>J04001004</v>
      </c>
      <c r="W283" s="11" t="str">
        <f>INDEX('Lookup 1961'!$F$2:$F$1300, MATCH(S283, 'Lookup 1961'!$B$2:$B$1300,0))</f>
        <v>e100243</v>
      </c>
      <c r="X283" s="11" t="str">
        <f>INDEX('Lookup 1961'!$C$2:$C$1300, MATCH(V283, 'Lookup 1961'!$A$2:$A$1300,0))</f>
        <v>Dorset</v>
      </c>
    </row>
    <row r="284" spans="1:24" ht="25.05" customHeight="1" x14ac:dyDescent="0.3">
      <c r="A284" s="2" t="s">
        <v>297</v>
      </c>
      <c r="B284" s="2" t="s">
        <v>297</v>
      </c>
      <c r="C284" s="1">
        <v>24</v>
      </c>
      <c r="D284" s="1">
        <v>3</v>
      </c>
      <c r="E284" s="1">
        <v>17</v>
      </c>
      <c r="F284" s="1">
        <v>2</v>
      </c>
      <c r="K284" s="1">
        <v>164</v>
      </c>
      <c r="L284" s="6">
        <v>41021</v>
      </c>
      <c r="M284" s="1">
        <v>87.4</v>
      </c>
      <c r="N284" s="1">
        <v>9</v>
      </c>
      <c r="O284" s="1">
        <v>19</v>
      </c>
      <c r="P284" s="1">
        <v>32.299999999999997</v>
      </c>
      <c r="Q284" s="11">
        <f>'Table H'!$J$53</f>
        <v>0.95788810560499793</v>
      </c>
      <c r="R284" s="11">
        <f t="shared" si="8"/>
        <v>39293.52798002262</v>
      </c>
      <c r="S284" s="11" t="str">
        <f t="shared" si="9"/>
        <v>Shaftesbury MB</v>
      </c>
      <c r="T284" s="11" t="s">
        <v>5211</v>
      </c>
      <c r="V284" s="11" t="str">
        <f>INDEX('Lookup 1961'!$A$2:$A$1300, MATCH(S284, 'Lookup 1961'!$B$2:$B$1300,0))</f>
        <v>J04001123</v>
      </c>
      <c r="W284" s="11" t="str">
        <f>INDEX('Lookup 1961'!$F$2:$F$1300, MATCH(S284, 'Lookup 1961'!$B$2:$B$1300,0))</f>
        <v>e100245</v>
      </c>
      <c r="X284" s="11" t="str">
        <f>INDEX('Lookup 1961'!$C$2:$C$1300, MATCH(V284, 'Lookup 1961'!$A$2:$A$1300,0))</f>
        <v>Dorset</v>
      </c>
    </row>
    <row r="285" spans="1:24" ht="25.05" customHeight="1" x14ac:dyDescent="0.3">
      <c r="A285" s="2" t="s">
        <v>298</v>
      </c>
      <c r="B285" s="2" t="s">
        <v>298</v>
      </c>
      <c r="C285" s="1">
        <v>25</v>
      </c>
      <c r="D285" s="1">
        <v>0</v>
      </c>
      <c r="E285" s="1">
        <v>17</v>
      </c>
      <c r="F285" s="1">
        <v>6</v>
      </c>
      <c r="K285" s="1">
        <v>125</v>
      </c>
      <c r="L285" s="6">
        <v>30858</v>
      </c>
      <c r="M285" s="1">
        <v>80.099999999999994</v>
      </c>
      <c r="N285" s="1">
        <v>9</v>
      </c>
      <c r="O285" s="1">
        <v>13</v>
      </c>
      <c r="P285" s="1">
        <v>26.4</v>
      </c>
      <c r="Q285" s="11">
        <f>'Table H'!$J$53</f>
        <v>0.95788810560499793</v>
      </c>
      <c r="R285" s="11">
        <f t="shared" si="8"/>
        <v>29558.511162759027</v>
      </c>
      <c r="S285" s="11" t="str">
        <f t="shared" si="9"/>
        <v>Wareham MB</v>
      </c>
      <c r="T285" s="11" t="s">
        <v>5211</v>
      </c>
      <c r="V285" s="11" t="str">
        <f>INDEX('Lookup 1961'!$A$2:$A$1300, MATCH(S285, 'Lookup 1961'!$B$2:$B$1300,0))</f>
        <v>J04001342</v>
      </c>
      <c r="W285" s="11" t="str">
        <f>INDEX('Lookup 1961'!$F$2:$F$1300, MATCH(S285, 'Lookup 1961'!$B$2:$B$1300,0))</f>
        <v>e100248</v>
      </c>
      <c r="X285" s="11" t="str">
        <f>INDEX('Lookup 1961'!$C$2:$C$1300, MATCH(V285, 'Lookup 1961'!$A$2:$A$1300,0))</f>
        <v>Dorset</v>
      </c>
    </row>
    <row r="286" spans="1:24" ht="25.05" customHeight="1" x14ac:dyDescent="0.3">
      <c r="A286" s="5" t="s">
        <v>299</v>
      </c>
      <c r="B286" s="5" t="s">
        <v>299</v>
      </c>
      <c r="C286" s="1">
        <v>23</v>
      </c>
      <c r="D286" s="1">
        <v>4</v>
      </c>
      <c r="E286" s="1">
        <v>16</v>
      </c>
      <c r="F286" s="1">
        <v>10</v>
      </c>
      <c r="K286" s="6">
        <v>2535</v>
      </c>
      <c r="L286" s="6">
        <v>628739</v>
      </c>
      <c r="M286" s="1">
        <v>79</v>
      </c>
      <c r="N286" s="1">
        <v>14</v>
      </c>
      <c r="O286" s="1">
        <v>3</v>
      </c>
      <c r="P286" s="1">
        <v>37.299999999999997</v>
      </c>
      <c r="Q286" s="11">
        <f>'Table H'!$J$53</f>
        <v>0.95788810560499793</v>
      </c>
      <c r="R286" s="11">
        <f t="shared" si="8"/>
        <v>602261.60962998075</v>
      </c>
      <c r="S286" s="11" t="str">
        <f t="shared" si="9"/>
        <v>Weymouth and Melcombe Regis MB</v>
      </c>
      <c r="T286" s="11" t="s">
        <v>5211</v>
      </c>
      <c r="V286" s="11" t="str">
        <f>INDEX('Lookup 1961'!$A$2:$A$1300, MATCH(S286, 'Lookup 1961'!$B$2:$B$1300,0))</f>
        <v>J04001394</v>
      </c>
      <c r="W286" s="11" t="str">
        <f>INDEX('Lookup 1961'!$F$2:$F$1300, MATCH(S286, 'Lookup 1961'!$B$2:$B$1300,0))</f>
        <v>e100249</v>
      </c>
      <c r="X286" s="11" t="str">
        <f>INDEX('Lookup 1961'!$C$2:$C$1300, MATCH(V286, 'Lookup 1961'!$A$2:$A$1300,0))</f>
        <v>Dorset</v>
      </c>
    </row>
    <row r="287" spans="1:24" ht="25.05" customHeight="1" x14ac:dyDescent="0.3">
      <c r="A287" s="5" t="s">
        <v>150</v>
      </c>
      <c r="B287" s="5" t="s">
        <v>1221</v>
      </c>
      <c r="K287" s="6"/>
      <c r="L287" s="6"/>
      <c r="S287" s="11" t="str">
        <f t="shared" si="9"/>
        <v xml:space="preserve">Urban Districts  </v>
      </c>
      <c r="V287" s="11" t="e">
        <f>INDEX('Lookup 1961'!$A$2:$A$1300, MATCH(S287, 'Lookup 1961'!$B$2:$B$1300,0))</f>
        <v>#N/A</v>
      </c>
      <c r="W287" s="11" t="e">
        <f>INDEX('Lookup 1961'!$F$2:$F$1300, MATCH(S287, 'Lookup 1961'!$B$2:$B$1300,0))</f>
        <v>#N/A</v>
      </c>
      <c r="X287" s="11" t="e">
        <f>INDEX('Lookup 1961'!$C$2:$C$1300, MATCH(V287, 'Lookup 1961'!$A$2:$A$1300,0))</f>
        <v>#N/A</v>
      </c>
    </row>
    <row r="288" spans="1:24" ht="25.05" customHeight="1" x14ac:dyDescent="0.3">
      <c r="A288" s="2" t="s">
        <v>300</v>
      </c>
      <c r="B288" s="2" t="s">
        <v>300</v>
      </c>
      <c r="C288" s="1">
        <v>23</v>
      </c>
      <c r="D288" s="1">
        <v>0</v>
      </c>
      <c r="E288" s="1">
        <v>17</v>
      </c>
      <c r="F288" s="1">
        <v>6</v>
      </c>
      <c r="K288" s="1">
        <v>383</v>
      </c>
      <c r="L288" s="6">
        <v>96091</v>
      </c>
      <c r="M288" s="1">
        <v>32.1</v>
      </c>
      <c r="N288" s="1">
        <v>5</v>
      </c>
      <c r="O288" s="1">
        <v>12</v>
      </c>
      <c r="P288" s="1">
        <v>2.8</v>
      </c>
      <c r="Q288" s="11">
        <f>'Table H'!$J$54</f>
        <v>0.89826684058231754</v>
      </c>
      <c r="R288" s="11">
        <f t="shared" si="8"/>
        <v>86315.358978395481</v>
      </c>
      <c r="S288" s="11" t="str">
        <f t="shared" si="9"/>
        <v>Portland UD</v>
      </c>
      <c r="T288" s="11" t="s">
        <v>5214</v>
      </c>
      <c r="V288" s="11" t="str">
        <f>INDEX('Lookup 1961'!$A$2:$A$1300, MATCH(S288, 'Lookup 1961'!$B$2:$B$1300,0))</f>
        <v>J04001009</v>
      </c>
      <c r="W288" s="11" t="str">
        <f>INDEX('Lookup 1961'!$F$2:$F$1300, MATCH(S288, 'Lookup 1961'!$B$2:$B$1300,0))</f>
        <v>e100244</v>
      </c>
      <c r="X288" s="11" t="str">
        <f>INDEX('Lookup 1961'!$C$2:$C$1300, MATCH(V288, 'Lookup 1961'!$A$2:$A$1300,0))</f>
        <v>Dorset</v>
      </c>
    </row>
    <row r="289" spans="1:24" ht="25.05" customHeight="1" x14ac:dyDescent="0.3">
      <c r="A289" s="2" t="s">
        <v>301</v>
      </c>
      <c r="B289" s="2" t="s">
        <v>301</v>
      </c>
      <c r="C289" s="1">
        <v>25</v>
      </c>
      <c r="D289" s="1">
        <v>0</v>
      </c>
      <c r="E289" s="1">
        <v>18</v>
      </c>
      <c r="F289" s="1">
        <v>0</v>
      </c>
      <c r="K289" s="1">
        <v>364</v>
      </c>
      <c r="L289" s="6">
        <v>92302</v>
      </c>
      <c r="M289" s="1">
        <v>54.7</v>
      </c>
      <c r="N289" s="1">
        <v>10</v>
      </c>
      <c r="O289" s="1">
        <v>16</v>
      </c>
      <c r="P289" s="1">
        <v>9.6</v>
      </c>
      <c r="Q289" s="11">
        <f>'Table H'!$J$54</f>
        <v>0.89826684058231754</v>
      </c>
      <c r="R289" s="11">
        <f t="shared" si="8"/>
        <v>82911.825919429073</v>
      </c>
      <c r="S289" s="11" t="str">
        <f t="shared" si="9"/>
        <v>Sherborne UD</v>
      </c>
      <c r="T289" s="11" t="s">
        <v>5214</v>
      </c>
      <c r="V289" s="11" t="str">
        <f>INDEX('Lookup 1961'!$A$2:$A$1300, MATCH(S289, 'Lookup 1961'!$B$2:$B$1300,0))</f>
        <v>J04001132</v>
      </c>
      <c r="W289" s="11" t="str">
        <f>INDEX('Lookup 1961'!$F$2:$F$1300, MATCH(S289, 'Lookup 1961'!$B$2:$B$1300,0))</f>
        <v>e100246</v>
      </c>
      <c r="X289" s="11" t="str">
        <f>INDEX('Lookup 1961'!$C$2:$C$1300, MATCH(V289, 'Lookup 1961'!$A$2:$A$1300,0))</f>
        <v>Dorset</v>
      </c>
    </row>
    <row r="290" spans="1:24" ht="25.05" customHeight="1" x14ac:dyDescent="0.3">
      <c r="A290" s="2" t="s">
        <v>302</v>
      </c>
      <c r="B290" s="2" t="s">
        <v>302</v>
      </c>
      <c r="C290" s="1">
        <v>22</v>
      </c>
      <c r="D290" s="1">
        <v>0</v>
      </c>
      <c r="E290" s="1">
        <v>16</v>
      </c>
      <c r="F290" s="1">
        <v>0</v>
      </c>
      <c r="K290" s="1">
        <v>598</v>
      </c>
      <c r="L290" s="6">
        <v>149345</v>
      </c>
      <c r="M290" s="1">
        <v>94.8</v>
      </c>
      <c r="N290" s="1">
        <v>16</v>
      </c>
      <c r="O290" s="1">
        <v>7</v>
      </c>
      <c r="P290" s="1">
        <v>42.1</v>
      </c>
      <c r="Q290" s="11">
        <f>'Table H'!$J$54</f>
        <v>0.89826684058231754</v>
      </c>
      <c r="R290" s="11">
        <f t="shared" si="8"/>
        <v>134151.66130676621</v>
      </c>
      <c r="S290" s="11" t="str">
        <f t="shared" si="9"/>
        <v>Swanage UD</v>
      </c>
      <c r="T290" s="11" t="s">
        <v>5214</v>
      </c>
      <c r="V290" s="11" t="str">
        <f>INDEX('Lookup 1961'!$A$2:$A$1300, MATCH(S290, 'Lookup 1961'!$B$2:$B$1300,0))</f>
        <v>J04001241</v>
      </c>
      <c r="W290" s="11" t="str">
        <f>INDEX('Lookup 1961'!$F$2:$F$1300, MATCH(S290, 'Lookup 1961'!$B$2:$B$1300,0))</f>
        <v>e100247</v>
      </c>
      <c r="X290" s="11" t="str">
        <f>INDEX('Lookup 1961'!$C$2:$C$1300, MATCH(V290, 'Lookup 1961'!$A$2:$A$1300,0))</f>
        <v>Dorset</v>
      </c>
    </row>
    <row r="291" spans="1:24" ht="25.05" customHeight="1" x14ac:dyDescent="0.3">
      <c r="A291" s="2" t="s">
        <v>303</v>
      </c>
      <c r="B291" s="2" t="s">
        <v>303</v>
      </c>
      <c r="C291" s="1">
        <v>25</v>
      </c>
      <c r="D291" s="1">
        <v>0</v>
      </c>
      <c r="E291" s="1">
        <v>17</v>
      </c>
      <c r="F291" s="1">
        <v>8</v>
      </c>
      <c r="K291" s="1">
        <v>250</v>
      </c>
      <c r="L291" s="6">
        <v>62456</v>
      </c>
      <c r="M291" s="1">
        <v>79</v>
      </c>
      <c r="N291" s="1">
        <v>12</v>
      </c>
      <c r="O291" s="1">
        <v>8</v>
      </c>
      <c r="P291" s="1">
        <v>29.1</v>
      </c>
      <c r="Q291" s="11">
        <f>'Table H'!$J$54</f>
        <v>0.89826684058231754</v>
      </c>
      <c r="R291" s="11">
        <f t="shared" si="8"/>
        <v>56102.153795409227</v>
      </c>
      <c r="S291" s="11" t="str">
        <f t="shared" si="9"/>
        <v>Wimborne Minster UD</v>
      </c>
      <c r="T291" s="11" t="s">
        <v>5214</v>
      </c>
      <c r="V291" s="11" t="str">
        <f>INDEX('Lookup 1961'!$A$2:$A$1300, MATCH(S291, 'Lookup 1961'!$B$2:$B$1300,0))</f>
        <v>J04001420</v>
      </c>
      <c r="W291" s="11" t="str">
        <f>INDEX('Lookup 1961'!$F$2:$F$1300, MATCH(S291, 'Lookup 1961'!$B$2:$B$1300,0))</f>
        <v>e100250</v>
      </c>
      <c r="X291" s="11" t="str">
        <f>INDEX('Lookup 1961'!$C$2:$C$1300, MATCH(V291, 'Lookup 1961'!$A$2:$A$1300,0))</f>
        <v>Dorset</v>
      </c>
    </row>
    <row r="292" spans="1:24" ht="25.05" customHeight="1" x14ac:dyDescent="0.3">
      <c r="A292" s="2" t="s">
        <v>304</v>
      </c>
      <c r="B292" s="2" t="s">
        <v>304</v>
      </c>
      <c r="S292" s="11" t="str">
        <f t="shared" si="9"/>
        <v xml:space="preserve">DURHAM: </v>
      </c>
      <c r="V292" s="11" t="e">
        <f>INDEX('Lookup 1961'!$A$2:$A$1300, MATCH(S292, 'Lookup 1961'!$B$2:$B$1300,0))</f>
        <v>#N/A</v>
      </c>
      <c r="W292" s="11" t="e">
        <f>INDEX('Lookup 1961'!$F$2:$F$1300, MATCH(S292, 'Lookup 1961'!$B$2:$B$1300,0))</f>
        <v>#N/A</v>
      </c>
      <c r="X292" s="11" t="e">
        <f>INDEX('Lookup 1961'!$C$2:$C$1300, MATCH(V292, 'Lookup 1961'!$A$2:$A$1300,0))</f>
        <v>#N/A</v>
      </c>
    </row>
    <row r="293" spans="1:24" ht="25.05" customHeight="1" x14ac:dyDescent="0.3">
      <c r="A293" s="2" t="s">
        <v>146</v>
      </c>
      <c r="B293" s="2" t="s">
        <v>5257</v>
      </c>
      <c r="S293" s="11" t="str">
        <f t="shared" si="9"/>
        <v xml:space="preserve">Non County Boroughs  </v>
      </c>
      <c r="V293" s="11" t="e">
        <f>INDEX('Lookup 1961'!$A$2:$A$1300, MATCH(S293, 'Lookup 1961'!$B$2:$B$1300,0))</f>
        <v>#N/A</v>
      </c>
      <c r="W293" s="11" t="e">
        <f>INDEX('Lookup 1961'!$F$2:$F$1300, MATCH(S293, 'Lookup 1961'!$B$2:$B$1300,0))</f>
        <v>#N/A</v>
      </c>
      <c r="X293" s="11" t="e">
        <f>INDEX('Lookup 1961'!$C$2:$C$1300, MATCH(V293, 'Lookup 1961'!$A$2:$A$1300,0))</f>
        <v>#N/A</v>
      </c>
    </row>
    <row r="294" spans="1:24" ht="25.05" customHeight="1" x14ac:dyDescent="0.3">
      <c r="A294" s="2" t="s">
        <v>305</v>
      </c>
      <c r="B294" s="2" t="s">
        <v>5252</v>
      </c>
      <c r="C294" s="1">
        <v>23</v>
      </c>
      <c r="D294" s="1">
        <v>0</v>
      </c>
      <c r="E294" s="1">
        <v>14</v>
      </c>
      <c r="F294" s="1">
        <v>2</v>
      </c>
      <c r="K294" s="6">
        <v>1200</v>
      </c>
      <c r="L294" s="6">
        <v>333744</v>
      </c>
      <c r="M294" s="1">
        <v>125.2</v>
      </c>
      <c r="N294" s="1">
        <v>10</v>
      </c>
      <c r="O294" s="1">
        <v>13</v>
      </c>
      <c r="P294" s="1">
        <v>31.3</v>
      </c>
      <c r="Q294" s="11">
        <f>'Table H'!$J$58</f>
        <v>0.89270732340085657</v>
      </c>
      <c r="R294" s="11">
        <f t="shared" si="8"/>
        <v>297935.71294109547</v>
      </c>
      <c r="S294" s="11" t="str">
        <f t="shared" si="9"/>
        <v>Durham, city of MB</v>
      </c>
      <c r="T294" s="11" t="s">
        <v>5211</v>
      </c>
      <c r="V294" s="11" t="str">
        <f>INDEX('Lookup 1961'!$A$2:$A$1300, MATCH(S294, 'Lookup 1961'!$B$2:$B$1300,0))</f>
        <v>J04000439</v>
      </c>
      <c r="W294" s="11" t="str">
        <f>INDEX('Lookup 1961'!$F$2:$F$1300, MATCH(S294, 'Lookup 1961'!$B$2:$B$1300,0))</f>
        <v>e110273</v>
      </c>
      <c r="X294" s="11" t="str">
        <f>INDEX('Lookup 1961'!$C$2:$C$1300, MATCH(V294, 'Lookup 1961'!$A$2:$A$1300,0))</f>
        <v>Durham</v>
      </c>
    </row>
    <row r="295" spans="1:24" ht="25.05" customHeight="1" x14ac:dyDescent="0.3">
      <c r="A295" s="2" t="s">
        <v>306</v>
      </c>
      <c r="B295" s="2" t="s">
        <v>306</v>
      </c>
      <c r="C295" s="1">
        <v>20</v>
      </c>
      <c r="D295" s="1">
        <v>0</v>
      </c>
      <c r="E295" s="1">
        <v>15</v>
      </c>
      <c r="F295" s="1">
        <v>4</v>
      </c>
      <c r="K295" s="1">
        <v>585</v>
      </c>
      <c r="L295" s="6">
        <v>154423</v>
      </c>
      <c r="M295" s="1">
        <v>80.400000000000006</v>
      </c>
      <c r="N295" s="1">
        <v>6</v>
      </c>
      <c r="O295" s="1">
        <v>14</v>
      </c>
      <c r="P295" s="1">
        <v>39.1</v>
      </c>
      <c r="Q295" s="11">
        <f>'Table H'!$J$58</f>
        <v>0.89270732340085657</v>
      </c>
      <c r="R295" s="11">
        <f t="shared" si="8"/>
        <v>137854.54300153046</v>
      </c>
      <c r="S295" s="11" t="str">
        <f t="shared" si="9"/>
        <v>Hartlepool MB</v>
      </c>
      <c r="T295" s="11" t="s">
        <v>5211</v>
      </c>
      <c r="V295" s="11" t="str">
        <f>INDEX('Lookup 1961'!$A$2:$A$1300, MATCH(S295, 'Lookup 1961'!$B$2:$B$1300,0))</f>
        <v>J04000579</v>
      </c>
      <c r="W295" s="11" t="str">
        <f>INDEX('Lookup 1961'!$F$2:$F$1300, MATCH(S295, 'Lookup 1961'!$B$2:$B$1300,0))</f>
        <v>e110262</v>
      </c>
      <c r="X295" s="11" t="str">
        <f>INDEX('Lookup 1961'!$C$2:$C$1300, MATCH(V295, 'Lookup 1961'!$A$2:$A$1300,0))</f>
        <v>Cleveland</v>
      </c>
    </row>
    <row r="296" spans="1:24" ht="25.05" customHeight="1" x14ac:dyDescent="0.3">
      <c r="A296" s="2" t="s">
        <v>307</v>
      </c>
      <c r="B296" s="2" t="s">
        <v>307</v>
      </c>
      <c r="C296" s="1">
        <v>24</v>
      </c>
      <c r="D296" s="1">
        <v>0</v>
      </c>
      <c r="E296" s="1">
        <v>17</v>
      </c>
      <c r="F296" s="1">
        <v>0</v>
      </c>
      <c r="K296" s="6">
        <v>1000</v>
      </c>
      <c r="L296" s="6">
        <v>253748</v>
      </c>
      <c r="M296" s="1">
        <v>64.599999999999994</v>
      </c>
      <c r="N296" s="1">
        <v>6</v>
      </c>
      <c r="O296" s="1">
        <v>11</v>
      </c>
      <c r="P296" s="1">
        <v>6.8</v>
      </c>
      <c r="Q296" s="11">
        <f>'Table H'!$J$58</f>
        <v>0.89270732340085657</v>
      </c>
      <c r="R296" s="11">
        <f t="shared" si="8"/>
        <v>226522.69789832056</v>
      </c>
      <c r="S296" s="11" t="str">
        <f t="shared" si="9"/>
        <v>Jarrow MB</v>
      </c>
      <c r="T296" s="11" t="s">
        <v>5211</v>
      </c>
      <c r="V296" s="11" t="str">
        <f>INDEX('Lookup 1961'!$A$2:$A$1300, MATCH(S296, 'Lookup 1961'!$B$2:$B$1300,0))</f>
        <v>J04000678</v>
      </c>
      <c r="W296" s="11" t="str">
        <f>INDEX('Lookup 1961'!$F$2:$F$1300, MATCH(S296, 'Lookup 1961'!$B$2:$B$1300,0))</f>
        <v>e110279</v>
      </c>
      <c r="X296" s="11" t="str">
        <f>INDEX('Lookup 1961'!$C$2:$C$1300, MATCH(V296, 'Lookup 1961'!$A$2:$A$1300,0))</f>
        <v>Tyne And Wear</v>
      </c>
    </row>
    <row r="297" spans="1:24" ht="25.05" customHeight="1" x14ac:dyDescent="0.3">
      <c r="A297" s="2" t="s">
        <v>308</v>
      </c>
      <c r="B297" s="2" t="s">
        <v>5253</v>
      </c>
      <c r="C297" s="1">
        <v>20</v>
      </c>
      <c r="D297" s="1">
        <v>6</v>
      </c>
      <c r="E297" s="1">
        <v>13</v>
      </c>
      <c r="F297" s="1">
        <v>8</v>
      </c>
      <c r="K297" s="6">
        <v>3252</v>
      </c>
      <c r="L297" s="6">
        <v>826878</v>
      </c>
      <c r="M297" s="1">
        <v>80.2</v>
      </c>
      <c r="N297" s="1">
        <v>7</v>
      </c>
      <c r="O297" s="1">
        <v>3</v>
      </c>
      <c r="P297" s="1">
        <v>18.2</v>
      </c>
      <c r="Q297" s="11">
        <f>'Table H'!$J$58</f>
        <v>0.89270732340085657</v>
      </c>
      <c r="R297" s="11">
        <f t="shared" si="8"/>
        <v>738160.04615905345</v>
      </c>
      <c r="S297" s="11" t="str">
        <f t="shared" si="9"/>
        <v>Stockton on Tees MB</v>
      </c>
      <c r="T297" s="11" t="s">
        <v>5211</v>
      </c>
      <c r="V297" s="11" t="str">
        <f>INDEX('Lookup 1961'!$A$2:$A$1300, MATCH(S297, 'Lookup 1961'!$B$2:$B$1300,0))</f>
        <v>J04001210</v>
      </c>
      <c r="W297" s="11" t="str">
        <f>INDEX('Lookup 1961'!$F$2:$F$1300, MATCH(S297, 'Lookup 1961'!$B$2:$B$1300,0))</f>
        <v>e451167</v>
      </c>
      <c r="X297" s="11" t="str">
        <f>INDEX('Lookup 1961'!$C$2:$C$1300, MATCH(V297, 'Lookup 1961'!$A$2:$A$1300,0))</f>
        <v>Cleveland</v>
      </c>
    </row>
    <row r="298" spans="1:24" ht="25.05" customHeight="1" x14ac:dyDescent="0.3">
      <c r="A298" s="2" t="s">
        <v>150</v>
      </c>
      <c r="B298" s="2" t="s">
        <v>1221</v>
      </c>
      <c r="S298" s="11" t="str">
        <f t="shared" si="9"/>
        <v xml:space="preserve">Urban Districts  </v>
      </c>
      <c r="V298" s="11" t="e">
        <f>INDEX('Lookup 1961'!$A$2:$A$1300, MATCH(S298, 'Lookup 1961'!$B$2:$B$1300,0))</f>
        <v>#N/A</v>
      </c>
      <c r="W298" s="11" t="e">
        <f>INDEX('Lookup 1961'!$F$2:$F$1300, MATCH(S298, 'Lookup 1961'!$B$2:$B$1300,0))</f>
        <v>#N/A</v>
      </c>
      <c r="X298" s="11" t="e">
        <f>INDEX('Lookup 1961'!$C$2:$C$1300, MATCH(V298, 'Lookup 1961'!$A$2:$A$1300,0))</f>
        <v>#N/A</v>
      </c>
    </row>
    <row r="299" spans="1:24" ht="25.05" customHeight="1" x14ac:dyDescent="0.3">
      <c r="A299" s="2" t="s">
        <v>309</v>
      </c>
      <c r="B299" s="2" t="s">
        <v>309</v>
      </c>
      <c r="C299" s="1">
        <v>20</v>
      </c>
      <c r="D299" s="1">
        <v>0</v>
      </c>
      <c r="E299" s="1">
        <v>15</v>
      </c>
      <c r="F299" s="1">
        <v>2</v>
      </c>
      <c r="K299" s="1">
        <v>180</v>
      </c>
      <c r="L299" s="6">
        <v>52115</v>
      </c>
      <c r="M299" s="1">
        <v>68.8</v>
      </c>
      <c r="N299" s="1">
        <v>6</v>
      </c>
      <c r="O299" s="1">
        <v>16</v>
      </c>
      <c r="P299" s="1">
        <v>16.8</v>
      </c>
      <c r="Q299" s="11">
        <f>'Table H'!$J$59</f>
        <v>0.80877875750531303</v>
      </c>
      <c r="R299" s="11">
        <f t="shared" si="8"/>
        <v>42149.504947389389</v>
      </c>
      <c r="S299" s="11" t="str">
        <f t="shared" si="9"/>
        <v>Barnard Castle UD</v>
      </c>
      <c r="T299" s="11" t="s">
        <v>5214</v>
      </c>
      <c r="V299" s="11" t="str">
        <f>INDEX('Lookup 1961'!$A$2:$A$1300, MATCH(S299, 'Lookup 1961'!$B$2:$B$1300,0))</f>
        <v>J04000083</v>
      </c>
      <c r="W299" s="11" t="str">
        <f>INDEX('Lookup 1961'!$F$2:$F$1300, MATCH(S299, 'Lookup 1961'!$B$2:$B$1300,0))</f>
        <v>e110265</v>
      </c>
      <c r="X299" s="11" t="str">
        <f>INDEX('Lookup 1961'!$C$2:$C$1300, MATCH(V299, 'Lookup 1961'!$A$2:$A$1300,0))</f>
        <v>Durham</v>
      </c>
    </row>
    <row r="300" spans="1:24" ht="25.05" customHeight="1" x14ac:dyDescent="0.3">
      <c r="A300" s="2" t="s">
        <v>310</v>
      </c>
      <c r="B300" s="2" t="s">
        <v>310</v>
      </c>
      <c r="C300" s="1">
        <v>21</v>
      </c>
      <c r="D300" s="1">
        <v>6</v>
      </c>
      <c r="E300" s="1">
        <v>13</v>
      </c>
      <c r="F300" s="1">
        <v>8</v>
      </c>
      <c r="K300" s="6">
        <v>1775</v>
      </c>
      <c r="L300" s="6">
        <v>458600</v>
      </c>
      <c r="M300" s="1">
        <v>103.2</v>
      </c>
      <c r="N300" s="1">
        <v>11</v>
      </c>
      <c r="O300" s="1">
        <v>11</v>
      </c>
      <c r="P300" s="1">
        <v>22.9</v>
      </c>
      <c r="Q300" s="11">
        <f>'Table H'!$J$59</f>
        <v>0.80877875750531303</v>
      </c>
      <c r="R300" s="11">
        <f t="shared" si="8"/>
        <v>370905.93819193653</v>
      </c>
      <c r="S300" s="11" t="str">
        <f t="shared" si="9"/>
        <v>Billingham UD</v>
      </c>
      <c r="T300" s="11" t="s">
        <v>5214</v>
      </c>
      <c r="V300" s="11" t="str">
        <f>INDEX('Lookup 1961'!$A$2:$A$1300, MATCH(S300, 'Lookup 1961'!$B$2:$B$1300,0))</f>
        <v>J04000145</v>
      </c>
      <c r="W300" s="11" t="str">
        <f>INDEX('Lookup 1961'!$F$2:$F$1300, MATCH(S300, 'Lookup 1961'!$B$2:$B$1300,0))</f>
        <v>e451167</v>
      </c>
      <c r="X300" s="11" t="str">
        <f>INDEX('Lookup 1961'!$C$2:$C$1300, MATCH(V300, 'Lookup 1961'!$A$2:$A$1300,0))</f>
        <v>Cleveland</v>
      </c>
    </row>
    <row r="301" spans="1:24" ht="25.05" customHeight="1" x14ac:dyDescent="0.3">
      <c r="A301" s="2" t="s">
        <v>311</v>
      </c>
      <c r="B301" s="2" t="s">
        <v>311</v>
      </c>
      <c r="C301" s="1">
        <v>23</v>
      </c>
      <c r="D301" s="1">
        <v>6</v>
      </c>
      <c r="E301" s="1">
        <v>16</v>
      </c>
      <c r="F301" s="1">
        <v>0</v>
      </c>
      <c r="K301" s="6">
        <v>1140</v>
      </c>
      <c r="L301" s="6">
        <v>303803</v>
      </c>
      <c r="M301" s="1">
        <v>87.2</v>
      </c>
      <c r="N301" s="1">
        <v>6</v>
      </c>
      <c r="O301" s="1">
        <v>10</v>
      </c>
      <c r="P301" s="1">
        <v>32.5</v>
      </c>
      <c r="Q301" s="11">
        <f>'Table H'!$J$59</f>
        <v>0.80877875750531303</v>
      </c>
      <c r="R301" s="11">
        <f t="shared" si="8"/>
        <v>245709.41286638661</v>
      </c>
      <c r="S301" s="11" t="str">
        <f t="shared" si="9"/>
        <v>Bishop Auckland UD</v>
      </c>
      <c r="T301" s="11" t="s">
        <v>5214</v>
      </c>
      <c r="V301" s="11" t="str">
        <f>INDEX('Lookup 1961'!$A$2:$A$1300, MATCH(S301, 'Lookup 1961'!$B$2:$B$1300,0))</f>
        <v>J04000151</v>
      </c>
      <c r="W301" s="11" t="str">
        <f>INDEX('Lookup 1961'!$F$2:$F$1300, MATCH(S301, 'Lookup 1961'!$B$2:$B$1300,0))</f>
        <v>e110266</v>
      </c>
      <c r="X301" s="11" t="str">
        <f>INDEX('Lookup 1961'!$C$2:$C$1300, MATCH(V301, 'Lookup 1961'!$A$2:$A$1300,0))</f>
        <v>Durham</v>
      </c>
    </row>
    <row r="302" spans="1:24" ht="25.05" customHeight="1" x14ac:dyDescent="0.3">
      <c r="A302" s="2" t="s">
        <v>312</v>
      </c>
      <c r="B302" s="2" t="s">
        <v>312</v>
      </c>
      <c r="C302" s="1">
        <v>23</v>
      </c>
      <c r="D302" s="1">
        <v>6</v>
      </c>
      <c r="E302" s="1">
        <v>15</v>
      </c>
      <c r="F302" s="1">
        <v>8</v>
      </c>
      <c r="K302" s="1">
        <v>850</v>
      </c>
      <c r="L302" s="6">
        <v>228583</v>
      </c>
      <c r="M302" s="1">
        <v>70.8</v>
      </c>
      <c r="N302" s="1">
        <v>5</v>
      </c>
      <c r="O302" s="1">
        <v>8</v>
      </c>
      <c r="P302" s="1">
        <v>15.8</v>
      </c>
      <c r="Q302" s="11">
        <f>'Table H'!$J$59</f>
        <v>0.80877875750531303</v>
      </c>
      <c r="R302" s="11">
        <f t="shared" si="8"/>
        <v>184873.07472683696</v>
      </c>
      <c r="S302" s="11" t="str">
        <f t="shared" si="9"/>
        <v>Blaydon UD</v>
      </c>
      <c r="T302" s="11" t="s">
        <v>5214</v>
      </c>
      <c r="V302" s="11" t="str">
        <f>INDEX('Lookup 1961'!$A$2:$A$1300, MATCH(S302, 'Lookup 1961'!$B$2:$B$1300,0))</f>
        <v>J04000163</v>
      </c>
      <c r="W302" s="11" t="str">
        <f>INDEX('Lookup 1961'!$F$2:$F$1300, MATCH(S302, 'Lookup 1961'!$B$2:$B$1300,0))</f>
        <v>e110267</v>
      </c>
      <c r="X302" s="11" t="str">
        <f>INDEX('Lookup 1961'!$C$2:$C$1300, MATCH(V302, 'Lookup 1961'!$A$2:$A$1300,0))</f>
        <v>Tyne And Wear</v>
      </c>
    </row>
    <row r="303" spans="1:24" ht="25.05" customHeight="1" x14ac:dyDescent="0.3">
      <c r="A303" s="2" t="s">
        <v>313</v>
      </c>
      <c r="B303" s="2" t="s">
        <v>313</v>
      </c>
      <c r="C303" s="1">
        <v>23</v>
      </c>
      <c r="D303" s="1">
        <v>2</v>
      </c>
      <c r="E303" s="1">
        <v>16</v>
      </c>
      <c r="F303" s="1">
        <v>6</v>
      </c>
      <c r="K303" s="1">
        <v>620</v>
      </c>
      <c r="L303" s="6">
        <v>166987</v>
      </c>
      <c r="M303" s="1">
        <v>59.4</v>
      </c>
      <c r="N303" s="1">
        <v>7</v>
      </c>
      <c r="O303" s="1">
        <v>0</v>
      </c>
      <c r="P303" s="1">
        <v>9.1999999999999993</v>
      </c>
      <c r="Q303" s="11">
        <f>'Table H'!$J$59</f>
        <v>0.80877875750531303</v>
      </c>
      <c r="R303" s="11">
        <f t="shared" si="8"/>
        <v>135055.53837953971</v>
      </c>
      <c r="S303" s="11" t="str">
        <f t="shared" si="9"/>
        <v>Boldon UD</v>
      </c>
      <c r="T303" s="11" t="s">
        <v>5214</v>
      </c>
      <c r="V303" s="11" t="str">
        <f>INDEX('Lookup 1961'!$A$2:$A$1300, MATCH(S303, 'Lookup 1961'!$B$2:$B$1300,0))</f>
        <v>J04000170</v>
      </c>
      <c r="W303" s="11" t="str">
        <f>INDEX('Lookup 1961'!$F$2:$F$1300, MATCH(S303, 'Lookup 1961'!$B$2:$B$1300,0))</f>
        <v>e110268</v>
      </c>
      <c r="X303" s="11" t="str">
        <f>INDEX('Lookup 1961'!$C$2:$C$1300, MATCH(V303, 'Lookup 1961'!$A$2:$A$1300,0))</f>
        <v>Tyne And Wear</v>
      </c>
    </row>
    <row r="304" spans="1:24" ht="25.05" customHeight="1" x14ac:dyDescent="0.3">
      <c r="A304" s="2" t="s">
        <v>314</v>
      </c>
      <c r="B304" s="2" t="s">
        <v>314</v>
      </c>
      <c r="C304" s="1">
        <v>29</v>
      </c>
      <c r="D304" s="1">
        <v>0</v>
      </c>
      <c r="E304" s="1">
        <v>20</v>
      </c>
      <c r="F304" s="1">
        <v>0</v>
      </c>
      <c r="K304" s="1">
        <v>474</v>
      </c>
      <c r="L304" s="6">
        <v>125379</v>
      </c>
      <c r="M304" s="1">
        <v>67.8</v>
      </c>
      <c r="N304" s="1">
        <v>5</v>
      </c>
      <c r="O304" s="1">
        <v>16</v>
      </c>
      <c r="P304" s="1">
        <v>13.7</v>
      </c>
      <c r="Q304" s="11">
        <f>'Table H'!$J$59</f>
        <v>0.80877875750531303</v>
      </c>
      <c r="R304" s="11">
        <f t="shared" si="8"/>
        <v>101403.87183725864</v>
      </c>
      <c r="S304" s="11" t="str">
        <f t="shared" si="9"/>
        <v>Brandon and Byshottles UD</v>
      </c>
      <c r="T304" s="11" t="s">
        <v>5214</v>
      </c>
      <c r="V304" s="11" t="str">
        <f>INDEX('Lookup 1961'!$A$2:$A$1300, MATCH(S304, 'Lookup 1961'!$B$2:$B$1300,0))</f>
        <v>J04000190</v>
      </c>
      <c r="W304" s="11" t="str">
        <f>INDEX('Lookup 1961'!$F$2:$F$1300, MATCH(S304, 'Lookup 1961'!$B$2:$B$1300,0))</f>
        <v>e110269</v>
      </c>
      <c r="X304" s="11" t="str">
        <f>INDEX('Lookup 1961'!$C$2:$C$1300, MATCH(V304, 'Lookup 1961'!$A$2:$A$1300,0))</f>
        <v>Durham</v>
      </c>
    </row>
    <row r="305" spans="1:24" ht="25.05" customHeight="1" x14ac:dyDescent="0.3">
      <c r="A305" s="2" t="s">
        <v>315</v>
      </c>
      <c r="B305" s="2" t="s">
        <v>5254</v>
      </c>
      <c r="C305" s="1">
        <v>26</v>
      </c>
      <c r="D305" s="1">
        <v>2</v>
      </c>
      <c r="E305" s="1">
        <v>17</v>
      </c>
      <c r="F305" s="1">
        <v>0</v>
      </c>
      <c r="K305" s="1">
        <v>634</v>
      </c>
      <c r="L305" s="6">
        <v>161483</v>
      </c>
      <c r="M305" s="1">
        <v>79.599999999999994</v>
      </c>
      <c r="N305" s="1">
        <v>7</v>
      </c>
      <c r="O305" s="1">
        <v>2</v>
      </c>
      <c r="P305" s="1">
        <v>21.4</v>
      </c>
      <c r="Q305" s="11">
        <f>'Table H'!$J$59</f>
        <v>0.80877875750531303</v>
      </c>
      <c r="R305" s="11">
        <f t="shared" si="8"/>
        <v>130604.02009823047</v>
      </c>
      <c r="S305" s="11" t="str">
        <f t="shared" si="9"/>
        <v>Chester le Street UD</v>
      </c>
      <c r="T305" s="11" t="s">
        <v>5214</v>
      </c>
      <c r="V305" s="11" t="str">
        <f>INDEX('Lookup 1961'!$A$2:$A$1300, MATCH(S305, 'Lookup 1961'!$B$2:$B$1300,0))</f>
        <v>J04000299</v>
      </c>
      <c r="W305" s="11" t="str">
        <f>INDEX('Lookup 1961'!$F$2:$F$1300, MATCH(S305, 'Lookup 1961'!$B$2:$B$1300,0))</f>
        <v>e110270</v>
      </c>
      <c r="X305" s="11" t="str">
        <f>INDEX('Lookup 1961'!$C$2:$C$1300, MATCH(V305, 'Lookup 1961'!$A$2:$A$1300,0))</f>
        <v>Durham</v>
      </c>
    </row>
    <row r="306" spans="1:24" ht="25.05" customHeight="1" x14ac:dyDescent="0.3">
      <c r="A306" s="2" t="s">
        <v>316</v>
      </c>
      <c r="B306" s="2" t="s">
        <v>316</v>
      </c>
      <c r="C306" s="1">
        <v>24</v>
      </c>
      <c r="D306" s="1">
        <v>6</v>
      </c>
      <c r="E306" s="1">
        <v>15</v>
      </c>
      <c r="F306" s="1">
        <v>6</v>
      </c>
      <c r="K306" s="6">
        <v>1550</v>
      </c>
      <c r="L306" s="6">
        <v>404039</v>
      </c>
      <c r="M306" s="1">
        <v>106.6</v>
      </c>
      <c r="N306" s="1">
        <v>7</v>
      </c>
      <c r="O306" s="1">
        <v>7</v>
      </c>
      <c r="P306" s="1">
        <v>28.5</v>
      </c>
      <c r="Q306" s="11">
        <f>'Table H'!$J$59</f>
        <v>0.80877875750531303</v>
      </c>
      <c r="R306" s="11">
        <f t="shared" si="8"/>
        <v>326778.16040368919</v>
      </c>
      <c r="S306" s="11" t="str">
        <f t="shared" si="9"/>
        <v>Consett UD</v>
      </c>
      <c r="T306" s="11" t="s">
        <v>5214</v>
      </c>
      <c r="V306" s="11" t="str">
        <f>INDEX('Lookup 1961'!$A$2:$A$1300, MATCH(S306, 'Lookup 1961'!$B$2:$B$1300,0))</f>
        <v>J04000345</v>
      </c>
      <c r="W306" s="11" t="str">
        <f>INDEX('Lookup 1961'!$F$2:$F$1300, MATCH(S306, 'Lookup 1961'!$B$2:$B$1300,0))</f>
        <v>e110271</v>
      </c>
      <c r="X306" s="11" t="str">
        <f>INDEX('Lookup 1961'!$C$2:$C$1300, MATCH(V306, 'Lookup 1961'!$A$2:$A$1300,0))</f>
        <v>Durham</v>
      </c>
    </row>
    <row r="307" spans="1:24" ht="25.05" customHeight="1" x14ac:dyDescent="0.3">
      <c r="A307" s="2" t="s">
        <v>317</v>
      </c>
      <c r="B307" s="2" t="s">
        <v>317</v>
      </c>
      <c r="C307" s="1">
        <v>24</v>
      </c>
      <c r="D307" s="1">
        <v>6</v>
      </c>
      <c r="E307" s="1">
        <v>18</v>
      </c>
      <c r="F307" s="1">
        <v>9</v>
      </c>
      <c r="K307" s="1">
        <v>658</v>
      </c>
      <c r="L307" s="6">
        <v>181275</v>
      </c>
      <c r="M307" s="1">
        <v>57.2</v>
      </c>
      <c r="N307" s="1">
        <v>5</v>
      </c>
      <c r="O307" s="1">
        <v>11</v>
      </c>
      <c r="P307" s="1">
        <v>23.3</v>
      </c>
      <c r="Q307" s="11">
        <f>'Table H'!$J$59</f>
        <v>0.80877875750531303</v>
      </c>
      <c r="R307" s="11">
        <f t="shared" si="8"/>
        <v>146611.36926677561</v>
      </c>
      <c r="S307" s="11" t="str">
        <f t="shared" si="9"/>
        <v>Crook and Willington UD</v>
      </c>
      <c r="T307" s="11" t="s">
        <v>5214</v>
      </c>
      <c r="V307" s="11" t="str">
        <f>INDEX('Lookup 1961'!$A$2:$A$1300, MATCH(S307, 'Lookup 1961'!$B$2:$B$1300,0))</f>
        <v>J04000369</v>
      </c>
      <c r="W307" s="11" t="str">
        <f>INDEX('Lookup 1961'!$F$2:$F$1300, MATCH(S307, 'Lookup 1961'!$B$2:$B$1300,0))</f>
        <v>e110272</v>
      </c>
      <c r="X307" s="11" t="str">
        <f>INDEX('Lookup 1961'!$C$2:$C$1300, MATCH(V307, 'Lookup 1961'!$A$2:$A$1300,0))</f>
        <v>Durham</v>
      </c>
    </row>
    <row r="308" spans="1:24" ht="25.05" customHeight="1" x14ac:dyDescent="0.3">
      <c r="A308" s="2" t="s">
        <v>318</v>
      </c>
      <c r="B308" s="2" t="s">
        <v>318</v>
      </c>
      <c r="C308" s="1">
        <v>27</v>
      </c>
      <c r="D308" s="1">
        <v>6</v>
      </c>
      <c r="E308" s="1">
        <v>20</v>
      </c>
      <c r="F308" s="1">
        <v>0</v>
      </c>
      <c r="K308" s="1">
        <v>700</v>
      </c>
      <c r="L308" s="6">
        <v>198504</v>
      </c>
      <c r="M308" s="1">
        <v>50</v>
      </c>
      <c r="N308" s="1">
        <v>7</v>
      </c>
      <c r="O308" s="1">
        <v>1</v>
      </c>
      <c r="P308" s="1">
        <v>17</v>
      </c>
      <c r="Q308" s="11">
        <f>'Table H'!$J$59</f>
        <v>0.80877875750531303</v>
      </c>
      <c r="R308" s="11">
        <f t="shared" si="8"/>
        <v>160545.81847983465</v>
      </c>
      <c r="S308" s="11" t="str">
        <f t="shared" si="9"/>
        <v>Felling UD</v>
      </c>
      <c r="T308" s="11" t="s">
        <v>5214</v>
      </c>
      <c r="V308" s="11" t="str">
        <f>INDEX('Lookup 1961'!$A$2:$A$1300, MATCH(S308, 'Lookup 1961'!$B$2:$B$1300,0))</f>
        <v>J04000499</v>
      </c>
      <c r="W308" s="11" t="str">
        <f>INDEX('Lookup 1961'!$F$2:$F$1300, MATCH(S308, 'Lookup 1961'!$B$2:$B$1300,0))</f>
        <v>e110274</v>
      </c>
      <c r="X308" s="11" t="str">
        <f>INDEX('Lookup 1961'!$C$2:$C$1300, MATCH(V308, 'Lookup 1961'!$A$2:$A$1300,0))</f>
        <v>Tyne And Wear</v>
      </c>
    </row>
    <row r="309" spans="1:24" ht="25.05" customHeight="1" x14ac:dyDescent="0.3">
      <c r="A309" s="2" t="s">
        <v>319</v>
      </c>
      <c r="B309" s="2" t="s">
        <v>319</v>
      </c>
      <c r="C309" s="1">
        <v>25</v>
      </c>
      <c r="D309" s="1">
        <v>8</v>
      </c>
      <c r="E309" s="1">
        <v>17</v>
      </c>
      <c r="F309" s="1">
        <v>2</v>
      </c>
      <c r="K309" s="1">
        <v>871</v>
      </c>
      <c r="L309" s="6">
        <v>228159</v>
      </c>
      <c r="M309" s="1">
        <v>88.1</v>
      </c>
      <c r="N309" s="1">
        <v>7</v>
      </c>
      <c r="O309" s="1">
        <v>13</v>
      </c>
      <c r="P309" s="1">
        <v>26.7</v>
      </c>
      <c r="Q309" s="11">
        <f>'Table H'!$J$59</f>
        <v>0.80877875750531303</v>
      </c>
      <c r="R309" s="11">
        <f t="shared" si="8"/>
        <v>184530.15253365471</v>
      </c>
      <c r="S309" s="11" t="str">
        <f t="shared" si="9"/>
        <v>Hebburn UD</v>
      </c>
      <c r="T309" s="11" t="s">
        <v>5214</v>
      </c>
      <c r="V309" s="11" t="str">
        <f>INDEX('Lookup 1961'!$A$2:$A$1300, MATCH(S309, 'Lookup 1961'!$B$2:$B$1300,0))</f>
        <v>J04000597</v>
      </c>
      <c r="W309" s="11" t="str">
        <f>INDEX('Lookup 1961'!$F$2:$F$1300, MATCH(S309, 'Lookup 1961'!$B$2:$B$1300,0))</f>
        <v>e110275</v>
      </c>
      <c r="X309" s="11" t="str">
        <f>INDEX('Lookup 1961'!$C$2:$C$1300, MATCH(V309, 'Lookup 1961'!$A$2:$A$1300,0))</f>
        <v>Tyne And Wear</v>
      </c>
    </row>
    <row r="310" spans="1:24" ht="25.05" customHeight="1" x14ac:dyDescent="0.3">
      <c r="A310" s="2" t="s">
        <v>320</v>
      </c>
      <c r="B310" s="2" t="s">
        <v>320</v>
      </c>
      <c r="C310" s="1">
        <v>22</v>
      </c>
      <c r="D310" s="1">
        <v>6</v>
      </c>
      <c r="E310" s="1">
        <v>15</v>
      </c>
      <c r="F310" s="1">
        <v>4</v>
      </c>
      <c r="K310" s="1">
        <v>440</v>
      </c>
      <c r="L310" s="6">
        <v>117143</v>
      </c>
      <c r="M310" s="1">
        <v>62.2</v>
      </c>
      <c r="N310" s="1">
        <v>4</v>
      </c>
      <c r="O310" s="1">
        <v>8</v>
      </c>
      <c r="P310" s="1">
        <v>11.6</v>
      </c>
      <c r="Q310" s="11">
        <f>'Table H'!$J$59</f>
        <v>0.80877875750531303</v>
      </c>
      <c r="R310" s="11">
        <f t="shared" si="8"/>
        <v>94742.769990444882</v>
      </c>
      <c r="S310" s="11" t="str">
        <f t="shared" si="9"/>
        <v>Hetton UD</v>
      </c>
      <c r="T310" s="11" t="s">
        <v>5214</v>
      </c>
      <c r="V310" s="11" t="str">
        <f>INDEX('Lookup 1961'!$A$2:$A$1300, MATCH(S310, 'Lookup 1961'!$B$2:$B$1300,0))</f>
        <v>J04000617</v>
      </c>
      <c r="W310" s="11" t="str">
        <f>INDEX('Lookup 1961'!$F$2:$F$1300, MATCH(S310, 'Lookup 1961'!$B$2:$B$1300,0))</f>
        <v>e110276</v>
      </c>
      <c r="X310" s="11" t="str">
        <f>INDEX('Lookup 1961'!$C$2:$C$1300, MATCH(V310, 'Lookup 1961'!$A$2:$A$1300,0))</f>
        <v>Tyne And Wear</v>
      </c>
    </row>
    <row r="311" spans="1:24" ht="25.05" customHeight="1" x14ac:dyDescent="0.3">
      <c r="A311" s="2" t="s">
        <v>321</v>
      </c>
      <c r="B311" s="2" t="s">
        <v>5255</v>
      </c>
      <c r="C311" s="1">
        <v>25</v>
      </c>
      <c r="D311" s="1">
        <v>10</v>
      </c>
      <c r="E311" s="1">
        <v>17</v>
      </c>
      <c r="F311" s="1">
        <v>4</v>
      </c>
      <c r="K311" s="1">
        <v>800</v>
      </c>
      <c r="L311" s="6">
        <v>213839</v>
      </c>
      <c r="M311" s="1">
        <v>66.7</v>
      </c>
      <c r="N311" s="1">
        <v>5</v>
      </c>
      <c r="O311" s="1">
        <v>12</v>
      </c>
      <c r="P311" s="1">
        <v>14.5</v>
      </c>
      <c r="Q311" s="11">
        <f>'Table H'!$J$59</f>
        <v>0.80877875750531303</v>
      </c>
      <c r="R311" s="11">
        <f t="shared" si="8"/>
        <v>172948.44072617864</v>
      </c>
      <c r="S311" s="11" t="str">
        <f t="shared" si="9"/>
        <v>Houghton le Spring UD</v>
      </c>
      <c r="T311" s="11" t="s">
        <v>5214</v>
      </c>
      <c r="V311" s="11" t="str">
        <f>INDEX('Lookup 1961'!$A$2:$A$1300, MATCH(S311, 'Lookup 1961'!$B$2:$B$1300,0))</f>
        <v>J04000651</v>
      </c>
      <c r="W311" s="11" t="str">
        <f>INDEX('Lookup 1961'!$F$2:$F$1300, MATCH(S311, 'Lookup 1961'!$B$2:$B$1300,0))</f>
        <v>e110277</v>
      </c>
      <c r="X311" s="11" t="str">
        <f>INDEX('Lookup 1961'!$C$2:$C$1300, MATCH(V311, 'Lookup 1961'!$A$2:$A$1300,0))</f>
        <v>Tyne And Wear</v>
      </c>
    </row>
    <row r="312" spans="1:24" ht="25.05" customHeight="1" x14ac:dyDescent="0.3">
      <c r="A312" s="2" t="s">
        <v>322</v>
      </c>
      <c r="B312" s="2" t="s">
        <v>322</v>
      </c>
      <c r="C312" s="1">
        <v>22</v>
      </c>
      <c r="D312" s="1">
        <v>0</v>
      </c>
      <c r="E312" s="1">
        <v>15</v>
      </c>
      <c r="F312" s="1">
        <v>6</v>
      </c>
      <c r="K312" s="1">
        <v>365</v>
      </c>
      <c r="L312" s="6">
        <v>97112</v>
      </c>
      <c r="M312" s="1">
        <v>51</v>
      </c>
      <c r="N312" s="1">
        <v>5</v>
      </c>
      <c r="O312" s="1">
        <v>0</v>
      </c>
      <c r="P312" s="1">
        <v>7.3</v>
      </c>
      <c r="Q312" s="11">
        <f>'Table H'!$J$59</f>
        <v>0.80877875750531303</v>
      </c>
      <c r="R312" s="11">
        <f t="shared" si="8"/>
        <v>78542.122698855965</v>
      </c>
      <c r="S312" s="11" t="str">
        <f t="shared" si="9"/>
        <v>Ryton UD</v>
      </c>
      <c r="T312" s="11" t="s">
        <v>5214</v>
      </c>
      <c r="V312" s="11" t="str">
        <f>INDEX('Lookup 1961'!$A$2:$A$1300, MATCH(S312, 'Lookup 1961'!$B$2:$B$1300,0))</f>
        <v>J04001088</v>
      </c>
      <c r="W312" s="11" t="str">
        <f>INDEX('Lookup 1961'!$F$2:$F$1300, MATCH(S312, 'Lookup 1961'!$B$2:$B$1300,0))</f>
        <v>e110280</v>
      </c>
      <c r="X312" s="11" t="str">
        <f>INDEX('Lookup 1961'!$C$2:$C$1300, MATCH(V312, 'Lookup 1961'!$A$2:$A$1300,0))</f>
        <v>Tyne And Wear</v>
      </c>
    </row>
    <row r="313" spans="1:24" ht="25.05" customHeight="1" x14ac:dyDescent="0.3">
      <c r="A313" s="2" t="s">
        <v>323</v>
      </c>
      <c r="B313" s="2" t="s">
        <v>323</v>
      </c>
      <c r="C313" s="1">
        <v>23</v>
      </c>
      <c r="D313" s="1">
        <v>10</v>
      </c>
      <c r="E313" s="1">
        <v>17</v>
      </c>
      <c r="F313" s="1">
        <v>0</v>
      </c>
      <c r="K313" s="1">
        <v>635</v>
      </c>
      <c r="L313" s="6">
        <v>178971</v>
      </c>
      <c r="M313" s="1">
        <v>57.2</v>
      </c>
      <c r="N313" s="1">
        <v>5</v>
      </c>
      <c r="O313" s="1">
        <v>8</v>
      </c>
      <c r="P313" s="1">
        <v>15.6</v>
      </c>
      <c r="Q313" s="11">
        <f>'Table H'!$J$59</f>
        <v>0.80877875750531303</v>
      </c>
      <c r="R313" s="11">
        <f t="shared" si="8"/>
        <v>144747.94300948337</v>
      </c>
      <c r="S313" s="11" t="str">
        <f t="shared" si="9"/>
        <v>Seaham UD</v>
      </c>
      <c r="T313" s="11" t="s">
        <v>5214</v>
      </c>
      <c r="V313" s="11" t="str">
        <f>INDEX('Lookup 1961'!$A$2:$A$1300, MATCH(S313, 'Lookup 1961'!$B$2:$B$1300,0))</f>
        <v>J04001111</v>
      </c>
      <c r="W313" s="11" t="str">
        <f>INDEX('Lookup 1961'!$F$2:$F$1300, MATCH(S313, 'Lookup 1961'!$B$2:$B$1300,0))</f>
        <v>e110281</v>
      </c>
      <c r="X313" s="11" t="str">
        <f>INDEX('Lookup 1961'!$C$2:$C$1300, MATCH(V313, 'Lookup 1961'!$A$2:$A$1300,0))</f>
        <v>Durham</v>
      </c>
    </row>
    <row r="314" spans="1:24" ht="25.05" customHeight="1" x14ac:dyDescent="0.3">
      <c r="A314" s="2" t="s">
        <v>324</v>
      </c>
      <c r="B314" s="2" t="s">
        <v>324</v>
      </c>
      <c r="C314" s="1">
        <v>25</v>
      </c>
      <c r="D314" s="1">
        <v>0</v>
      </c>
      <c r="E314" s="1">
        <v>16</v>
      </c>
      <c r="F314" s="1">
        <v>6</v>
      </c>
      <c r="K314" s="1">
        <v>313</v>
      </c>
      <c r="L314" s="6">
        <v>86754</v>
      </c>
      <c r="M314" s="1">
        <v>64.900000000000006</v>
      </c>
      <c r="N314" s="1">
        <v>4</v>
      </c>
      <c r="O314" s="1">
        <v>12</v>
      </c>
      <c r="P314" s="1">
        <v>11.9</v>
      </c>
      <c r="Q314" s="11">
        <f>'Table H'!$J$59</f>
        <v>0.80877875750531303</v>
      </c>
      <c r="R314" s="11">
        <f t="shared" si="8"/>
        <v>70164.79232861592</v>
      </c>
      <c r="S314" s="11" t="str">
        <f t="shared" si="9"/>
        <v>Shildon UD</v>
      </c>
      <c r="T314" s="11" t="s">
        <v>5214</v>
      </c>
      <c r="V314" s="11" t="str">
        <f>INDEX('Lookup 1961'!$A$2:$A$1300, MATCH(S314, 'Lookup 1961'!$B$2:$B$1300,0))</f>
        <v>J04001135</v>
      </c>
      <c r="W314" s="11" t="str">
        <f>INDEX('Lookup 1961'!$F$2:$F$1300, MATCH(S314, 'Lookup 1961'!$B$2:$B$1300,0))</f>
        <v>e110282</v>
      </c>
      <c r="X314" s="11" t="str">
        <f>INDEX('Lookup 1961'!$C$2:$C$1300, MATCH(V314, 'Lookup 1961'!$A$2:$A$1300,0))</f>
        <v>Durham</v>
      </c>
    </row>
    <row r="315" spans="1:24" ht="25.05" customHeight="1" x14ac:dyDescent="0.3">
      <c r="A315" s="2" t="s">
        <v>325</v>
      </c>
      <c r="B315" s="2" t="s">
        <v>325</v>
      </c>
      <c r="C315" s="1">
        <v>24</v>
      </c>
      <c r="D315" s="1">
        <v>0</v>
      </c>
      <c r="E315" s="1">
        <v>17</v>
      </c>
      <c r="F315" s="1">
        <v>6</v>
      </c>
      <c r="K315" s="1">
        <v>559</v>
      </c>
      <c r="L315" s="6">
        <v>147706</v>
      </c>
      <c r="M315" s="1">
        <v>75.2</v>
      </c>
      <c r="N315" s="1">
        <v>5</v>
      </c>
      <c r="O315" s="1">
        <v>17</v>
      </c>
      <c r="P315" s="1">
        <v>22.9</v>
      </c>
      <c r="Q315" s="11">
        <f>'Table H'!$J$59</f>
        <v>0.80877875750531303</v>
      </c>
      <c r="R315" s="11">
        <f t="shared" si="8"/>
        <v>119461.47515607976</v>
      </c>
      <c r="S315" s="11" t="str">
        <f t="shared" si="9"/>
        <v>Spennymoor UD</v>
      </c>
      <c r="T315" s="11" t="s">
        <v>5214</v>
      </c>
      <c r="V315" s="11" t="str">
        <f>INDEX('Lookup 1961'!$A$2:$A$1300, MATCH(S315, 'Lookup 1961'!$B$2:$B$1300,0))</f>
        <v>J04001177</v>
      </c>
      <c r="W315" s="11" t="str">
        <f>INDEX('Lookup 1961'!$F$2:$F$1300, MATCH(S315, 'Lookup 1961'!$B$2:$B$1300,0))</f>
        <v>e110284</v>
      </c>
      <c r="X315" s="11" t="str">
        <f>INDEX('Lookup 1961'!$C$2:$C$1300, MATCH(V315, 'Lookup 1961'!$A$2:$A$1300,0))</f>
        <v>Durham</v>
      </c>
    </row>
    <row r="316" spans="1:24" ht="25.05" customHeight="1" x14ac:dyDescent="0.3">
      <c r="A316" s="2" t="s">
        <v>326</v>
      </c>
      <c r="B316" s="2" t="s">
        <v>326</v>
      </c>
      <c r="C316" s="1">
        <v>26</v>
      </c>
      <c r="D316" s="1">
        <v>0</v>
      </c>
      <c r="E316" s="1">
        <v>18</v>
      </c>
      <c r="F316" s="1">
        <v>6</v>
      </c>
      <c r="K316" s="6">
        <v>1180</v>
      </c>
      <c r="L316" s="6">
        <v>323805</v>
      </c>
      <c r="M316" s="1">
        <v>57.8</v>
      </c>
      <c r="N316" s="1">
        <v>5</v>
      </c>
      <c r="O316" s="1">
        <v>10</v>
      </c>
      <c r="P316" s="1">
        <v>11.8</v>
      </c>
      <c r="Q316" s="11">
        <f>'Table H'!$J$59</f>
        <v>0.80877875750531303</v>
      </c>
      <c r="R316" s="11">
        <f t="shared" si="8"/>
        <v>261886.60557400787</v>
      </c>
      <c r="S316" s="11" t="str">
        <f t="shared" si="9"/>
        <v>Stanley UD</v>
      </c>
      <c r="T316" s="11" t="s">
        <v>5214</v>
      </c>
      <c r="V316" s="11" t="str">
        <f>INDEX('Lookup 1961'!$A$2:$A$1300, MATCH(S316, 'Lookup 1961'!$B$2:$B$1300,0))</f>
        <v>J04001202</v>
      </c>
      <c r="W316" s="11" t="str">
        <f>INDEX('Lookup 1961'!$F$2:$F$1300, MATCH(S316, 'Lookup 1961'!$B$2:$B$1300,0))</f>
        <v>e110285</v>
      </c>
      <c r="X316" s="11" t="str">
        <f>INDEX('Lookup 1961'!$C$2:$C$1300, MATCH(V316, 'Lookup 1961'!$A$2:$A$1300,0))</f>
        <v>Durham</v>
      </c>
    </row>
    <row r="317" spans="1:24" ht="25.05" customHeight="1" x14ac:dyDescent="0.3">
      <c r="A317" s="2" t="s">
        <v>327</v>
      </c>
      <c r="B317" s="2" t="s">
        <v>327</v>
      </c>
      <c r="C317" s="1">
        <v>22</v>
      </c>
      <c r="D317" s="1">
        <v>0</v>
      </c>
      <c r="E317" s="1">
        <v>14</v>
      </c>
      <c r="F317" s="1">
        <v>0</v>
      </c>
      <c r="K317" s="1">
        <v>65</v>
      </c>
      <c r="L317" s="6">
        <v>17665</v>
      </c>
      <c r="M317" s="1">
        <v>70.599999999999994</v>
      </c>
      <c r="N317" s="1">
        <v>3</v>
      </c>
      <c r="O317" s="1">
        <v>12</v>
      </c>
      <c r="P317" s="1">
        <v>10</v>
      </c>
      <c r="Q317" s="11">
        <f>'Table H'!$J$59</f>
        <v>0.80877875750531303</v>
      </c>
      <c r="R317" s="11">
        <f t="shared" si="8"/>
        <v>14287.076751331355</v>
      </c>
      <c r="S317" s="11" t="str">
        <f t="shared" si="9"/>
        <v>Tow Law UD</v>
      </c>
      <c r="T317" s="11" t="s">
        <v>5214</v>
      </c>
      <c r="V317" s="11" t="str">
        <f>INDEX('Lookup 1961'!$A$2:$A$1300, MATCH(S317, 'Lookup 1961'!$B$2:$B$1300,0))</f>
        <v>J04001291</v>
      </c>
      <c r="W317" s="11" t="str">
        <f>INDEX('Lookup 1961'!$F$2:$F$1300, MATCH(S317, 'Lookup 1961'!$B$2:$B$1300,0))</f>
        <v>e110286</v>
      </c>
      <c r="X317" s="11" t="str">
        <f>INDEX('Lookup 1961'!$C$2:$C$1300, MATCH(V317, 'Lookup 1961'!$A$2:$A$1300,0))</f>
        <v>Durham</v>
      </c>
    </row>
    <row r="318" spans="1:24" ht="25.05" customHeight="1" x14ac:dyDescent="0.3">
      <c r="A318" s="2" t="s">
        <v>328</v>
      </c>
      <c r="B318" s="2" t="s">
        <v>328</v>
      </c>
      <c r="C318" s="1">
        <v>24</v>
      </c>
      <c r="D318" s="1">
        <v>0</v>
      </c>
      <c r="E318" s="1">
        <v>15</v>
      </c>
      <c r="F318" s="1">
        <v>10</v>
      </c>
      <c r="K318" s="1">
        <v>510</v>
      </c>
      <c r="L318" s="6">
        <v>135298</v>
      </c>
      <c r="M318" s="1">
        <v>68.400000000000006</v>
      </c>
      <c r="N318" s="1">
        <v>5</v>
      </c>
      <c r="O318" s="1">
        <v>13</v>
      </c>
      <c r="P318" s="1">
        <v>13.6</v>
      </c>
      <c r="Q318" s="11">
        <f>'Table H'!$J$59</f>
        <v>0.80877875750531303</v>
      </c>
      <c r="R318" s="11">
        <f t="shared" si="8"/>
        <v>109426.14833295385</v>
      </c>
      <c r="S318" s="11" t="str">
        <f t="shared" si="9"/>
        <v>Washington UD</v>
      </c>
      <c r="T318" s="11" t="s">
        <v>5214</v>
      </c>
      <c r="V318" s="11" t="str">
        <f>INDEX('Lookup 1961'!$A$2:$A$1300, MATCH(S318, 'Lookup 1961'!$B$2:$B$1300,0))</f>
        <v>J04001351</v>
      </c>
      <c r="W318" s="11" t="str">
        <f>INDEX('Lookup 1961'!$F$2:$F$1300, MATCH(S318, 'Lookup 1961'!$B$2:$B$1300,0))</f>
        <v>e110287</v>
      </c>
      <c r="X318" s="11" t="str">
        <f>INDEX('Lookup 1961'!$C$2:$C$1300, MATCH(V318, 'Lookup 1961'!$A$2:$A$1300,0))</f>
        <v>Tyne And Wear</v>
      </c>
    </row>
    <row r="319" spans="1:24" ht="25.05" customHeight="1" x14ac:dyDescent="0.3">
      <c r="A319" s="2" t="s">
        <v>329</v>
      </c>
      <c r="B319" s="2" t="s">
        <v>329</v>
      </c>
      <c r="C319" s="1">
        <v>19</v>
      </c>
      <c r="D319" s="1">
        <v>4</v>
      </c>
      <c r="E319" s="1">
        <v>13</v>
      </c>
      <c r="F319" s="1">
        <v>4</v>
      </c>
      <c r="K319" s="1">
        <v>645</v>
      </c>
      <c r="L319" s="6">
        <v>173779</v>
      </c>
      <c r="M319" s="1">
        <v>59.3</v>
      </c>
      <c r="N319" s="1">
        <v>4</v>
      </c>
      <c r="O319" s="1">
        <v>13</v>
      </c>
      <c r="P319" s="1">
        <v>7.7</v>
      </c>
      <c r="Q319" s="11">
        <f>'Table H'!$J$59</f>
        <v>0.80877875750531303</v>
      </c>
      <c r="R319" s="11">
        <f t="shared" si="8"/>
        <v>140548.76370051579</v>
      </c>
      <c r="S319" s="11" t="str">
        <f t="shared" si="9"/>
        <v>Whickham UD</v>
      </c>
      <c r="T319" s="11" t="s">
        <v>5214</v>
      </c>
      <c r="V319" s="11" t="str">
        <f>INDEX('Lookup 1961'!$A$2:$A$1300, MATCH(S319, 'Lookup 1961'!$B$2:$B$1300,0))</f>
        <v>J04001397</v>
      </c>
      <c r="W319" s="11" t="str">
        <f>INDEX('Lookup 1961'!$F$2:$F$1300, MATCH(S319, 'Lookup 1961'!$B$2:$B$1300,0))</f>
        <v>e110289</v>
      </c>
      <c r="X319" s="11" t="str">
        <f>INDEX('Lookup 1961'!$C$2:$C$1300, MATCH(V319, 'Lookup 1961'!$A$2:$A$1300,0))</f>
        <v>Tyne And Wear</v>
      </c>
    </row>
    <row r="320" spans="1:24" ht="25.05" customHeight="1" x14ac:dyDescent="0.3">
      <c r="A320" s="2" t="s">
        <v>330</v>
      </c>
      <c r="B320" s="2" t="s">
        <v>330</v>
      </c>
      <c r="L320" s="6"/>
      <c r="S320" s="11" t="str">
        <f t="shared" si="9"/>
        <v xml:space="preserve">ESSEX: </v>
      </c>
      <c r="V320" s="11" t="e">
        <f>INDEX('Lookup 1961'!$A$2:$A$1300, MATCH(S320, 'Lookup 1961'!$B$2:$B$1300,0))</f>
        <v>#N/A</v>
      </c>
      <c r="W320" s="11" t="e">
        <f>INDEX('Lookup 1961'!$F$2:$F$1300, MATCH(S320, 'Lookup 1961'!$B$2:$B$1300,0))</f>
        <v>#N/A</v>
      </c>
      <c r="X320" s="11" t="e">
        <f>INDEX('Lookup 1961'!$C$2:$C$1300, MATCH(V320, 'Lookup 1961'!$A$2:$A$1300,0))</f>
        <v>#N/A</v>
      </c>
    </row>
    <row r="321" spans="1:24" ht="25.05" customHeight="1" x14ac:dyDescent="0.3">
      <c r="A321" s="2" t="s">
        <v>146</v>
      </c>
      <c r="B321" s="2" t="s">
        <v>5257</v>
      </c>
      <c r="L321" s="6"/>
      <c r="S321" s="11" t="str">
        <f t="shared" si="9"/>
        <v xml:space="preserve">Non County Boroughs  </v>
      </c>
      <c r="V321" s="11" t="e">
        <f>INDEX('Lookup 1961'!$A$2:$A$1300, MATCH(S321, 'Lookup 1961'!$B$2:$B$1300,0))</f>
        <v>#N/A</v>
      </c>
      <c r="W321" s="11" t="e">
        <f>INDEX('Lookup 1961'!$F$2:$F$1300, MATCH(S321, 'Lookup 1961'!$B$2:$B$1300,0))</f>
        <v>#N/A</v>
      </c>
      <c r="X321" s="11" t="e">
        <f>INDEX('Lookup 1961'!$C$2:$C$1300, MATCH(V321, 'Lookup 1961'!$A$2:$A$1300,0))</f>
        <v>#N/A</v>
      </c>
    </row>
    <row r="322" spans="1:24" ht="25.05" customHeight="1" x14ac:dyDescent="0.3">
      <c r="A322" s="2" t="s">
        <v>331</v>
      </c>
      <c r="B322" s="2" t="s">
        <v>331</v>
      </c>
      <c r="C322" s="1">
        <v>27</v>
      </c>
      <c r="D322" s="1">
        <v>0</v>
      </c>
      <c r="E322" s="1">
        <v>18</v>
      </c>
      <c r="F322" s="1">
        <v>0</v>
      </c>
      <c r="K322" s="6">
        <v>4090</v>
      </c>
      <c r="L322" s="6">
        <v>1013629</v>
      </c>
      <c r="M322" s="1">
        <v>74.900000000000006</v>
      </c>
      <c r="N322" s="1">
        <v>11</v>
      </c>
      <c r="O322" s="1">
        <v>19</v>
      </c>
      <c r="P322" s="1">
        <v>15.8</v>
      </c>
      <c r="Q322" s="11">
        <f>'Table H'!$J$63</f>
        <v>0.93361113749592584</v>
      </c>
      <c r="R322" s="11">
        <f t="shared" si="8"/>
        <v>946335.32368885784</v>
      </c>
      <c r="S322" s="11" t="str">
        <f t="shared" si="9"/>
        <v>Barking MB</v>
      </c>
      <c r="T322" s="11" t="s">
        <v>5211</v>
      </c>
      <c r="V322" s="11" t="str">
        <f>INDEX('Lookup 1961'!$A$2:$A$1300, MATCH(S322, 'Lookup 1961'!$B$2:$B$1300,0))</f>
        <v>J04000079</v>
      </c>
      <c r="W322" s="11" t="str">
        <f>INDEX('Lookup 1961'!$F$2:$F$1300, MATCH(S322, 'Lookup 1961'!$B$2:$B$1300,0))</f>
        <v>e140371</v>
      </c>
      <c r="X322" s="11" t="str">
        <f>INDEX('Lookup 1961'!$C$2:$C$1300, MATCH(V322, 'Lookup 1961'!$A$2:$A$1300,0))</f>
        <v>Outer London</v>
      </c>
    </row>
    <row r="323" spans="1:24" ht="25.05" customHeight="1" x14ac:dyDescent="0.3">
      <c r="A323" s="2" t="s">
        <v>332</v>
      </c>
      <c r="B323" s="2" t="s">
        <v>332</v>
      </c>
      <c r="C323" s="1">
        <v>21</v>
      </c>
      <c r="D323" s="1">
        <v>10</v>
      </c>
      <c r="E323" s="1">
        <v>15</v>
      </c>
      <c r="F323" s="1">
        <v>3</v>
      </c>
      <c r="K323" s="6">
        <v>3100</v>
      </c>
      <c r="L323" s="6">
        <v>755923</v>
      </c>
      <c r="M323" s="1">
        <v>68.599999999999994</v>
      </c>
      <c r="N323" s="1">
        <v>14</v>
      </c>
      <c r="O323" s="1">
        <v>0</v>
      </c>
      <c r="P323" s="1">
        <v>16.8</v>
      </c>
      <c r="Q323" s="11">
        <f>'Table H'!$J$63</f>
        <v>0.93361113749592584</v>
      </c>
      <c r="R323" s="11">
        <f t="shared" si="8"/>
        <v>705738.13188933278</v>
      </c>
      <c r="S323" s="11" t="str">
        <f t="shared" si="9"/>
        <v>Chelmsford MB</v>
      </c>
      <c r="T323" s="11" t="s">
        <v>5211</v>
      </c>
      <c r="V323" s="11" t="str">
        <f>INDEX('Lookup 1961'!$A$2:$A$1300, MATCH(S323, 'Lookup 1961'!$B$2:$B$1300,0))</f>
        <v>J04000288</v>
      </c>
      <c r="W323" s="11" t="str">
        <f>INDEX('Lookup 1961'!$F$2:$F$1300, MATCH(S323, 'Lookup 1961'!$B$2:$B$1300,0))</f>
        <v>e120316</v>
      </c>
      <c r="X323" s="11" t="str">
        <f>INDEX('Lookup 1961'!$C$2:$C$1300, MATCH(V323, 'Lookup 1961'!$A$2:$A$1300,0))</f>
        <v>Essex</v>
      </c>
    </row>
    <row r="324" spans="1:24" ht="25.05" customHeight="1" x14ac:dyDescent="0.3">
      <c r="A324" s="2" t="s">
        <v>333</v>
      </c>
      <c r="B324" s="2" t="s">
        <v>333</v>
      </c>
      <c r="C324" s="1">
        <v>23</v>
      </c>
      <c r="D324" s="1">
        <v>0</v>
      </c>
      <c r="E324" s="1">
        <v>15</v>
      </c>
      <c r="F324" s="1">
        <v>10</v>
      </c>
      <c r="K324" s="6">
        <v>2900</v>
      </c>
      <c r="L324" s="6">
        <v>727836</v>
      </c>
      <c r="M324" s="1">
        <v>85.9</v>
      </c>
      <c r="N324" s="1">
        <v>11</v>
      </c>
      <c r="O324" s="1">
        <v>19</v>
      </c>
      <c r="P324" s="1">
        <v>26.5</v>
      </c>
      <c r="Q324" s="11">
        <f>'Table H'!$J$63</f>
        <v>0.93361113749592584</v>
      </c>
      <c r="R324" s="11">
        <f t="shared" ref="R324:R387" si="10">Q324*L324</f>
        <v>679515.79587048467</v>
      </c>
      <c r="S324" s="11" t="str">
        <f t="shared" si="9"/>
        <v>Chingford MB</v>
      </c>
      <c r="T324" s="11" t="s">
        <v>5211</v>
      </c>
      <c r="V324" s="11" t="str">
        <f>INDEX('Lookup 1961'!$A$2:$A$1300, MATCH(S324, 'Lookup 1961'!$B$2:$B$1300,0))</f>
        <v>J04000308</v>
      </c>
      <c r="W324" s="11" t="str">
        <f>INDEX('Lookup 1961'!$F$2:$F$1300, MATCH(S324, 'Lookup 1961'!$B$2:$B$1300,0))</f>
        <v>e140407</v>
      </c>
      <c r="X324" s="11" t="str">
        <f>INDEX('Lookup 1961'!$C$2:$C$1300, MATCH(V324, 'Lookup 1961'!$A$2:$A$1300,0))</f>
        <v>Outer London</v>
      </c>
    </row>
    <row r="325" spans="1:24" ht="25.05" customHeight="1" x14ac:dyDescent="0.3">
      <c r="A325" s="2" t="s">
        <v>334</v>
      </c>
      <c r="B325" s="2" t="s">
        <v>334</v>
      </c>
      <c r="C325" s="1">
        <v>25</v>
      </c>
      <c r="D325" s="1">
        <v>2</v>
      </c>
      <c r="E325" s="1">
        <v>17</v>
      </c>
      <c r="F325" s="1">
        <v>10</v>
      </c>
      <c r="K325" s="6">
        <v>2750</v>
      </c>
      <c r="L325" s="6">
        <v>730940</v>
      </c>
      <c r="M325" s="1">
        <v>68.7</v>
      </c>
      <c r="N325" s="1">
        <v>10</v>
      </c>
      <c r="O325" s="1">
        <v>10</v>
      </c>
      <c r="P325" s="1">
        <v>19.899999999999999</v>
      </c>
      <c r="Q325" s="11">
        <f>'Table H'!$J$63</f>
        <v>0.93361113749592584</v>
      </c>
      <c r="R325" s="11">
        <f t="shared" si="10"/>
        <v>682413.72484127199</v>
      </c>
      <c r="S325" s="11" t="str">
        <f t="shared" ref="S325:S388" si="11">_xlfn.CONCAT(B325," ",T325)</f>
        <v>Colchester MB</v>
      </c>
      <c r="T325" s="11" t="s">
        <v>5211</v>
      </c>
      <c r="V325" s="11" t="str">
        <f>INDEX('Lookup 1961'!$A$2:$A$1300, MATCH(S325, 'Lookup 1961'!$B$2:$B$1300,0))</f>
        <v>J04000336</v>
      </c>
      <c r="W325" s="11" t="str">
        <f>INDEX('Lookup 1961'!$F$2:$F$1300, MATCH(S325, 'Lookup 1961'!$B$2:$B$1300,0))</f>
        <v>e120319</v>
      </c>
      <c r="X325" s="11" t="str">
        <f>INDEX('Lookup 1961'!$C$2:$C$1300, MATCH(V325, 'Lookup 1961'!$A$2:$A$1300,0))</f>
        <v>Essex</v>
      </c>
    </row>
    <row r="326" spans="1:24" ht="25.05" customHeight="1" x14ac:dyDescent="0.3">
      <c r="A326" s="2" t="s">
        <v>335</v>
      </c>
      <c r="B326" s="2" t="s">
        <v>335</v>
      </c>
      <c r="C326" s="1">
        <v>26</v>
      </c>
      <c r="D326" s="1">
        <v>9</v>
      </c>
      <c r="E326" s="1">
        <v>17</v>
      </c>
      <c r="F326" s="1">
        <v>6</v>
      </c>
      <c r="K326" s="6">
        <v>5480</v>
      </c>
      <c r="L326" s="6">
        <v>1358497</v>
      </c>
      <c r="M326" s="1">
        <v>93.6</v>
      </c>
      <c r="N326" s="1">
        <v>10</v>
      </c>
      <c r="O326" s="1">
        <v>4</v>
      </c>
      <c r="P326" s="1">
        <v>26.5</v>
      </c>
      <c r="Q326" s="11">
        <f>'Table H'!$J$63</f>
        <v>0.93361113749592584</v>
      </c>
      <c r="R326" s="11">
        <f t="shared" si="10"/>
        <v>1268307.9294548028</v>
      </c>
      <c r="S326" s="11" t="str">
        <f t="shared" si="11"/>
        <v>Dagenham MB</v>
      </c>
      <c r="T326" s="11" t="s">
        <v>5211</v>
      </c>
      <c r="V326" s="11" t="str">
        <f>INDEX('Lookup 1961'!$A$2:$A$1300, MATCH(S326, 'Lookup 1961'!$B$2:$B$1300,0))</f>
        <v>J04000377</v>
      </c>
      <c r="W326" s="11" t="str">
        <f>INDEX('Lookup 1961'!$F$2:$F$1300, MATCH(S326, 'Lookup 1961'!$B$2:$B$1300,0))</f>
        <v>e140371</v>
      </c>
      <c r="X326" s="11" t="str">
        <f>INDEX('Lookup 1961'!$C$2:$C$1300, MATCH(V326, 'Lookup 1961'!$A$2:$A$1300,0))</f>
        <v>Outer London</v>
      </c>
    </row>
    <row r="327" spans="1:24" ht="25.05" customHeight="1" x14ac:dyDescent="0.3">
      <c r="A327" s="2" t="s">
        <v>336</v>
      </c>
      <c r="B327" s="2" t="s">
        <v>336</v>
      </c>
      <c r="C327" s="1">
        <v>27</v>
      </c>
      <c r="D327" s="1">
        <v>4</v>
      </c>
      <c r="E327" s="1">
        <v>21</v>
      </c>
      <c r="F327" s="1">
        <v>0</v>
      </c>
      <c r="K327" s="1">
        <v>532</v>
      </c>
      <c r="L327" s="6">
        <v>142175</v>
      </c>
      <c r="M327" s="1">
        <v>51.8</v>
      </c>
      <c r="N327" s="1">
        <v>9</v>
      </c>
      <c r="O327" s="1">
        <v>4</v>
      </c>
      <c r="P327" s="1">
        <v>12.3</v>
      </c>
      <c r="Q327" s="11">
        <f>'Table H'!$J$63</f>
        <v>0.93361113749592584</v>
      </c>
      <c r="R327" s="11">
        <f t="shared" si="10"/>
        <v>132736.16347348326</v>
      </c>
      <c r="S327" s="11" t="str">
        <f t="shared" si="11"/>
        <v>Harwich MB</v>
      </c>
      <c r="T327" s="11" t="s">
        <v>5211</v>
      </c>
      <c r="V327" s="11" t="str">
        <f>INDEX('Lookup 1961'!$A$2:$A$1300, MATCH(S327, 'Lookup 1961'!$B$2:$B$1300,0))</f>
        <v>J04000581</v>
      </c>
      <c r="W327" s="11" t="str">
        <f>INDEX('Lookup 1961'!$F$2:$F$1300, MATCH(S327, 'Lookup 1961'!$B$2:$B$1300,0))</f>
        <v>e120325</v>
      </c>
      <c r="X327" s="11" t="str">
        <f>INDEX('Lookup 1961'!$C$2:$C$1300, MATCH(V327, 'Lookup 1961'!$A$2:$A$1300,0))</f>
        <v>Essex</v>
      </c>
    </row>
    <row r="328" spans="1:24" ht="25.05" customHeight="1" x14ac:dyDescent="0.3">
      <c r="A328" s="2" t="s">
        <v>337</v>
      </c>
      <c r="B328" s="2" t="s">
        <v>337</v>
      </c>
      <c r="C328" s="1">
        <v>23</v>
      </c>
      <c r="D328" s="1">
        <v>4</v>
      </c>
      <c r="E328" s="1">
        <v>17</v>
      </c>
      <c r="F328" s="1">
        <v>4</v>
      </c>
      <c r="K328" s="6">
        <v>12150</v>
      </c>
      <c r="L328" s="6">
        <v>3016206</v>
      </c>
      <c r="M328" s="1">
        <v>76.900000000000006</v>
      </c>
      <c r="N328" s="1">
        <v>14</v>
      </c>
      <c r="O328" s="1">
        <v>1</v>
      </c>
      <c r="P328" s="1">
        <v>30.1</v>
      </c>
      <c r="Q328" s="11">
        <f>'Table H'!$J$63</f>
        <v>0.93361113749592584</v>
      </c>
      <c r="R328" s="11">
        <f t="shared" si="10"/>
        <v>2815963.5145820365</v>
      </c>
      <c r="S328" s="11" t="str">
        <f t="shared" si="11"/>
        <v>Ilford MB</v>
      </c>
      <c r="T328" s="11" t="s">
        <v>5211</v>
      </c>
      <c r="V328" s="11" t="str">
        <f>INDEX('Lookup 1961'!$A$2:$A$1300, MATCH(S328, 'Lookup 1961'!$B$2:$B$1300,0))</f>
        <v>J04000665</v>
      </c>
      <c r="W328" s="11" t="str">
        <f>INDEX('Lookup 1961'!$F$2:$F$1300, MATCH(S328, 'Lookup 1961'!$B$2:$B$1300,0))</f>
        <v>e140400</v>
      </c>
      <c r="X328" s="11" t="str">
        <f>INDEX('Lookup 1961'!$C$2:$C$1300, MATCH(V328, 'Lookup 1961'!$A$2:$A$1300,0))</f>
        <v>Outer London</v>
      </c>
    </row>
    <row r="329" spans="1:24" ht="25.05" customHeight="1" x14ac:dyDescent="0.3">
      <c r="A329" s="2" t="s">
        <v>338</v>
      </c>
      <c r="B329" s="2" t="s">
        <v>338</v>
      </c>
      <c r="C329" s="1">
        <v>24</v>
      </c>
      <c r="D329" s="1">
        <v>6</v>
      </c>
      <c r="E329" s="1">
        <v>17</v>
      </c>
      <c r="F329" s="1">
        <v>8</v>
      </c>
      <c r="K329" s="6">
        <v>5330</v>
      </c>
      <c r="L329" s="6">
        <v>1315437</v>
      </c>
      <c r="M329" s="1">
        <v>67.8</v>
      </c>
      <c r="N329" s="1">
        <v>11</v>
      </c>
      <c r="O329" s="1">
        <v>10</v>
      </c>
      <c r="P329" s="1">
        <v>24</v>
      </c>
      <c r="Q329" s="11">
        <f>'Table H'!$J$63</f>
        <v>0.93361113749592584</v>
      </c>
      <c r="R329" s="11">
        <f t="shared" si="10"/>
        <v>1228106.6338742282</v>
      </c>
      <c r="S329" s="11" t="str">
        <f t="shared" si="11"/>
        <v>Leyton MB</v>
      </c>
      <c r="T329" s="11" t="s">
        <v>5211</v>
      </c>
      <c r="V329" s="11" t="str">
        <f>INDEX('Lookup 1961'!$A$2:$A$1300, MATCH(S329, 'Lookup 1961'!$B$2:$B$1300,0))</f>
        <v>J04000743</v>
      </c>
      <c r="W329" s="11" t="str">
        <f>INDEX('Lookup 1961'!$F$2:$F$1300, MATCH(S329, 'Lookup 1961'!$B$2:$B$1300,0))</f>
        <v>e140407</v>
      </c>
      <c r="X329" s="11" t="str">
        <f>INDEX('Lookup 1961'!$C$2:$C$1300, MATCH(V329, 'Lookup 1961'!$A$2:$A$1300,0))</f>
        <v>Outer London</v>
      </c>
    </row>
    <row r="330" spans="1:24" ht="25.05" customHeight="1" x14ac:dyDescent="0.3">
      <c r="A330" s="2" t="s">
        <v>339</v>
      </c>
      <c r="B330" s="2" t="s">
        <v>339</v>
      </c>
      <c r="C330" s="1">
        <v>25</v>
      </c>
      <c r="D330" s="1">
        <v>10</v>
      </c>
      <c r="E330" s="1">
        <v>18</v>
      </c>
      <c r="F330" s="1">
        <v>6</v>
      </c>
      <c r="K330" s="1">
        <v>425</v>
      </c>
      <c r="L330" s="6">
        <v>113186</v>
      </c>
      <c r="M330" s="1">
        <v>83.8</v>
      </c>
      <c r="N330" s="1">
        <v>10</v>
      </c>
      <c r="O330" s="1">
        <v>12</v>
      </c>
      <c r="P330" s="1">
        <v>31.7</v>
      </c>
      <c r="Q330" s="11">
        <f>'Table H'!$J$63</f>
        <v>0.93361113749592584</v>
      </c>
      <c r="R330" s="11">
        <f t="shared" si="10"/>
        <v>105671.71020861386</v>
      </c>
      <c r="S330" s="11" t="str">
        <f t="shared" si="11"/>
        <v>Maldon MB</v>
      </c>
      <c r="T330" s="11" t="s">
        <v>5211</v>
      </c>
      <c r="V330" s="11" t="str">
        <f>INDEX('Lookup 1961'!$A$2:$A$1300, MATCH(S330, 'Lookup 1961'!$B$2:$B$1300,0))</f>
        <v>J04000812</v>
      </c>
      <c r="W330" s="11" t="str">
        <f>INDEX('Lookup 1961'!$F$2:$F$1300, MATCH(S330, 'Lookup 1961'!$B$2:$B$1300,0))</f>
        <v>e120326</v>
      </c>
      <c r="X330" s="11" t="str">
        <f>INDEX('Lookup 1961'!$C$2:$C$1300, MATCH(V330, 'Lookup 1961'!$A$2:$A$1300,0))</f>
        <v>Essex</v>
      </c>
    </row>
    <row r="331" spans="1:24" ht="25.05" customHeight="1" x14ac:dyDescent="0.3">
      <c r="A331" s="2" t="s">
        <v>340</v>
      </c>
      <c r="B331" s="2" t="s">
        <v>340</v>
      </c>
      <c r="C331" s="1">
        <v>24</v>
      </c>
      <c r="D331" s="1">
        <v>1</v>
      </c>
      <c r="E331" s="1">
        <v>17</v>
      </c>
      <c r="F331" s="1">
        <v>4</v>
      </c>
      <c r="K331" s="6">
        <v>5770</v>
      </c>
      <c r="L331" s="6">
        <v>1475936</v>
      </c>
      <c r="M331" s="1">
        <v>89.1</v>
      </c>
      <c r="N331" s="1">
        <v>11</v>
      </c>
      <c r="O331" s="1">
        <v>7</v>
      </c>
      <c r="P331" s="1">
        <v>34.700000000000003</v>
      </c>
      <c r="Q331" s="11">
        <f>'Table H'!$J$63</f>
        <v>0.93361113749592584</v>
      </c>
      <c r="R331" s="11">
        <f t="shared" si="10"/>
        <v>1377950.2878311868</v>
      </c>
      <c r="S331" s="11" t="str">
        <f t="shared" si="11"/>
        <v>Romford MB</v>
      </c>
      <c r="T331" s="11" t="s">
        <v>5211</v>
      </c>
      <c r="V331" s="11" t="str">
        <f>INDEX('Lookup 1961'!$A$2:$A$1300, MATCH(S331, 'Lookup 1961'!$B$2:$B$1300,0))</f>
        <v>J04001060</v>
      </c>
      <c r="W331" s="11" t="str">
        <f>INDEX('Lookup 1961'!$F$2:$F$1300, MATCH(S331, 'Lookup 1961'!$B$2:$B$1300,0))</f>
        <v>e140387</v>
      </c>
      <c r="X331" s="11" t="str">
        <f>INDEX('Lookup 1961'!$C$2:$C$1300, MATCH(V331, 'Lookup 1961'!$A$2:$A$1300,0))</f>
        <v>Outer London</v>
      </c>
    </row>
    <row r="332" spans="1:24" ht="25.05" customHeight="1" x14ac:dyDescent="0.3">
      <c r="A332" s="2" t="s">
        <v>341</v>
      </c>
      <c r="B332" s="2" t="s">
        <v>341</v>
      </c>
      <c r="C332" s="1">
        <v>22</v>
      </c>
      <c r="D332" s="1">
        <v>0</v>
      </c>
      <c r="E332" s="1">
        <v>14</v>
      </c>
      <c r="F332" s="1">
        <v>8</v>
      </c>
      <c r="K332" s="1">
        <v>420</v>
      </c>
      <c r="L332" s="6">
        <v>106817</v>
      </c>
      <c r="M332" s="1">
        <v>113.6</v>
      </c>
      <c r="N332" s="1">
        <v>10</v>
      </c>
      <c r="O332" s="1">
        <v>12</v>
      </c>
      <c r="P332" s="1">
        <v>43.4</v>
      </c>
      <c r="Q332" s="11">
        <f>'Table H'!$J$63</f>
        <v>0.93361113749592584</v>
      </c>
      <c r="R332" s="11">
        <f t="shared" si="10"/>
        <v>99725.540873902311</v>
      </c>
      <c r="S332" s="11" t="str">
        <f t="shared" si="11"/>
        <v>Saffron Walden MB</v>
      </c>
      <c r="T332" s="11" t="s">
        <v>5211</v>
      </c>
      <c r="V332" s="11" t="str">
        <f>INDEX('Lookup 1961'!$A$2:$A$1300, MATCH(S332, 'Lookup 1961'!$B$2:$B$1300,0))</f>
        <v>J04001090</v>
      </c>
      <c r="W332" s="11" t="str">
        <f>INDEX('Lookup 1961'!$F$2:$F$1300, MATCH(S332, 'Lookup 1961'!$B$2:$B$1300,0))</f>
        <v>e120328</v>
      </c>
      <c r="X332" s="11" t="str">
        <f>INDEX('Lookup 1961'!$C$2:$C$1300, MATCH(V332, 'Lookup 1961'!$A$2:$A$1300,0))</f>
        <v>Essex</v>
      </c>
    </row>
    <row r="333" spans="1:24" ht="25.05" customHeight="1" x14ac:dyDescent="0.3">
      <c r="A333" s="2" t="s">
        <v>342</v>
      </c>
      <c r="B333" s="2" t="s">
        <v>342</v>
      </c>
      <c r="C333" s="1">
        <v>27</v>
      </c>
      <c r="D333" s="1">
        <v>2</v>
      </c>
      <c r="E333" s="1">
        <v>19</v>
      </c>
      <c r="F333" s="1">
        <v>6</v>
      </c>
      <c r="K333" s="6">
        <v>6500</v>
      </c>
      <c r="L333" s="6">
        <v>1651720</v>
      </c>
      <c r="M333" s="1">
        <v>81</v>
      </c>
      <c r="N333" s="1">
        <v>13</v>
      </c>
      <c r="O333" s="1">
        <v>2</v>
      </c>
      <c r="P333" s="1">
        <v>27.3</v>
      </c>
      <c r="Q333" s="11">
        <f>'Table H'!$J$63</f>
        <v>0.93361113749592584</v>
      </c>
      <c r="R333" s="11">
        <f t="shared" si="10"/>
        <v>1542064.1880247707</v>
      </c>
      <c r="S333" s="11" t="str">
        <f t="shared" si="11"/>
        <v>Walthamstow MB</v>
      </c>
      <c r="T333" s="11" t="s">
        <v>5211</v>
      </c>
      <c r="V333" s="11" t="str">
        <f>INDEX('Lookup 1961'!$A$2:$A$1300, MATCH(S333, 'Lookup 1961'!$B$2:$B$1300,0))</f>
        <v>J04001331</v>
      </c>
      <c r="W333" s="11" t="str">
        <f>INDEX('Lookup 1961'!$F$2:$F$1300, MATCH(S333, 'Lookup 1961'!$B$2:$B$1300,0))</f>
        <v>e140407</v>
      </c>
      <c r="X333" s="11" t="str">
        <f>INDEX('Lookup 1961'!$C$2:$C$1300, MATCH(V333, 'Lookup 1961'!$A$2:$A$1300,0))</f>
        <v>Outer London</v>
      </c>
    </row>
    <row r="334" spans="1:24" ht="25.05" customHeight="1" x14ac:dyDescent="0.3">
      <c r="A334" s="2" t="s">
        <v>343</v>
      </c>
      <c r="B334" s="2" t="s">
        <v>343</v>
      </c>
      <c r="C334" s="1">
        <v>23</v>
      </c>
      <c r="D334" s="1">
        <v>4</v>
      </c>
      <c r="E334" s="1">
        <v>16</v>
      </c>
      <c r="F334" s="1">
        <v>8</v>
      </c>
      <c r="K334" s="6">
        <v>4054</v>
      </c>
      <c r="L334" s="6">
        <v>1014823</v>
      </c>
      <c r="M334" s="1">
        <v>58.3</v>
      </c>
      <c r="N334" s="1">
        <v>13</v>
      </c>
      <c r="O334" s="1">
        <v>10</v>
      </c>
      <c r="P334" s="1">
        <v>12</v>
      </c>
      <c r="Q334" s="11">
        <f>'Table H'!$J$63</f>
        <v>0.93361113749592584</v>
      </c>
      <c r="R334" s="11">
        <f t="shared" si="10"/>
        <v>947450.05538702791</v>
      </c>
      <c r="S334" s="11" t="str">
        <f t="shared" si="11"/>
        <v>Wanstead and Woodford MB</v>
      </c>
      <c r="T334" s="11" t="s">
        <v>5211</v>
      </c>
      <c r="V334" s="11" t="str">
        <f>INDEX('Lookup 1961'!$A$2:$A$1300, MATCH(S334, 'Lookup 1961'!$B$2:$B$1300,0))</f>
        <v>J04001335</v>
      </c>
      <c r="W334" s="11" t="str">
        <f>INDEX('Lookup 1961'!$F$2:$F$1300, MATCH(S334, 'Lookup 1961'!$B$2:$B$1300,0))</f>
        <v>e140400</v>
      </c>
      <c r="X334" s="11" t="str">
        <f>INDEX('Lookup 1961'!$C$2:$C$1300, MATCH(V334, 'Lookup 1961'!$A$2:$A$1300,0))</f>
        <v>Outer London</v>
      </c>
    </row>
    <row r="335" spans="1:24" ht="25.05" customHeight="1" x14ac:dyDescent="0.3">
      <c r="A335" s="2" t="s">
        <v>150</v>
      </c>
      <c r="B335" s="2" t="s">
        <v>1221</v>
      </c>
      <c r="S335" s="11" t="str">
        <f t="shared" si="11"/>
        <v xml:space="preserve">Urban Districts  </v>
      </c>
      <c r="V335" s="11" t="e">
        <f>INDEX('Lookup 1961'!$A$2:$A$1300, MATCH(S335, 'Lookup 1961'!$B$2:$B$1300,0))</f>
        <v>#N/A</v>
      </c>
      <c r="W335" s="11" t="e">
        <f>INDEX('Lookup 1961'!$F$2:$F$1300, MATCH(S335, 'Lookup 1961'!$B$2:$B$1300,0))</f>
        <v>#N/A</v>
      </c>
      <c r="X335" s="11" t="e">
        <f>INDEX('Lookup 1961'!$C$2:$C$1300, MATCH(V335, 'Lookup 1961'!$A$2:$A$1300,0))</f>
        <v>#N/A</v>
      </c>
    </row>
    <row r="336" spans="1:24" ht="25.05" customHeight="1" x14ac:dyDescent="0.3">
      <c r="A336" s="2" t="s">
        <v>344</v>
      </c>
      <c r="B336" s="2" t="s">
        <v>344</v>
      </c>
      <c r="C336" s="1">
        <v>24</v>
      </c>
      <c r="D336" s="1">
        <v>6</v>
      </c>
      <c r="E336" s="1">
        <v>17</v>
      </c>
      <c r="F336" s="1">
        <v>9</v>
      </c>
      <c r="K336" s="6">
        <v>2050</v>
      </c>
      <c r="L336" s="6">
        <v>514929</v>
      </c>
      <c r="M336" s="1">
        <v>75</v>
      </c>
      <c r="N336" s="1">
        <v>7</v>
      </c>
      <c r="O336" s="1">
        <v>9</v>
      </c>
      <c r="P336" s="1">
        <v>11.4</v>
      </c>
      <c r="Q336" s="11">
        <f>'Table H'!$J$64</f>
        <v>0.91080114385521271</v>
      </c>
      <c r="R336" s="11">
        <f t="shared" si="10"/>
        <v>468997.92220422084</v>
      </c>
      <c r="S336" s="11" t="str">
        <f t="shared" si="11"/>
        <v>Basildon UD</v>
      </c>
      <c r="T336" s="11" t="s">
        <v>5214</v>
      </c>
      <c r="V336" s="11" t="str">
        <f>INDEX('Lookup 1961'!$A$2:$A$1300, MATCH(S336, 'Lookup 1961'!$B$2:$B$1300,0))</f>
        <v>J04000096</v>
      </c>
      <c r="W336" s="11" t="str">
        <f>INDEX('Lookup 1961'!$F$2:$F$1300, MATCH(S336, 'Lookup 1961'!$B$2:$B$1300,0))</f>
        <v>e120308</v>
      </c>
      <c r="X336" s="11" t="str">
        <f>INDEX('Lookup 1961'!$C$2:$C$1300, MATCH(V336, 'Lookup 1961'!$A$2:$A$1300,0))</f>
        <v>Essex</v>
      </c>
    </row>
    <row r="337" spans="1:24" ht="25.05" customHeight="1" x14ac:dyDescent="0.3">
      <c r="A337" s="2" t="s">
        <v>345</v>
      </c>
      <c r="B337" s="2" t="s">
        <v>345</v>
      </c>
      <c r="C337" s="1">
        <v>24</v>
      </c>
      <c r="D337" s="1">
        <v>5</v>
      </c>
      <c r="E337" s="1">
        <v>16</v>
      </c>
      <c r="F337" s="1">
        <v>2</v>
      </c>
      <c r="K337" s="6">
        <v>1090</v>
      </c>
      <c r="L337" s="6">
        <v>275326</v>
      </c>
      <c r="M337" s="1">
        <v>104.5</v>
      </c>
      <c r="N337" s="1">
        <v>9</v>
      </c>
      <c r="O337" s="1">
        <v>11</v>
      </c>
      <c r="P337" s="1">
        <v>23.6</v>
      </c>
      <c r="Q337" s="11">
        <f>'Table H'!$J$64</f>
        <v>0.91080114385521271</v>
      </c>
      <c r="R337" s="11">
        <f t="shared" si="10"/>
        <v>250767.23573308031</v>
      </c>
      <c r="S337" s="11" t="str">
        <f t="shared" si="11"/>
        <v>Benfleet UD</v>
      </c>
      <c r="T337" s="11" t="s">
        <v>5214</v>
      </c>
      <c r="V337" s="11" t="str">
        <f>INDEX('Lookup 1961'!$A$2:$A$1300, MATCH(S337, 'Lookup 1961'!$B$2:$B$1300,0))</f>
        <v>J04000123</v>
      </c>
      <c r="W337" s="11" t="str">
        <f>INDEX('Lookup 1961'!$F$2:$F$1300, MATCH(S337, 'Lookup 1961'!$B$2:$B$1300,0))</f>
        <v>e120310</v>
      </c>
      <c r="X337" s="11" t="str">
        <f>INDEX('Lookup 1961'!$C$2:$C$1300, MATCH(V337, 'Lookup 1961'!$A$2:$A$1300,0))</f>
        <v>Essex</v>
      </c>
    </row>
    <row r="338" spans="1:24" ht="25.05" customHeight="1" x14ac:dyDescent="0.3">
      <c r="A338" s="2" t="s">
        <v>346</v>
      </c>
      <c r="B338" s="2" t="s">
        <v>346</v>
      </c>
      <c r="C338" s="1">
        <v>26</v>
      </c>
      <c r="D338" s="1">
        <v>4</v>
      </c>
      <c r="E338" s="1">
        <v>16</v>
      </c>
      <c r="F338" s="1">
        <v>4</v>
      </c>
      <c r="K338" s="1">
        <v>983</v>
      </c>
      <c r="L338" s="6">
        <v>249958</v>
      </c>
      <c r="M338" s="1">
        <v>121.7</v>
      </c>
      <c r="N338" s="1">
        <v>10</v>
      </c>
      <c r="O338" s="1">
        <v>16</v>
      </c>
      <c r="P338" s="1">
        <v>38.700000000000003</v>
      </c>
      <c r="Q338" s="11">
        <f>'Table H'!$J$64</f>
        <v>0.91080114385521271</v>
      </c>
      <c r="R338" s="11">
        <f t="shared" si="10"/>
        <v>227662.03231576126</v>
      </c>
      <c r="S338" s="11" t="str">
        <f t="shared" si="11"/>
        <v>Braintree and Bocking UD</v>
      </c>
      <c r="T338" s="11" t="s">
        <v>5214</v>
      </c>
      <c r="V338" s="11" t="str">
        <f>INDEX('Lookup 1961'!$A$2:$A$1300, MATCH(S338, 'Lookup 1961'!$B$2:$B$1300,0))</f>
        <v>J04000188</v>
      </c>
      <c r="W338" s="11" t="str">
        <f>INDEX('Lookup 1961'!$F$2:$F$1300, MATCH(S338, 'Lookup 1961'!$B$2:$B$1300,0))</f>
        <v>e120311</v>
      </c>
      <c r="X338" s="11" t="str">
        <f>INDEX('Lookup 1961'!$C$2:$C$1300, MATCH(V338, 'Lookup 1961'!$A$2:$A$1300,0))</f>
        <v>Essex</v>
      </c>
    </row>
    <row r="339" spans="1:24" ht="25.05" customHeight="1" x14ac:dyDescent="0.3">
      <c r="A339" s="2" t="s">
        <v>347</v>
      </c>
      <c r="B339" s="2" t="s">
        <v>347</v>
      </c>
      <c r="C339" s="1">
        <v>23</v>
      </c>
      <c r="D339" s="1">
        <v>2</v>
      </c>
      <c r="E339" s="1">
        <v>17</v>
      </c>
      <c r="F339" s="1">
        <v>4</v>
      </c>
      <c r="K339" s="6">
        <v>1906</v>
      </c>
      <c r="L339" s="6">
        <v>474317</v>
      </c>
      <c r="M339" s="1">
        <v>47.6</v>
      </c>
      <c r="N339" s="1">
        <v>10</v>
      </c>
      <c r="O339" s="1">
        <v>8</v>
      </c>
      <c r="P339" s="1">
        <v>3.3</v>
      </c>
      <c r="Q339" s="11">
        <f>'Table H'!$J$64</f>
        <v>0.91080114385521271</v>
      </c>
      <c r="R339" s="11">
        <f t="shared" si="10"/>
        <v>432008.46614997293</v>
      </c>
      <c r="S339" s="11" t="str">
        <f t="shared" si="11"/>
        <v>Brentwood UD</v>
      </c>
      <c r="T339" s="11" t="s">
        <v>5214</v>
      </c>
      <c r="V339" s="11" t="str">
        <f>INDEX('Lookup 1961'!$A$2:$A$1300, MATCH(S339, 'Lookup 1961'!$B$2:$B$1300,0))</f>
        <v>J04000196</v>
      </c>
      <c r="W339" s="11" t="str">
        <f>INDEX('Lookup 1961'!$F$2:$F$1300, MATCH(S339, 'Lookup 1961'!$B$2:$B$1300,0))</f>
        <v>e120312</v>
      </c>
      <c r="X339" s="11" t="str">
        <f>INDEX('Lookup 1961'!$C$2:$C$1300, MATCH(V339, 'Lookup 1961'!$A$2:$A$1300,0))</f>
        <v>Essex</v>
      </c>
    </row>
    <row r="340" spans="1:24" ht="25.05" customHeight="1" x14ac:dyDescent="0.3">
      <c r="A340" s="2" t="s">
        <v>348</v>
      </c>
      <c r="B340" s="2" t="s">
        <v>348</v>
      </c>
      <c r="C340" s="1">
        <v>22</v>
      </c>
      <c r="D340" s="1">
        <v>10</v>
      </c>
      <c r="E340" s="1">
        <v>16</v>
      </c>
      <c r="F340" s="1">
        <v>3</v>
      </c>
      <c r="K340" s="1">
        <v>165</v>
      </c>
      <c r="L340" s="6">
        <v>42589</v>
      </c>
      <c r="M340" s="1">
        <v>74.400000000000006</v>
      </c>
      <c r="N340" s="1">
        <v>7</v>
      </c>
      <c r="O340" s="1">
        <v>7</v>
      </c>
      <c r="P340" s="1">
        <v>22.2</v>
      </c>
      <c r="Q340" s="11">
        <f>'Table H'!$J$64</f>
        <v>0.91080114385521271</v>
      </c>
      <c r="R340" s="11">
        <f t="shared" si="10"/>
        <v>38790.109915649657</v>
      </c>
      <c r="S340" s="11" t="str">
        <f t="shared" si="11"/>
        <v>Brightlingsea UD</v>
      </c>
      <c r="T340" s="11" t="s">
        <v>5214</v>
      </c>
      <c r="V340" s="11" t="str">
        <f>INDEX('Lookup 1961'!$A$2:$A$1300, MATCH(S340, 'Lookup 1961'!$B$2:$B$1300,0))</f>
        <v>J04000211</v>
      </c>
      <c r="W340" s="11" t="str">
        <f>INDEX('Lookup 1961'!$F$2:$F$1300, MATCH(S340, 'Lookup 1961'!$B$2:$B$1300,0))</f>
        <v>e120313</v>
      </c>
      <c r="X340" s="11" t="str">
        <f>INDEX('Lookup 1961'!$C$2:$C$1300, MATCH(V340, 'Lookup 1961'!$A$2:$A$1300,0))</f>
        <v>Essex</v>
      </c>
    </row>
    <row r="341" spans="1:24" ht="25.05" customHeight="1" x14ac:dyDescent="0.3">
      <c r="A341" s="2" t="s">
        <v>349</v>
      </c>
      <c r="B341" s="2" t="s">
        <v>5258</v>
      </c>
      <c r="C341" s="1">
        <v>24</v>
      </c>
      <c r="D341" s="1">
        <v>10</v>
      </c>
      <c r="E341" s="1">
        <v>15</v>
      </c>
      <c r="F341" s="1">
        <v>8</v>
      </c>
      <c r="K341" s="1">
        <v>152</v>
      </c>
      <c r="L341" s="6">
        <v>39591</v>
      </c>
      <c r="M341" s="1">
        <v>59.2</v>
      </c>
      <c r="N341" s="1">
        <v>7</v>
      </c>
      <c r="O341" s="1">
        <v>15</v>
      </c>
      <c r="P341" s="1">
        <v>0.5</v>
      </c>
      <c r="Q341" s="11">
        <f>'Table H'!$J$64</f>
        <v>0.91080114385521271</v>
      </c>
      <c r="R341" s="11">
        <f t="shared" si="10"/>
        <v>36059.528086371727</v>
      </c>
      <c r="S341" s="11" t="str">
        <f t="shared" si="11"/>
        <v>Burnham on Crouch UD</v>
      </c>
      <c r="T341" s="11" t="s">
        <v>5214</v>
      </c>
      <c r="V341" s="11" t="str">
        <f>INDEX('Lookup 1961'!$A$2:$A$1300, MATCH(S341, 'Lookup 1961'!$B$2:$B$1300,0))</f>
        <v>J04000237</v>
      </c>
      <c r="W341" s="11" t="str">
        <f>INDEX('Lookup 1961'!$F$2:$F$1300, MATCH(S341, 'Lookup 1961'!$B$2:$B$1300,0))</f>
        <v>e120314</v>
      </c>
      <c r="X341" s="11" t="str">
        <f>INDEX('Lookup 1961'!$C$2:$C$1300, MATCH(V341, 'Lookup 1961'!$A$2:$A$1300,0))</f>
        <v>Essex</v>
      </c>
    </row>
    <row r="342" spans="1:24" ht="25.05" customHeight="1" x14ac:dyDescent="0.3">
      <c r="A342" s="2" t="s">
        <v>350</v>
      </c>
      <c r="B342" s="2" t="s">
        <v>350</v>
      </c>
      <c r="C342" s="1">
        <v>25</v>
      </c>
      <c r="D342" s="1">
        <v>6</v>
      </c>
      <c r="E342" s="1">
        <v>17</v>
      </c>
      <c r="F342" s="1">
        <v>6</v>
      </c>
      <c r="K342" s="1">
        <v>481</v>
      </c>
      <c r="L342" s="6">
        <v>138144</v>
      </c>
      <c r="M342" s="1">
        <v>133.9</v>
      </c>
      <c r="N342" s="1">
        <v>9</v>
      </c>
      <c r="O342" s="1">
        <v>13</v>
      </c>
      <c r="P342" s="1">
        <v>58.4</v>
      </c>
      <c r="Q342" s="11">
        <f>'Table H'!$J$64</f>
        <v>0.91080114385521271</v>
      </c>
      <c r="R342" s="11">
        <f t="shared" si="10"/>
        <v>125821.71321673451</v>
      </c>
      <c r="S342" s="11" t="str">
        <f t="shared" si="11"/>
        <v>Canvey Island UD</v>
      </c>
      <c r="T342" s="11" t="s">
        <v>5214</v>
      </c>
      <c r="V342" s="11" t="str">
        <f>INDEX('Lookup 1961'!$A$2:$A$1300, MATCH(S342, 'Lookup 1961'!$B$2:$B$1300,0))</f>
        <v>J04000261</v>
      </c>
      <c r="W342" s="11" t="str">
        <f>INDEX('Lookup 1961'!$F$2:$F$1300, MATCH(S342, 'Lookup 1961'!$B$2:$B$1300,0))</f>
        <v>e120315</v>
      </c>
      <c r="X342" s="11" t="str">
        <f>INDEX('Lookup 1961'!$C$2:$C$1300, MATCH(V342, 'Lookup 1961'!$A$2:$A$1300,0))</f>
        <v>Essex</v>
      </c>
    </row>
    <row r="343" spans="1:24" ht="25.05" customHeight="1" x14ac:dyDescent="0.3">
      <c r="A343" s="2" t="s">
        <v>351</v>
      </c>
      <c r="B343" s="2" t="s">
        <v>351</v>
      </c>
      <c r="C343" s="1">
        <v>22</v>
      </c>
      <c r="D343" s="1">
        <v>2</v>
      </c>
      <c r="E343" s="1">
        <v>15</v>
      </c>
      <c r="F343" s="1">
        <v>10</v>
      </c>
      <c r="K343" s="6">
        <v>3250</v>
      </c>
      <c r="L343" s="6">
        <v>897838</v>
      </c>
      <c r="M343" s="1">
        <v>107.9</v>
      </c>
      <c r="N343" s="1">
        <v>10</v>
      </c>
      <c r="O343" s="1">
        <v>17</v>
      </c>
      <c r="P343" s="1">
        <v>33.1</v>
      </c>
      <c r="Q343" s="11">
        <f>'Table H'!$J$64</f>
        <v>0.91080114385521271</v>
      </c>
      <c r="R343" s="11">
        <f t="shared" si="10"/>
        <v>817751.87739667646</v>
      </c>
      <c r="S343" s="11" t="str">
        <f t="shared" si="11"/>
        <v>Chigwell UD</v>
      </c>
      <c r="T343" s="11" t="s">
        <v>5214</v>
      </c>
      <c r="V343" s="11" t="str">
        <f>INDEX('Lookup 1961'!$A$2:$A$1300, MATCH(S343, 'Lookup 1961'!$B$2:$B$1300,0))</f>
        <v>J04000307</v>
      </c>
      <c r="W343" s="11" t="str">
        <f>INDEX('Lookup 1961'!$F$2:$F$1300, MATCH(S343, 'Lookup 1961'!$B$2:$B$1300,0))</f>
        <v>e120317</v>
      </c>
      <c r="X343" s="11" t="str">
        <f>INDEX('Lookup 1961'!$C$2:$C$1300, MATCH(V343, 'Lookup 1961'!$A$2:$A$1300,0))</f>
        <v>Essex</v>
      </c>
    </row>
    <row r="344" spans="1:24" ht="25.05" customHeight="1" x14ac:dyDescent="0.3">
      <c r="A344" s="2" t="s">
        <v>352</v>
      </c>
      <c r="B344" s="2" t="s">
        <v>352</v>
      </c>
      <c r="C344" s="1">
        <v>24</v>
      </c>
      <c r="D344" s="1">
        <v>4</v>
      </c>
      <c r="E344" s="1">
        <v>17</v>
      </c>
      <c r="F344" s="1">
        <v>4</v>
      </c>
      <c r="K344" s="6">
        <v>1900</v>
      </c>
      <c r="L344" s="6">
        <v>485269</v>
      </c>
      <c r="M344" s="1">
        <v>60.5</v>
      </c>
      <c r="N344" s="1">
        <v>16</v>
      </c>
      <c r="O344" s="1">
        <v>8</v>
      </c>
      <c r="P344" s="1">
        <v>8.6</v>
      </c>
      <c r="Q344" s="11">
        <f>'Table H'!$J$64</f>
        <v>0.91080114385521271</v>
      </c>
      <c r="R344" s="11">
        <f t="shared" si="10"/>
        <v>441983.56027747522</v>
      </c>
      <c r="S344" s="11" t="str">
        <f t="shared" si="11"/>
        <v>Clacton UD</v>
      </c>
      <c r="T344" s="11" t="s">
        <v>5214</v>
      </c>
      <c r="V344" s="11" t="str">
        <f>INDEX('Lookup 1961'!$A$2:$A$1300, MATCH(S344, 'Lookup 1961'!$B$2:$B$1300,0))</f>
        <v>J04000322</v>
      </c>
      <c r="W344" s="11" t="str">
        <f>INDEX('Lookup 1961'!$F$2:$F$1300, MATCH(S344, 'Lookup 1961'!$B$2:$B$1300,0))</f>
        <v>e120318</v>
      </c>
      <c r="X344" s="11" t="str">
        <f>INDEX('Lookup 1961'!$C$2:$C$1300, MATCH(V344, 'Lookup 1961'!$A$2:$A$1300,0))</f>
        <v>Essex</v>
      </c>
    </row>
    <row r="345" spans="1:24" ht="25.05" customHeight="1" x14ac:dyDescent="0.3">
      <c r="A345" s="2" t="s">
        <v>353</v>
      </c>
      <c r="B345" s="2" t="s">
        <v>353</v>
      </c>
      <c r="C345" s="1">
        <v>25</v>
      </c>
      <c r="D345" s="1">
        <v>2</v>
      </c>
      <c r="E345" s="1">
        <v>16</v>
      </c>
      <c r="F345" s="1">
        <v>6</v>
      </c>
      <c r="K345" s="1">
        <v>400</v>
      </c>
      <c r="L345" s="6">
        <v>106385</v>
      </c>
      <c r="M345" s="1">
        <v>114.5</v>
      </c>
      <c r="N345" s="1">
        <v>10</v>
      </c>
      <c r="O345" s="1">
        <v>15</v>
      </c>
      <c r="P345" s="1">
        <v>30.2</v>
      </c>
      <c r="Q345" s="11">
        <f>'Table H'!$J$64</f>
        <v>0.91080114385521271</v>
      </c>
      <c r="R345" s="11">
        <f t="shared" si="10"/>
        <v>96895.579689036807</v>
      </c>
      <c r="S345" s="11" t="str">
        <f t="shared" si="11"/>
        <v>Epping UD</v>
      </c>
      <c r="T345" s="11" t="s">
        <v>5214</v>
      </c>
      <c r="V345" s="11" t="str">
        <f>INDEX('Lookup 1961'!$A$2:$A$1300, MATCH(S345, 'Lookup 1961'!$B$2:$B$1300,0))</f>
        <v>J04000476</v>
      </c>
      <c r="W345" s="11" t="str">
        <f>INDEX('Lookup 1961'!$F$2:$F$1300, MATCH(S345, 'Lookup 1961'!$B$2:$B$1300,0))</f>
        <v>e120320</v>
      </c>
      <c r="X345" s="11" t="str">
        <f>INDEX('Lookup 1961'!$C$2:$C$1300, MATCH(V345, 'Lookup 1961'!$A$2:$A$1300,0))</f>
        <v>Essex</v>
      </c>
    </row>
    <row r="346" spans="1:24" ht="25.05" customHeight="1" x14ac:dyDescent="0.3">
      <c r="A346" s="2" t="s">
        <v>354</v>
      </c>
      <c r="B346" s="2" t="s">
        <v>354</v>
      </c>
      <c r="C346" s="1">
        <v>24</v>
      </c>
      <c r="D346" s="1">
        <v>6</v>
      </c>
      <c r="E346" s="1">
        <v>18</v>
      </c>
      <c r="F346" s="1">
        <v>0</v>
      </c>
      <c r="K346" s="1">
        <v>620</v>
      </c>
      <c r="L346" s="6">
        <v>157516</v>
      </c>
      <c r="M346" s="1">
        <v>37</v>
      </c>
      <c r="N346" s="1">
        <v>15</v>
      </c>
      <c r="O346" s="1">
        <v>17</v>
      </c>
      <c r="P346" s="1">
        <v>-2.5</v>
      </c>
      <c r="Q346" s="11">
        <f>'Table H'!$J$64</f>
        <v>0.91080114385521271</v>
      </c>
      <c r="R346" s="11">
        <f t="shared" si="10"/>
        <v>143465.75297549769</v>
      </c>
      <c r="S346" s="11" t="str">
        <f t="shared" si="11"/>
        <v>Frinton and Walton UD</v>
      </c>
      <c r="T346" s="11" t="s">
        <v>5214</v>
      </c>
      <c r="V346" s="11" t="str">
        <f>INDEX('Lookup 1961'!$A$2:$A$1300, MATCH(S346, 'Lookup 1961'!$B$2:$B$1300,0))</f>
        <v>J04000518</v>
      </c>
      <c r="W346" s="11" t="str">
        <f>INDEX('Lookup 1961'!$F$2:$F$1300, MATCH(S346, 'Lookup 1961'!$B$2:$B$1300,0))</f>
        <v>e120321</v>
      </c>
      <c r="X346" s="11" t="str">
        <f>INDEX('Lookup 1961'!$C$2:$C$1300, MATCH(V346, 'Lookup 1961'!$A$2:$A$1300,0))</f>
        <v>Essex</v>
      </c>
    </row>
    <row r="347" spans="1:24" ht="25.05" customHeight="1" x14ac:dyDescent="0.3">
      <c r="A347" s="2" t="s">
        <v>355</v>
      </c>
      <c r="B347" s="2" t="s">
        <v>355</v>
      </c>
      <c r="C347" s="1">
        <v>24</v>
      </c>
      <c r="D347" s="1">
        <v>6</v>
      </c>
      <c r="E347" s="1">
        <v>17</v>
      </c>
      <c r="F347" s="1">
        <v>0</v>
      </c>
      <c r="K347" s="1">
        <v>276</v>
      </c>
      <c r="L347" s="6">
        <v>73771</v>
      </c>
      <c r="M347" s="1">
        <v>121.3</v>
      </c>
      <c r="N347" s="1">
        <v>9</v>
      </c>
      <c r="O347" s="1">
        <v>7</v>
      </c>
      <c r="P347" s="1">
        <v>55.9</v>
      </c>
      <c r="Q347" s="11">
        <f>'Table H'!$J$64</f>
        <v>0.91080114385521271</v>
      </c>
      <c r="R347" s="11">
        <f t="shared" si="10"/>
        <v>67190.711183342893</v>
      </c>
      <c r="S347" s="11" t="str">
        <f t="shared" si="11"/>
        <v>Halstead UD</v>
      </c>
      <c r="T347" s="11" t="s">
        <v>5214</v>
      </c>
      <c r="V347" s="11" t="str">
        <f>INDEX('Lookup 1961'!$A$2:$A$1300, MATCH(S347, 'Lookup 1961'!$B$2:$B$1300,0))</f>
        <v>J04000568</v>
      </c>
      <c r="W347" s="11" t="str">
        <f>INDEX('Lookup 1961'!$F$2:$F$1300, MATCH(S347, 'Lookup 1961'!$B$2:$B$1300,0))</f>
        <v>e120322</v>
      </c>
      <c r="X347" s="11" t="str">
        <f>INDEX('Lookup 1961'!$C$2:$C$1300, MATCH(V347, 'Lookup 1961'!$A$2:$A$1300,0))</f>
        <v>Essex</v>
      </c>
    </row>
    <row r="348" spans="1:24" ht="25.05" customHeight="1" x14ac:dyDescent="0.3">
      <c r="A348" s="2" t="s">
        <v>356</v>
      </c>
      <c r="B348" s="2" t="s">
        <v>356</v>
      </c>
      <c r="C348" s="1">
        <v>25</v>
      </c>
      <c r="D348" s="1">
        <v>0</v>
      </c>
      <c r="E348" s="1">
        <v>17</v>
      </c>
      <c r="F348" s="1">
        <v>0</v>
      </c>
      <c r="K348" s="6">
        <v>1600</v>
      </c>
      <c r="L348" s="6">
        <v>380150</v>
      </c>
      <c r="M348" s="1">
        <v>126.2</v>
      </c>
      <c r="N348" s="1">
        <v>11</v>
      </c>
      <c r="O348" s="1">
        <v>8</v>
      </c>
      <c r="P348" s="1">
        <v>32.200000000000003</v>
      </c>
      <c r="Q348" s="11">
        <f>'Table H'!$J$64</f>
        <v>0.91080114385521271</v>
      </c>
      <c r="R348" s="11">
        <f t="shared" si="10"/>
        <v>346241.05483655911</v>
      </c>
      <c r="S348" s="11" t="str">
        <f t="shared" si="11"/>
        <v>Harlow UD</v>
      </c>
      <c r="T348" s="11" t="s">
        <v>5214</v>
      </c>
      <c r="V348" s="11" t="str">
        <f>INDEX('Lookup 1961'!$A$2:$A$1300, MATCH(S348, 'Lookup 1961'!$B$2:$B$1300,0))</f>
        <v>J04000574</v>
      </c>
      <c r="W348" s="11" t="str">
        <f>INDEX('Lookup 1961'!$F$2:$F$1300, MATCH(S348, 'Lookup 1961'!$B$2:$B$1300,0))</f>
        <v>e120323</v>
      </c>
      <c r="X348" s="11" t="str">
        <f>INDEX('Lookup 1961'!$C$2:$C$1300, MATCH(V348, 'Lookup 1961'!$A$2:$A$1300,0))</f>
        <v>Essex</v>
      </c>
    </row>
    <row r="349" spans="1:24" ht="25.05" customHeight="1" x14ac:dyDescent="0.3">
      <c r="A349" s="2" t="s">
        <v>357</v>
      </c>
      <c r="B349" s="2" t="s">
        <v>357</v>
      </c>
      <c r="C349" s="1">
        <v>24</v>
      </c>
      <c r="D349" s="1">
        <v>4</v>
      </c>
      <c r="E349" s="1">
        <v>17</v>
      </c>
      <c r="F349" s="1">
        <v>4</v>
      </c>
      <c r="K349" s="6">
        <v>5800</v>
      </c>
      <c r="L349" s="6">
        <v>1467962</v>
      </c>
      <c r="M349" s="1">
        <v>72.7</v>
      </c>
      <c r="N349" s="1">
        <v>11</v>
      </c>
      <c r="O349" s="1">
        <v>6</v>
      </c>
      <c r="P349" s="1">
        <v>23.6</v>
      </c>
      <c r="Q349" s="11">
        <f>'Table H'!$J$64</f>
        <v>0.91080114385521271</v>
      </c>
      <c r="R349" s="11">
        <f t="shared" si="10"/>
        <v>1337021.4687359857</v>
      </c>
      <c r="S349" s="11" t="str">
        <f t="shared" si="11"/>
        <v>Hornchurch UD</v>
      </c>
      <c r="T349" s="11" t="s">
        <v>5214</v>
      </c>
      <c r="V349" s="11" t="str">
        <f>INDEX('Lookup 1961'!$A$2:$A$1300, MATCH(S349, 'Lookup 1961'!$B$2:$B$1300,0))</f>
        <v>J04000644</v>
      </c>
      <c r="W349" s="11" t="str">
        <f>INDEX('Lookup 1961'!$F$2:$F$1300, MATCH(S349, 'Lookup 1961'!$B$2:$B$1300,0))</f>
        <v>e140387</v>
      </c>
      <c r="X349" s="11" t="str">
        <f>INDEX('Lookup 1961'!$C$2:$C$1300, MATCH(V349, 'Lookup 1961'!$A$2:$A$1300,0))</f>
        <v>Outer London</v>
      </c>
    </row>
    <row r="350" spans="1:24" ht="25.05" customHeight="1" x14ac:dyDescent="0.3">
      <c r="A350" s="2" t="s">
        <v>358</v>
      </c>
      <c r="B350" s="2" t="s">
        <v>358</v>
      </c>
      <c r="C350" s="1">
        <v>25</v>
      </c>
      <c r="D350" s="1">
        <v>0</v>
      </c>
      <c r="E350" s="1">
        <v>17</v>
      </c>
      <c r="F350" s="1">
        <v>0</v>
      </c>
      <c r="K350" s="1">
        <v>585</v>
      </c>
      <c r="L350" s="6">
        <v>147740</v>
      </c>
      <c r="M350" s="1">
        <v>104.2</v>
      </c>
      <c r="N350" s="1">
        <v>9</v>
      </c>
      <c r="O350" s="1">
        <v>11</v>
      </c>
      <c r="P350" s="1">
        <v>17.3</v>
      </c>
      <c r="Q350" s="11">
        <f>'Table H'!$J$64</f>
        <v>0.91080114385521271</v>
      </c>
      <c r="R350" s="11">
        <f t="shared" si="10"/>
        <v>134561.76099316913</v>
      </c>
      <c r="S350" s="11" t="str">
        <f t="shared" si="11"/>
        <v>Rayleigh UD</v>
      </c>
      <c r="T350" s="11" t="s">
        <v>5214</v>
      </c>
      <c r="V350" s="11" t="str">
        <f>INDEX('Lookup 1961'!$A$2:$A$1300, MATCH(S350, 'Lookup 1961'!$B$2:$B$1300,0))</f>
        <v>J04001035</v>
      </c>
      <c r="W350" s="11" t="str">
        <f>INDEX('Lookup 1961'!$F$2:$F$1300, MATCH(S350, 'Lookup 1961'!$B$2:$B$1300,0))</f>
        <v>e120327</v>
      </c>
      <c r="X350" s="11" t="str">
        <f>INDEX('Lookup 1961'!$C$2:$C$1300, MATCH(V350, 'Lookup 1961'!$A$2:$A$1300,0))</f>
        <v>Essex</v>
      </c>
    </row>
    <row r="351" spans="1:24" ht="25.05" customHeight="1" x14ac:dyDescent="0.3">
      <c r="A351" s="2" t="s">
        <v>359</v>
      </c>
      <c r="B351" s="2" t="s">
        <v>359</v>
      </c>
      <c r="C351" s="1">
        <v>26</v>
      </c>
      <c r="D351" s="1">
        <v>5</v>
      </c>
      <c r="E351" s="1">
        <v>18</v>
      </c>
      <c r="F351" s="1">
        <v>4</v>
      </c>
      <c r="K351" s="6">
        <v>5050</v>
      </c>
      <c r="L351" s="6">
        <v>1327393</v>
      </c>
      <c r="M351" s="1">
        <v>95</v>
      </c>
      <c r="N351" s="1">
        <v>11</v>
      </c>
      <c r="O351" s="1">
        <v>1</v>
      </c>
      <c r="P351" s="1">
        <v>29.7</v>
      </c>
      <c r="Q351" s="11">
        <f>'Table H'!$J$64</f>
        <v>0.91080114385521271</v>
      </c>
      <c r="R351" s="11">
        <f t="shared" si="10"/>
        <v>1208991.0627454023</v>
      </c>
      <c r="S351" s="11" t="str">
        <f t="shared" si="11"/>
        <v>Thurrock UD</v>
      </c>
      <c r="T351" s="11" t="s">
        <v>5214</v>
      </c>
      <c r="V351" s="11" t="str">
        <f>INDEX('Lookup 1961'!$A$2:$A$1300, MATCH(S351, 'Lookup 1961'!$B$2:$B$1300,0))</f>
        <v>J04001275</v>
      </c>
      <c r="W351" s="11" t="str">
        <f>INDEX('Lookup 1961'!$F$2:$F$1300, MATCH(S351, 'Lookup 1961'!$B$2:$B$1300,0))</f>
        <v>e120329</v>
      </c>
      <c r="X351" s="11" t="str">
        <f>INDEX('Lookup 1961'!$C$2:$C$1300, MATCH(V351, 'Lookup 1961'!$A$2:$A$1300,0))</f>
        <v>Essex</v>
      </c>
    </row>
    <row r="352" spans="1:24" ht="25.05" customHeight="1" x14ac:dyDescent="0.3">
      <c r="A352" s="2" t="s">
        <v>360</v>
      </c>
      <c r="B352" s="2" t="s">
        <v>360</v>
      </c>
      <c r="C352" s="1">
        <v>25</v>
      </c>
      <c r="D352" s="1">
        <v>8</v>
      </c>
      <c r="E352" s="1">
        <v>18</v>
      </c>
      <c r="F352" s="1">
        <v>0</v>
      </c>
      <c r="K352" s="1">
        <v>610</v>
      </c>
      <c r="L352" s="6">
        <v>142223</v>
      </c>
      <c r="M352" s="1">
        <v>81.2</v>
      </c>
      <c r="N352" s="1">
        <v>14</v>
      </c>
      <c r="O352" s="1">
        <v>12</v>
      </c>
      <c r="P352" s="1">
        <v>33.700000000000003</v>
      </c>
      <c r="Q352" s="11">
        <f>'Table H'!$J$64</f>
        <v>0.91080114385521271</v>
      </c>
      <c r="R352" s="11">
        <f t="shared" si="10"/>
        <v>129536.87108251992</v>
      </c>
      <c r="S352" s="11" t="str">
        <f t="shared" si="11"/>
        <v>Waltham Holy Cross UD</v>
      </c>
      <c r="T352" s="11" t="s">
        <v>5214</v>
      </c>
      <c r="V352" s="11" t="str">
        <f>INDEX('Lookup 1961'!$A$2:$A$1300, MATCH(S352, 'Lookup 1961'!$B$2:$B$1300,0))</f>
        <v>J04001330</v>
      </c>
      <c r="W352" s="11" t="str">
        <f>INDEX('Lookup 1961'!$F$2:$F$1300, MATCH(S352, 'Lookup 1961'!$B$2:$B$1300,0))</f>
        <v>e120331</v>
      </c>
      <c r="X352" s="11" t="str">
        <f>INDEX('Lookup 1961'!$C$2:$C$1300, MATCH(V352, 'Lookup 1961'!$A$2:$A$1300,0))</f>
        <v>Essex</v>
      </c>
    </row>
    <row r="353" spans="1:24" ht="25.05" customHeight="1" x14ac:dyDescent="0.3">
      <c r="A353" s="2" t="s">
        <v>361</v>
      </c>
      <c r="B353" s="2" t="s">
        <v>361</v>
      </c>
      <c r="C353" s="1">
        <v>24</v>
      </c>
      <c r="D353" s="1">
        <v>6</v>
      </c>
      <c r="E353" s="1">
        <v>16</v>
      </c>
      <c r="F353" s="1">
        <v>2</v>
      </c>
      <c r="K353" s="1">
        <v>120</v>
      </c>
      <c r="L353" s="6">
        <v>31630</v>
      </c>
      <c r="M353" s="1">
        <v>73.2</v>
      </c>
      <c r="N353" s="1">
        <v>8</v>
      </c>
      <c r="O353" s="1">
        <v>1</v>
      </c>
      <c r="P353" s="1">
        <v>10.1</v>
      </c>
      <c r="Q353" s="11">
        <f>'Table H'!$J$64</f>
        <v>0.91080114385521271</v>
      </c>
      <c r="R353" s="11">
        <f t="shared" si="10"/>
        <v>28808.640180140377</v>
      </c>
      <c r="S353" s="11" t="str">
        <f t="shared" si="11"/>
        <v>West Mersea UD</v>
      </c>
      <c r="T353" s="11" t="s">
        <v>5214</v>
      </c>
      <c r="V353" s="11" t="str">
        <f>INDEX('Lookup 1961'!$A$2:$A$1300, MATCH(S353, 'Lookup 1961'!$B$2:$B$1300,0))</f>
        <v>J04001387</v>
      </c>
      <c r="W353" s="11" t="str">
        <f>INDEX('Lookup 1961'!$F$2:$F$1300, MATCH(S353, 'Lookup 1961'!$B$2:$B$1300,0))</f>
        <v>e120332</v>
      </c>
      <c r="X353" s="11" t="str">
        <f>INDEX('Lookup 1961'!$C$2:$C$1300, MATCH(V353, 'Lookup 1961'!$A$2:$A$1300,0))</f>
        <v>Essex</v>
      </c>
    </row>
    <row r="354" spans="1:24" ht="25.05" customHeight="1" x14ac:dyDescent="0.3">
      <c r="A354" s="2" t="s">
        <v>362</v>
      </c>
      <c r="B354" s="2" t="s">
        <v>362</v>
      </c>
      <c r="C354" s="1">
        <v>26</v>
      </c>
      <c r="D354" s="1">
        <v>2</v>
      </c>
      <c r="E354" s="1">
        <v>17</v>
      </c>
      <c r="F354" s="1">
        <v>8</v>
      </c>
      <c r="K354" s="1">
        <v>417</v>
      </c>
      <c r="L354" s="6">
        <v>102746</v>
      </c>
      <c r="M354" s="1">
        <v>99.3</v>
      </c>
      <c r="N354" s="1">
        <v>10</v>
      </c>
      <c r="O354" s="1">
        <v>3</v>
      </c>
      <c r="P354" s="1">
        <v>36.299999999999997</v>
      </c>
      <c r="Q354" s="11">
        <f>'Table H'!$J$64</f>
        <v>0.91080114385521271</v>
      </c>
      <c r="R354" s="11">
        <f t="shared" si="10"/>
        <v>93581.174326547683</v>
      </c>
      <c r="S354" s="11" t="str">
        <f t="shared" si="11"/>
        <v>Witham UD</v>
      </c>
      <c r="T354" s="11" t="s">
        <v>5214</v>
      </c>
      <c r="V354" s="11" t="str">
        <f>INDEX('Lookup 1961'!$A$2:$A$1300, MATCH(S354, 'Lookup 1961'!$B$2:$B$1300,0))</f>
        <v>J04001433</v>
      </c>
      <c r="W354" s="11" t="str">
        <f>INDEX('Lookup 1961'!$F$2:$F$1300, MATCH(S354, 'Lookup 1961'!$B$2:$B$1300,0))</f>
        <v>e120333</v>
      </c>
      <c r="X354" s="11" t="str">
        <f>INDEX('Lookup 1961'!$C$2:$C$1300, MATCH(V354, 'Lookup 1961'!$A$2:$A$1300,0))</f>
        <v>Essex</v>
      </c>
    </row>
    <row r="355" spans="1:24" ht="25.05" customHeight="1" x14ac:dyDescent="0.3">
      <c r="A355" s="2" t="s">
        <v>363</v>
      </c>
      <c r="B355" s="2" t="s">
        <v>363</v>
      </c>
      <c r="C355" s="1">
        <v>23</v>
      </c>
      <c r="D355" s="1">
        <v>0</v>
      </c>
      <c r="E355" s="1">
        <v>15</v>
      </c>
      <c r="F355" s="1">
        <v>0</v>
      </c>
      <c r="K355" s="1">
        <v>77</v>
      </c>
      <c r="L355" s="6">
        <v>19894</v>
      </c>
      <c r="M355" s="1">
        <v>69.5</v>
      </c>
      <c r="N355" s="1">
        <v>5</v>
      </c>
      <c r="O355" s="1">
        <v>13</v>
      </c>
      <c r="P355" s="1">
        <v>9.8000000000000007</v>
      </c>
      <c r="Q355" s="11">
        <f>'Table H'!$J$64</f>
        <v>0.91080114385521271</v>
      </c>
      <c r="R355" s="11">
        <f t="shared" si="10"/>
        <v>18119.4779558556</v>
      </c>
      <c r="S355" s="11" t="str">
        <f t="shared" si="11"/>
        <v>Wivenhoe UD</v>
      </c>
      <c r="T355" s="11" t="s">
        <v>5214</v>
      </c>
      <c r="V355" s="11" t="str">
        <f>INDEX('Lookup 1961'!$A$2:$A$1300, MATCH(S355, 'Lookup 1961'!$B$2:$B$1300,0))</f>
        <v>J04001438</v>
      </c>
      <c r="W355" s="11" t="str">
        <f>INDEX('Lookup 1961'!$F$2:$F$1300, MATCH(S355, 'Lookup 1961'!$B$2:$B$1300,0))</f>
        <v>e120334</v>
      </c>
      <c r="X355" s="11" t="str">
        <f>INDEX('Lookup 1961'!$C$2:$C$1300, MATCH(V355, 'Lookup 1961'!$A$2:$A$1300,0))</f>
        <v>Essex</v>
      </c>
    </row>
    <row r="356" spans="1:24" ht="25.05" customHeight="1" x14ac:dyDescent="0.3">
      <c r="A356" s="2" t="s">
        <v>364</v>
      </c>
      <c r="B356" s="2" t="s">
        <v>364</v>
      </c>
      <c r="S356" s="11" t="str">
        <f t="shared" si="11"/>
        <v xml:space="preserve">GLOUCESTER: </v>
      </c>
      <c r="V356" s="11" t="e">
        <f>INDEX('Lookup 1961'!$A$2:$A$1300, MATCH(S356, 'Lookup 1961'!$B$2:$B$1300,0))</f>
        <v>#N/A</v>
      </c>
      <c r="W356" s="11" t="e">
        <f>INDEX('Lookup 1961'!$F$2:$F$1300, MATCH(S356, 'Lookup 1961'!$B$2:$B$1300,0))</f>
        <v>#N/A</v>
      </c>
      <c r="X356" s="11" t="e">
        <f>INDEX('Lookup 1961'!$C$2:$C$1300, MATCH(V356, 'Lookup 1961'!$A$2:$A$1300,0))</f>
        <v>#N/A</v>
      </c>
    </row>
    <row r="357" spans="1:24" ht="25.05" customHeight="1" x14ac:dyDescent="0.3">
      <c r="A357" s="2" t="s">
        <v>146</v>
      </c>
      <c r="B357" s="2" t="s">
        <v>5257</v>
      </c>
      <c r="S357" s="11" t="str">
        <f t="shared" si="11"/>
        <v xml:space="preserve">Non County Boroughs  </v>
      </c>
      <c r="V357" s="11" t="e">
        <f>INDEX('Lookup 1961'!$A$2:$A$1300, MATCH(S357, 'Lookup 1961'!$B$2:$B$1300,0))</f>
        <v>#N/A</v>
      </c>
      <c r="W357" s="11" t="e">
        <f>INDEX('Lookup 1961'!$F$2:$F$1300, MATCH(S357, 'Lookup 1961'!$B$2:$B$1300,0))</f>
        <v>#N/A</v>
      </c>
      <c r="X357" s="11" t="e">
        <f>INDEX('Lookup 1961'!$C$2:$C$1300, MATCH(V357, 'Lookup 1961'!$A$2:$A$1300,0))</f>
        <v>#N/A</v>
      </c>
    </row>
    <row r="358" spans="1:24" ht="25.05" customHeight="1" x14ac:dyDescent="0.3">
      <c r="A358" s="2" t="s">
        <v>365</v>
      </c>
      <c r="B358" s="2" t="s">
        <v>365</v>
      </c>
      <c r="C358" s="1">
        <v>23</v>
      </c>
      <c r="D358" s="1">
        <v>2</v>
      </c>
      <c r="E358" s="1">
        <v>15</v>
      </c>
      <c r="F358" s="1">
        <v>4</v>
      </c>
      <c r="K358" s="6">
        <v>5150</v>
      </c>
      <c r="L358" s="6">
        <v>1238343</v>
      </c>
      <c r="M358" s="1">
        <v>108.5</v>
      </c>
      <c r="N358" s="1">
        <v>14</v>
      </c>
      <c r="O358" s="1">
        <v>5</v>
      </c>
      <c r="P358" s="1">
        <v>36.5</v>
      </c>
      <c r="Q358" s="11">
        <f>'Table H'!$J$68</f>
        <v>0.96048283167892512</v>
      </c>
      <c r="R358" s="11">
        <f t="shared" si="10"/>
        <v>1189407.1912297751</v>
      </c>
      <c r="S358" s="11" t="str">
        <f t="shared" si="11"/>
        <v>Cheltenham MB</v>
      </c>
      <c r="T358" s="11" t="s">
        <v>5211</v>
      </c>
      <c r="V358" s="11" t="str">
        <f>INDEX('Lookup 1961'!$A$2:$A$1300, MATCH(S358, 'Lookup 1961'!$B$2:$B$1300,0))</f>
        <v>J04000291</v>
      </c>
      <c r="W358" s="11" t="str">
        <f>INDEX('Lookup 1961'!$F$2:$F$1300, MATCH(S358, 'Lookup 1961'!$B$2:$B$1300,0))</f>
        <v>e130348</v>
      </c>
      <c r="X358" s="11" t="str">
        <f>INDEX('Lookup 1961'!$C$2:$C$1300, MATCH(V358, 'Lookup 1961'!$A$2:$A$1300,0))</f>
        <v>Gloucestershire</v>
      </c>
    </row>
    <row r="359" spans="1:24" ht="25.05" customHeight="1" x14ac:dyDescent="0.3">
      <c r="A359" s="2" t="s">
        <v>366</v>
      </c>
      <c r="B359" s="2" t="s">
        <v>366</v>
      </c>
      <c r="C359" s="1">
        <v>27</v>
      </c>
      <c r="D359" s="1">
        <v>2</v>
      </c>
      <c r="E359" s="1">
        <v>17</v>
      </c>
      <c r="F359" s="1">
        <v>2</v>
      </c>
      <c r="K359" s="1">
        <v>329</v>
      </c>
      <c r="L359" s="6">
        <v>87005</v>
      </c>
      <c r="M359" s="1">
        <v>164</v>
      </c>
      <c r="N359" s="1">
        <v>13</v>
      </c>
      <c r="O359" s="1">
        <v>1</v>
      </c>
      <c r="P359" s="1">
        <v>55.6</v>
      </c>
      <c r="Q359" s="11">
        <f>'Table H'!$J$68</f>
        <v>0.96048283167892512</v>
      </c>
      <c r="R359" s="11">
        <f t="shared" si="10"/>
        <v>83566.808770224874</v>
      </c>
      <c r="S359" s="11" t="str">
        <f t="shared" si="11"/>
        <v>Tewkesbury MB</v>
      </c>
      <c r="T359" s="11" t="s">
        <v>5211</v>
      </c>
      <c r="V359" s="11" t="str">
        <f>INDEX('Lookup 1961'!$A$2:$A$1300, MATCH(S359, 'Lookup 1961'!$B$2:$B$1300,0))</f>
        <v>J04001264</v>
      </c>
      <c r="W359" s="11" t="str">
        <f>INDEX('Lookup 1961'!$F$2:$F$1300, MATCH(S359, 'Lookup 1961'!$B$2:$B$1300,0))</f>
        <v>e130354</v>
      </c>
      <c r="X359" s="11" t="str">
        <f>INDEX('Lookup 1961'!$C$2:$C$1300, MATCH(V359, 'Lookup 1961'!$A$2:$A$1300,0))</f>
        <v>Gloucestershire</v>
      </c>
    </row>
    <row r="360" spans="1:24" ht="25.05" customHeight="1" x14ac:dyDescent="0.3">
      <c r="A360" s="2" t="s">
        <v>150</v>
      </c>
      <c r="B360" s="2" t="s">
        <v>1221</v>
      </c>
      <c r="L360" s="6"/>
      <c r="S360" s="11" t="str">
        <f t="shared" si="11"/>
        <v xml:space="preserve">Urban Districts  </v>
      </c>
      <c r="V360" s="11" t="e">
        <f>INDEX('Lookup 1961'!$A$2:$A$1300, MATCH(S360, 'Lookup 1961'!$B$2:$B$1300,0))</f>
        <v>#N/A</v>
      </c>
      <c r="W360" s="11" t="e">
        <f>INDEX('Lookup 1961'!$F$2:$F$1300, MATCH(S360, 'Lookup 1961'!$B$2:$B$1300,0))</f>
        <v>#N/A</v>
      </c>
      <c r="X360" s="11" t="e">
        <f>INDEX('Lookup 1961'!$C$2:$C$1300, MATCH(V360, 'Lookup 1961'!$A$2:$A$1300,0))</f>
        <v>#N/A</v>
      </c>
    </row>
    <row r="361" spans="1:24" ht="25.05" customHeight="1" x14ac:dyDescent="0.3">
      <c r="A361" s="2" t="s">
        <v>367</v>
      </c>
      <c r="B361" s="2" t="s">
        <v>367</v>
      </c>
      <c r="C361" s="1">
        <v>23</v>
      </c>
      <c r="D361" s="1">
        <v>6</v>
      </c>
      <c r="E361" s="1">
        <v>15</v>
      </c>
      <c r="F361" s="1">
        <v>0</v>
      </c>
      <c r="K361" s="1">
        <v>315</v>
      </c>
      <c r="L361" s="6">
        <v>81207</v>
      </c>
      <c r="M361" s="1">
        <v>70.099999999999994</v>
      </c>
      <c r="N361" s="1">
        <v>9</v>
      </c>
      <c r="O361" s="1">
        <v>6</v>
      </c>
      <c r="P361" s="1">
        <v>0.4</v>
      </c>
      <c r="Q361" s="11">
        <f>'Table H'!$J$69</f>
        <v>0.95253874357154622</v>
      </c>
      <c r="R361" s="11">
        <f t="shared" si="10"/>
        <v>77352.813749214547</v>
      </c>
      <c r="S361" s="11" t="str">
        <f t="shared" si="11"/>
        <v>Charlton Kings UD</v>
      </c>
      <c r="T361" s="11" t="s">
        <v>5214</v>
      </c>
      <c r="V361" s="11" t="str">
        <f>INDEX('Lookup 1961'!$A$2:$A$1300, MATCH(S361, 'Lookup 1961'!$B$2:$B$1300,0))</f>
        <v>J04000283</v>
      </c>
      <c r="W361" s="11" t="str">
        <f>INDEX('Lookup 1961'!$F$2:$F$1300, MATCH(S361, 'Lookup 1961'!$B$2:$B$1300,0))</f>
        <v>e130347</v>
      </c>
      <c r="X361" s="11" t="str">
        <f>INDEX('Lookup 1961'!$C$2:$C$1300, MATCH(V361, 'Lookup 1961'!$A$2:$A$1300,0))</f>
        <v>Gloucestershire</v>
      </c>
    </row>
    <row r="362" spans="1:24" ht="25.05" customHeight="1" x14ac:dyDescent="0.3">
      <c r="A362" s="2" t="s">
        <v>368</v>
      </c>
      <c r="B362" s="2" t="s">
        <v>368</v>
      </c>
      <c r="C362" s="1">
        <v>24</v>
      </c>
      <c r="D362" s="1">
        <v>5</v>
      </c>
      <c r="E362" s="1">
        <v>16</v>
      </c>
      <c r="F362" s="1">
        <v>2</v>
      </c>
      <c r="K362" s="1">
        <v>646</v>
      </c>
      <c r="L362" s="6">
        <v>168462</v>
      </c>
      <c r="M362" s="1">
        <v>115.2</v>
      </c>
      <c r="N362" s="1">
        <v>11</v>
      </c>
      <c r="O362" s="1">
        <v>5</v>
      </c>
      <c r="P362" s="1">
        <v>42.5</v>
      </c>
      <c r="Q362" s="11">
        <f>'Table H'!$J$69</f>
        <v>0.95253874357154622</v>
      </c>
      <c r="R362" s="11">
        <f t="shared" si="10"/>
        <v>160466.58181954981</v>
      </c>
      <c r="S362" s="11" t="str">
        <f t="shared" si="11"/>
        <v>Cirencester UD</v>
      </c>
      <c r="T362" s="11" t="s">
        <v>5214</v>
      </c>
      <c r="V362" s="11" t="str">
        <f>INDEX('Lookup 1961'!$A$2:$A$1300, MATCH(S362, 'Lookup 1961'!$B$2:$B$1300,0))</f>
        <v>J04000320</v>
      </c>
      <c r="W362" s="11" t="str">
        <f>INDEX('Lookup 1961'!$F$2:$F$1300, MATCH(S362, 'Lookup 1961'!$B$2:$B$1300,0))</f>
        <v>e130349</v>
      </c>
      <c r="X362" s="11" t="str">
        <f>INDEX('Lookup 1961'!$C$2:$C$1300, MATCH(V362, 'Lookup 1961'!$A$2:$A$1300,0))</f>
        <v>Gloucestershire</v>
      </c>
    </row>
    <row r="363" spans="1:24" ht="25.05" customHeight="1" x14ac:dyDescent="0.3">
      <c r="A363" s="2" t="s">
        <v>369</v>
      </c>
      <c r="B363" s="2" t="s">
        <v>369</v>
      </c>
      <c r="C363" s="1">
        <v>24</v>
      </c>
      <c r="D363" s="1">
        <v>0</v>
      </c>
      <c r="E363" s="1">
        <v>16</v>
      </c>
      <c r="F363" s="1">
        <v>10</v>
      </c>
      <c r="K363" s="1">
        <v>860</v>
      </c>
      <c r="L363" s="6">
        <v>219383</v>
      </c>
      <c r="M363" s="1">
        <v>123.1</v>
      </c>
      <c r="N363" s="1">
        <v>9</v>
      </c>
      <c r="O363" s="1">
        <v>1</v>
      </c>
      <c r="P363" s="1">
        <v>48.8</v>
      </c>
      <c r="Q363" s="11">
        <f>'Table H'!$J$69</f>
        <v>0.95253874357154622</v>
      </c>
      <c r="R363" s="11">
        <f t="shared" si="10"/>
        <v>208970.80718095653</v>
      </c>
      <c r="S363" s="11" t="str">
        <f t="shared" si="11"/>
        <v>Kingswood UD</v>
      </c>
      <c r="T363" s="11" t="s">
        <v>5214</v>
      </c>
      <c r="V363" s="11" t="str">
        <f>INDEX('Lookup 1961'!$A$2:$A$1300, MATCH(S363, 'Lookup 1961'!$B$2:$B$1300,0))</f>
        <v>J04000701</v>
      </c>
      <c r="W363" s="11" t="str">
        <f>INDEX('Lookup 1961'!$F$2:$F$1300, MATCH(S363, 'Lookup 1961'!$B$2:$B$1300,0))</f>
        <v>e130350</v>
      </c>
      <c r="X363" s="11" t="str">
        <f>INDEX('Lookup 1961'!$C$2:$C$1300, MATCH(V363, 'Lookup 1961'!$A$2:$A$1300,0))</f>
        <v>Avon</v>
      </c>
    </row>
    <row r="364" spans="1:24" ht="25.05" customHeight="1" x14ac:dyDescent="0.3">
      <c r="A364" s="2" t="s">
        <v>370</v>
      </c>
      <c r="B364" s="2" t="s">
        <v>370</v>
      </c>
      <c r="C364" s="1">
        <v>23</v>
      </c>
      <c r="D364" s="1">
        <v>6</v>
      </c>
      <c r="E364" s="1">
        <v>14</v>
      </c>
      <c r="F364" s="1">
        <v>10</v>
      </c>
      <c r="K364" s="1">
        <v>905</v>
      </c>
      <c r="L364" s="6">
        <v>237003</v>
      </c>
      <c r="M364" s="1">
        <v>150.30000000000001</v>
      </c>
      <c r="N364" s="1">
        <v>8</v>
      </c>
      <c r="O364" s="1">
        <v>12</v>
      </c>
      <c r="P364" s="1">
        <v>42.6</v>
      </c>
      <c r="Q364" s="11">
        <f>'Table H'!$J$69</f>
        <v>0.95253874357154622</v>
      </c>
      <c r="R364" s="11">
        <f t="shared" si="10"/>
        <v>225754.53984268717</v>
      </c>
      <c r="S364" s="11" t="str">
        <f t="shared" si="11"/>
        <v>Mangotsfield UD</v>
      </c>
      <c r="T364" s="11" t="s">
        <v>5214</v>
      </c>
      <c r="V364" s="11" t="str">
        <f>INDEX('Lookup 1961'!$A$2:$A$1300, MATCH(S364, 'Lookup 1961'!$B$2:$B$1300,0))</f>
        <v>J04000822</v>
      </c>
      <c r="W364" s="11" t="str">
        <f>INDEX('Lookup 1961'!$F$2:$F$1300, MATCH(S364, 'Lookup 1961'!$B$2:$B$1300,0))</f>
        <v>e130351</v>
      </c>
      <c r="X364" s="11" t="str">
        <f>INDEX('Lookup 1961'!$C$2:$C$1300, MATCH(V364, 'Lookup 1961'!$A$2:$A$1300,0))</f>
        <v>Avon</v>
      </c>
    </row>
    <row r="365" spans="1:24" ht="25.05" customHeight="1" x14ac:dyDescent="0.3">
      <c r="A365" s="2" t="s">
        <v>371</v>
      </c>
      <c r="B365" s="2" t="s">
        <v>371</v>
      </c>
      <c r="C365" s="1">
        <v>25</v>
      </c>
      <c r="D365" s="1">
        <v>0</v>
      </c>
      <c r="E365" s="1">
        <v>17</v>
      </c>
      <c r="F365" s="1">
        <v>10</v>
      </c>
      <c r="K365" s="1">
        <v>148</v>
      </c>
      <c r="L365" s="6">
        <v>37706</v>
      </c>
      <c r="M365" s="1">
        <v>112.7</v>
      </c>
      <c r="N365" s="1">
        <v>8</v>
      </c>
      <c r="O365" s="1">
        <v>18</v>
      </c>
      <c r="P365" s="1">
        <v>52.3</v>
      </c>
      <c r="Q365" s="11">
        <f>'Table H'!$J$69</f>
        <v>0.95253874357154622</v>
      </c>
      <c r="R365" s="11">
        <f t="shared" si="10"/>
        <v>35916.425865108722</v>
      </c>
      <c r="S365" s="11" t="str">
        <f t="shared" si="11"/>
        <v>Nailsworth UD</v>
      </c>
      <c r="T365" s="11" t="s">
        <v>5214</v>
      </c>
      <c r="V365" s="11" t="str">
        <f>INDEX('Lookup 1961'!$A$2:$A$1300, MATCH(S365, 'Lookup 1961'!$B$2:$B$1300,0))</f>
        <v>J04000875</v>
      </c>
      <c r="W365" s="11" t="str">
        <f>INDEX('Lookup 1961'!$F$2:$F$1300, MATCH(S365, 'Lookup 1961'!$B$2:$B$1300,0))</f>
        <v>e130352</v>
      </c>
      <c r="X365" s="11" t="str">
        <f>INDEX('Lookup 1961'!$C$2:$C$1300, MATCH(V365, 'Lookup 1961'!$A$2:$A$1300,0))</f>
        <v>Gloucestershire</v>
      </c>
    </row>
    <row r="366" spans="1:24" ht="25.05" customHeight="1" x14ac:dyDescent="0.3">
      <c r="A366" s="2" t="s">
        <v>372</v>
      </c>
      <c r="B366" s="2" t="s">
        <v>372</v>
      </c>
      <c r="C366" s="1">
        <v>24</v>
      </c>
      <c r="D366" s="1">
        <v>6</v>
      </c>
      <c r="E366" s="1">
        <v>15</v>
      </c>
      <c r="F366" s="1">
        <v>8</v>
      </c>
      <c r="K366" s="1">
        <v>938</v>
      </c>
      <c r="L366" s="6">
        <v>239757</v>
      </c>
      <c r="M366" s="1">
        <v>135.19999999999999</v>
      </c>
      <c r="N366" s="1">
        <v>11</v>
      </c>
      <c r="O366" s="1">
        <v>13</v>
      </c>
      <c r="P366" s="1">
        <v>48.2</v>
      </c>
      <c r="Q366" s="11">
        <f>'Table H'!$J$69</f>
        <v>0.95253874357154622</v>
      </c>
      <c r="R366" s="11">
        <f t="shared" si="10"/>
        <v>228377.83154248321</v>
      </c>
      <c r="S366" s="11" t="str">
        <f t="shared" si="11"/>
        <v>Stroud UD</v>
      </c>
      <c r="T366" s="11" t="s">
        <v>5214</v>
      </c>
      <c r="V366" s="11" t="str">
        <f>INDEX('Lookup 1961'!$A$2:$A$1300, MATCH(S366, 'Lookup 1961'!$B$2:$B$1300,0))</f>
        <v>J04001227</v>
      </c>
      <c r="W366" s="11" t="str">
        <f>INDEX('Lookup 1961'!$F$2:$F$1300, MATCH(S366, 'Lookup 1961'!$B$2:$B$1300,0))</f>
        <v>e130353</v>
      </c>
      <c r="X366" s="11" t="str">
        <f>INDEX('Lookup 1961'!$C$2:$C$1300, MATCH(V366, 'Lookup 1961'!$A$2:$A$1300,0))</f>
        <v>Gloucestershire</v>
      </c>
    </row>
    <row r="367" spans="1:24" ht="25.05" customHeight="1" x14ac:dyDescent="0.3">
      <c r="A367" s="2" t="s">
        <v>373</v>
      </c>
      <c r="B367" s="2" t="s">
        <v>373</v>
      </c>
      <c r="S367" s="11" t="str">
        <f t="shared" si="11"/>
        <v xml:space="preserve">HEREFORD: </v>
      </c>
      <c r="V367" s="11" t="e">
        <f>INDEX('Lookup 1961'!$A$2:$A$1300, MATCH(S367, 'Lookup 1961'!$B$2:$B$1300,0))</f>
        <v>#N/A</v>
      </c>
      <c r="W367" s="11" t="e">
        <f>INDEX('Lookup 1961'!$F$2:$F$1300, MATCH(S367, 'Lookup 1961'!$B$2:$B$1300,0))</f>
        <v>#N/A</v>
      </c>
      <c r="X367" s="11" t="e">
        <f>INDEX('Lookup 1961'!$C$2:$C$1300, MATCH(V367, 'Lookup 1961'!$A$2:$A$1300,0))</f>
        <v>#N/A</v>
      </c>
    </row>
    <row r="368" spans="1:24" ht="25.05" customHeight="1" x14ac:dyDescent="0.3">
      <c r="A368" s="2" t="s">
        <v>146</v>
      </c>
      <c r="B368" s="2" t="s">
        <v>5257</v>
      </c>
      <c r="S368" s="11" t="str">
        <f t="shared" si="11"/>
        <v xml:space="preserve">Non County Boroughs  </v>
      </c>
      <c r="V368" s="11" t="e">
        <f>INDEX('Lookup 1961'!$A$2:$A$1300, MATCH(S368, 'Lookup 1961'!$B$2:$B$1300,0))</f>
        <v>#N/A</v>
      </c>
      <c r="W368" s="11" t="e">
        <f>INDEX('Lookup 1961'!$F$2:$F$1300, MATCH(S368, 'Lookup 1961'!$B$2:$B$1300,0))</f>
        <v>#N/A</v>
      </c>
      <c r="X368" s="11" t="e">
        <f>INDEX('Lookup 1961'!$C$2:$C$1300, MATCH(V368, 'Lookup 1961'!$A$2:$A$1300,0))</f>
        <v>#N/A</v>
      </c>
    </row>
    <row r="369" spans="1:24" ht="25.05" customHeight="1" x14ac:dyDescent="0.3">
      <c r="A369" s="2" t="s">
        <v>374</v>
      </c>
      <c r="B369" s="2" t="s">
        <v>5288</v>
      </c>
      <c r="C369" s="1">
        <v>27</v>
      </c>
      <c r="D369" s="1">
        <v>2</v>
      </c>
      <c r="E369" s="1">
        <v>19</v>
      </c>
      <c r="F369" s="1">
        <v>6</v>
      </c>
      <c r="K369" s="1">
        <v>2000</v>
      </c>
      <c r="L369" s="6">
        <v>512763</v>
      </c>
      <c r="M369" s="1">
        <v>71.7</v>
      </c>
      <c r="N369" s="1">
        <v>14</v>
      </c>
      <c r="O369" s="1">
        <v>17</v>
      </c>
      <c r="P369" s="1">
        <v>22.9</v>
      </c>
      <c r="Q369" s="11">
        <f>'Table H'!$J$73</f>
        <v>0.9149194680028202</v>
      </c>
      <c r="R369" s="11">
        <f t="shared" si="10"/>
        <v>469136.85117153008</v>
      </c>
      <c r="S369" s="11" t="str">
        <f t="shared" si="11"/>
        <v>Hereford, city of MB</v>
      </c>
      <c r="T369" s="11" t="s">
        <v>5211</v>
      </c>
      <c r="V369" s="11" t="str">
        <f>INDEX('Lookup 1961'!$A$2:$A$1300, MATCH(S369, 'Lookup 1961'!$B$2:$B$1300,0))</f>
        <v>J04000612</v>
      </c>
      <c r="W369" s="11" t="str">
        <f>INDEX('Lookup 1961'!$F$2:$F$1300, MATCH(S369, 'Lookup 1961'!$B$2:$B$1300,0))</f>
        <v>e160442</v>
      </c>
      <c r="X369" s="11" t="str">
        <f>INDEX('Lookup 1961'!$C$2:$C$1300, MATCH(V369, 'Lookup 1961'!$A$2:$A$1300,0))</f>
        <v>Hereford And Worcs</v>
      </c>
    </row>
    <row r="370" spans="1:24" ht="25.05" customHeight="1" x14ac:dyDescent="0.3">
      <c r="A370" s="2" t="s">
        <v>375</v>
      </c>
      <c r="B370" s="2" t="s">
        <v>375</v>
      </c>
      <c r="C370" s="1">
        <v>23</v>
      </c>
      <c r="D370" s="1">
        <v>6</v>
      </c>
      <c r="E370" s="1">
        <v>17</v>
      </c>
      <c r="F370" s="1">
        <v>10</v>
      </c>
      <c r="K370" s="1">
        <v>280</v>
      </c>
      <c r="L370" s="6">
        <v>71601</v>
      </c>
      <c r="M370" s="1">
        <v>76.900000000000006</v>
      </c>
      <c r="N370" s="1">
        <v>10</v>
      </c>
      <c r="O370" s="1">
        <v>3</v>
      </c>
      <c r="P370" s="1">
        <v>34.6</v>
      </c>
      <c r="Q370" s="11">
        <f>'Table H'!$J$73</f>
        <v>0.9149194680028202</v>
      </c>
      <c r="R370" s="11">
        <f t="shared" si="10"/>
        <v>65509.14882846993</v>
      </c>
      <c r="S370" s="11" t="str">
        <f t="shared" si="11"/>
        <v>Leominster MB</v>
      </c>
      <c r="T370" s="11" t="s">
        <v>5211</v>
      </c>
      <c r="V370" s="11" t="str">
        <f>INDEX('Lookup 1961'!$A$2:$A$1300, MATCH(S370, 'Lookup 1961'!$B$2:$B$1300,0))</f>
        <v>J04000736</v>
      </c>
      <c r="W370" s="11" t="str">
        <f>INDEX('Lookup 1961'!$F$2:$F$1300, MATCH(S370, 'Lookup 1961'!$B$2:$B$1300,0))</f>
        <v>e160444</v>
      </c>
      <c r="X370" s="11" t="str">
        <f>INDEX('Lookup 1961'!$C$2:$C$1300, MATCH(V370, 'Lookup 1961'!$A$2:$A$1300,0))</f>
        <v>Hereford And Worcs</v>
      </c>
    </row>
    <row r="371" spans="1:24" ht="25.05" customHeight="1" x14ac:dyDescent="0.3">
      <c r="A371" s="2" t="s">
        <v>150</v>
      </c>
      <c r="B371" s="2" t="s">
        <v>1221</v>
      </c>
      <c r="S371" s="11" t="str">
        <f t="shared" si="11"/>
        <v xml:space="preserve">Urban Districts  </v>
      </c>
      <c r="V371" s="11" t="e">
        <f>INDEX('Lookup 1961'!$A$2:$A$1300, MATCH(S371, 'Lookup 1961'!$B$2:$B$1300,0))</f>
        <v>#N/A</v>
      </c>
      <c r="W371" s="11" t="e">
        <f>INDEX('Lookup 1961'!$F$2:$F$1300, MATCH(S371, 'Lookup 1961'!$B$2:$B$1300,0))</f>
        <v>#N/A</v>
      </c>
      <c r="X371" s="11" t="e">
        <f>INDEX('Lookup 1961'!$C$2:$C$1300, MATCH(V371, 'Lookup 1961'!$A$2:$A$1300,0))</f>
        <v>#N/A</v>
      </c>
    </row>
    <row r="372" spans="1:24" ht="25.05" customHeight="1" x14ac:dyDescent="0.3">
      <c r="A372" s="2" t="s">
        <v>376</v>
      </c>
      <c r="B372" s="2" t="s">
        <v>376</v>
      </c>
      <c r="C372" s="1">
        <v>27</v>
      </c>
      <c r="D372" s="1">
        <v>0</v>
      </c>
      <c r="E372" s="1">
        <v>19</v>
      </c>
      <c r="F372" s="1">
        <v>0</v>
      </c>
      <c r="K372" s="1">
        <v>60</v>
      </c>
      <c r="L372" s="6">
        <v>18336</v>
      </c>
      <c r="M372" s="1">
        <v>84</v>
      </c>
      <c r="N372" s="1">
        <v>10</v>
      </c>
      <c r="O372" s="1">
        <v>0</v>
      </c>
      <c r="P372" s="1">
        <v>29.5</v>
      </c>
      <c r="Q372" s="11">
        <f>'Table H'!$J$74</f>
        <v>0.97793261998694403</v>
      </c>
      <c r="R372" s="11">
        <f t="shared" si="10"/>
        <v>17931.372520080608</v>
      </c>
      <c r="S372" s="11" t="str">
        <f t="shared" si="11"/>
        <v>Bromyard UD</v>
      </c>
      <c r="T372" s="11" t="s">
        <v>5214</v>
      </c>
      <c r="V372" s="11" t="str">
        <f>INDEX('Lookup 1961'!$A$2:$A$1300, MATCH(S372, 'Lookup 1961'!$B$2:$B$1300,0))</f>
        <v>J04000222</v>
      </c>
      <c r="W372" s="11" t="str">
        <f>INDEX('Lookup 1961'!$F$2:$F$1300, MATCH(S372, 'Lookup 1961'!$B$2:$B$1300,0))</f>
        <v>e160446</v>
      </c>
      <c r="X372" s="11" t="str">
        <f>INDEX('Lookup 1961'!$C$2:$C$1300, MATCH(V372, 'Lookup 1961'!$A$2:$A$1300,0))</f>
        <v>Hereford And Worcs</v>
      </c>
    </row>
    <row r="373" spans="1:24" ht="25.05" customHeight="1" x14ac:dyDescent="0.3">
      <c r="A373" s="2" t="s">
        <v>377</v>
      </c>
      <c r="B373" s="2" t="s">
        <v>377</v>
      </c>
      <c r="C373" s="1">
        <v>25</v>
      </c>
      <c r="D373" s="1">
        <v>8</v>
      </c>
      <c r="E373" s="1">
        <v>18</v>
      </c>
      <c r="F373" s="1">
        <v>3</v>
      </c>
      <c r="K373" s="1">
        <v>78</v>
      </c>
      <c r="L373" s="6">
        <v>20252</v>
      </c>
      <c r="M373" s="1">
        <v>94.5</v>
      </c>
      <c r="N373" s="1">
        <v>9</v>
      </c>
      <c r="O373" s="1">
        <v>12</v>
      </c>
      <c r="P373" s="1">
        <v>40.200000000000003</v>
      </c>
      <c r="Q373" s="11">
        <f>'Table H'!$J$74</f>
        <v>0.97793261998694403</v>
      </c>
      <c r="R373" s="11">
        <f t="shared" si="10"/>
        <v>19805.09141997559</v>
      </c>
      <c r="S373" s="11" t="str">
        <f t="shared" si="11"/>
        <v>Kington UD</v>
      </c>
      <c r="T373" s="11" t="s">
        <v>5214</v>
      </c>
      <c r="V373" s="11" t="str">
        <f>INDEX('Lookup 1961'!$A$2:$A$1300, MATCH(S373, 'Lookup 1961'!$B$2:$B$1300,0))</f>
        <v>J04000703</v>
      </c>
      <c r="W373" s="11" t="str">
        <f>INDEX('Lookup 1961'!$F$2:$F$1300, MATCH(S373, 'Lookup 1961'!$B$2:$B$1300,0))</f>
        <v>e160443</v>
      </c>
      <c r="X373" s="11" t="str">
        <f>INDEX('Lookup 1961'!$C$2:$C$1300, MATCH(V373, 'Lookup 1961'!$A$2:$A$1300,0))</f>
        <v>Hereford And Worcs</v>
      </c>
    </row>
    <row r="374" spans="1:24" ht="25.05" customHeight="1" x14ac:dyDescent="0.3">
      <c r="A374" s="2" t="s">
        <v>378</v>
      </c>
      <c r="B374" s="2" t="s">
        <v>378</v>
      </c>
      <c r="C374" s="1">
        <v>24</v>
      </c>
      <c r="D374" s="1">
        <v>0</v>
      </c>
      <c r="E374" s="1">
        <v>17</v>
      </c>
      <c r="F374" s="1">
        <v>0</v>
      </c>
      <c r="K374" s="1">
        <v>140</v>
      </c>
      <c r="L374" s="6">
        <v>36644</v>
      </c>
      <c r="M374" s="1">
        <v>68.099999999999994</v>
      </c>
      <c r="N374" s="1">
        <v>8</v>
      </c>
      <c r="O374" s="1">
        <v>6</v>
      </c>
      <c r="P374" s="1">
        <v>24.5</v>
      </c>
      <c r="Q374" s="11">
        <f>'Table H'!$J$74</f>
        <v>0.97793261998694403</v>
      </c>
      <c r="R374" s="11">
        <f t="shared" si="10"/>
        <v>35835.362926801579</v>
      </c>
      <c r="S374" s="11" t="str">
        <f t="shared" si="11"/>
        <v>Ledbury UD</v>
      </c>
      <c r="T374" s="11" t="s">
        <v>5214</v>
      </c>
      <c r="V374" s="11" t="str">
        <f>INDEX('Lookup 1961'!$A$2:$A$1300, MATCH(S374, 'Lookup 1961'!$B$2:$B$1300,0))</f>
        <v>J04000726</v>
      </c>
      <c r="W374" s="11" t="str">
        <f>INDEX('Lookup 1961'!$F$2:$F$1300, MATCH(S374, 'Lookup 1961'!$B$2:$B$1300,0))</f>
        <v>e160450</v>
      </c>
      <c r="X374" s="11" t="str">
        <f>INDEX('Lookup 1961'!$C$2:$C$1300, MATCH(V374, 'Lookup 1961'!$A$2:$A$1300,0))</f>
        <v>Hereford And Worcs</v>
      </c>
    </row>
    <row r="375" spans="1:24" ht="25.05" customHeight="1" x14ac:dyDescent="0.3">
      <c r="A375" s="2" t="s">
        <v>379</v>
      </c>
      <c r="B375" s="2" t="s">
        <v>5259</v>
      </c>
      <c r="C375" s="1">
        <v>28</v>
      </c>
      <c r="D375" s="1">
        <v>0</v>
      </c>
      <c r="E375" s="1">
        <v>20</v>
      </c>
      <c r="F375" s="1">
        <v>0</v>
      </c>
      <c r="K375" s="1">
        <v>260</v>
      </c>
      <c r="L375" s="6">
        <v>65700</v>
      </c>
      <c r="M375" s="1">
        <v>71.099999999999994</v>
      </c>
      <c r="N375" s="1">
        <v>11</v>
      </c>
      <c r="O375" s="1">
        <v>14</v>
      </c>
      <c r="P375" s="1">
        <v>22.3</v>
      </c>
      <c r="Q375" s="11">
        <f>'Table H'!$J$74</f>
        <v>0.97793261998694403</v>
      </c>
      <c r="R375" s="11">
        <f t="shared" si="10"/>
        <v>64250.17313314222</v>
      </c>
      <c r="S375" s="11" t="str">
        <f t="shared" si="11"/>
        <v>Ross on Wye UD</v>
      </c>
      <c r="T375" s="11" t="s">
        <v>5214</v>
      </c>
      <c r="V375" s="11" t="str">
        <f>INDEX('Lookup 1961'!$A$2:$A$1300, MATCH(S375, 'Lookup 1961'!$B$2:$B$1300,0))</f>
        <v>J04001065</v>
      </c>
      <c r="W375" s="11" t="str">
        <f>INDEX('Lookup 1961'!$F$2:$F$1300, MATCH(S375, 'Lookup 1961'!$B$2:$B$1300,0))</f>
        <v>e160445</v>
      </c>
      <c r="X375" s="11" t="str">
        <f>INDEX('Lookup 1961'!$C$2:$C$1300, MATCH(V375, 'Lookup 1961'!$A$2:$A$1300,0))</f>
        <v>Hereford And Worcs</v>
      </c>
    </row>
    <row r="376" spans="1:24" ht="25.05" customHeight="1" x14ac:dyDescent="0.3">
      <c r="A376" s="2" t="s">
        <v>380</v>
      </c>
      <c r="B376" s="2" t="s">
        <v>380</v>
      </c>
      <c r="S376" s="11" t="str">
        <f t="shared" si="11"/>
        <v xml:space="preserve">HERTFORD: </v>
      </c>
      <c r="V376" s="11" t="e">
        <f>INDEX('Lookup 1961'!$A$2:$A$1300, MATCH(S376, 'Lookup 1961'!$B$2:$B$1300,0))</f>
        <v>#N/A</v>
      </c>
      <c r="W376" s="11" t="e">
        <f>INDEX('Lookup 1961'!$F$2:$F$1300, MATCH(S376, 'Lookup 1961'!$B$2:$B$1300,0))</f>
        <v>#N/A</v>
      </c>
      <c r="X376" s="11" t="e">
        <f>INDEX('Lookup 1961'!$C$2:$C$1300, MATCH(V376, 'Lookup 1961'!$A$2:$A$1300,0))</f>
        <v>#N/A</v>
      </c>
    </row>
    <row r="377" spans="1:24" ht="25.05" customHeight="1" x14ac:dyDescent="0.3">
      <c r="A377" s="2" t="s">
        <v>146</v>
      </c>
      <c r="B377" s="2" t="s">
        <v>5257</v>
      </c>
      <c r="S377" s="11" t="str">
        <f t="shared" si="11"/>
        <v xml:space="preserve">Non County Boroughs  </v>
      </c>
      <c r="V377" s="11" t="e">
        <f>INDEX('Lookup 1961'!$A$2:$A$1300, MATCH(S377, 'Lookup 1961'!$B$2:$B$1300,0))</f>
        <v>#N/A</v>
      </c>
      <c r="W377" s="11" t="e">
        <f>INDEX('Lookup 1961'!$F$2:$F$1300, MATCH(S377, 'Lookup 1961'!$B$2:$B$1300,0))</f>
        <v>#N/A</v>
      </c>
      <c r="X377" s="11" t="e">
        <f>INDEX('Lookup 1961'!$C$2:$C$1300, MATCH(V377, 'Lookup 1961'!$A$2:$A$1300,0))</f>
        <v>#N/A</v>
      </c>
    </row>
    <row r="378" spans="1:24" ht="25.05" customHeight="1" x14ac:dyDescent="0.3">
      <c r="A378" s="2" t="s">
        <v>381</v>
      </c>
      <c r="B378" s="2" t="s">
        <v>381</v>
      </c>
      <c r="C378" s="1">
        <v>27</v>
      </c>
      <c r="D378" s="1">
        <v>8</v>
      </c>
      <c r="E378" s="1">
        <v>18</v>
      </c>
      <c r="F378" s="1">
        <v>4</v>
      </c>
      <c r="K378" s="6">
        <v>2175</v>
      </c>
      <c r="L378" s="6">
        <v>551056</v>
      </c>
      <c r="M378" s="1">
        <v>128.1</v>
      </c>
      <c r="N378" s="1">
        <v>12</v>
      </c>
      <c r="O378" s="1">
        <v>18</v>
      </c>
      <c r="P378" s="1">
        <v>38.200000000000003</v>
      </c>
      <c r="Q378" s="11">
        <f>'Table H'!$J$78</f>
        <v>0.95656252108999273</v>
      </c>
      <c r="R378" s="11">
        <f t="shared" si="10"/>
        <v>527119.51662176708</v>
      </c>
      <c r="S378" s="11" t="str">
        <f t="shared" si="11"/>
        <v>Hemel Hempstead MB</v>
      </c>
      <c r="T378" s="11" t="s">
        <v>5211</v>
      </c>
      <c r="V378" s="11" t="str">
        <f>INDEX('Lookup 1961'!$A$2:$A$1300, MATCH(S378, 'Lookup 1961'!$B$2:$B$1300,0))</f>
        <v>J04000603</v>
      </c>
      <c r="W378" s="11" t="str">
        <f>INDEX('Lookup 1961'!$F$2:$F$1300, MATCH(S378, 'Lookup 1961'!$B$2:$B$1300,0))</f>
        <v>e170461</v>
      </c>
      <c r="X378" s="11" t="str">
        <f>INDEX('Lookup 1961'!$C$2:$C$1300, MATCH(V378, 'Lookup 1961'!$A$2:$A$1300,0))</f>
        <v>Hertfordshire</v>
      </c>
    </row>
    <row r="379" spans="1:24" ht="25.05" customHeight="1" x14ac:dyDescent="0.3">
      <c r="A379" s="2" t="s">
        <v>382</v>
      </c>
      <c r="B379" s="2" t="s">
        <v>382</v>
      </c>
      <c r="C379" s="1">
        <v>26</v>
      </c>
      <c r="D379" s="1">
        <v>6</v>
      </c>
      <c r="E379" s="1">
        <v>17</v>
      </c>
      <c r="F379" s="1">
        <v>7</v>
      </c>
      <c r="K379" s="1">
        <v>870</v>
      </c>
      <c r="L379" s="6">
        <v>226809</v>
      </c>
      <c r="M379" s="1">
        <v>91.8</v>
      </c>
      <c r="N379" s="1">
        <v>13</v>
      </c>
      <c r="O379" s="1">
        <v>8</v>
      </c>
      <c r="P379" s="1">
        <v>21.7</v>
      </c>
      <c r="Q379" s="11">
        <f>'Table H'!$J$78</f>
        <v>0.95656252108999273</v>
      </c>
      <c r="R379" s="11">
        <f t="shared" si="10"/>
        <v>216956.98884590017</v>
      </c>
      <c r="S379" s="11" t="str">
        <f t="shared" si="11"/>
        <v>Hertford MB</v>
      </c>
      <c r="T379" s="11" t="s">
        <v>5211</v>
      </c>
      <c r="V379" s="11" t="str">
        <f>INDEX('Lookup 1961'!$A$2:$A$1300, MATCH(S379, 'Lookup 1961'!$B$2:$B$1300,0))</f>
        <v>J04000614</v>
      </c>
      <c r="W379" s="11" t="str">
        <f>INDEX('Lookup 1961'!$F$2:$F$1300, MATCH(S379, 'Lookup 1961'!$B$2:$B$1300,0))</f>
        <v>e170463</v>
      </c>
      <c r="X379" s="11" t="str">
        <f>INDEX('Lookup 1961'!$C$2:$C$1300, MATCH(V379, 'Lookup 1961'!$A$2:$A$1300,0))</f>
        <v>Hertfordshire</v>
      </c>
    </row>
    <row r="380" spans="1:24" ht="25.05" customHeight="1" x14ac:dyDescent="0.3">
      <c r="A380" s="2" t="s">
        <v>383</v>
      </c>
      <c r="B380" s="2" t="s">
        <v>1038</v>
      </c>
      <c r="C380" s="1">
        <v>26</v>
      </c>
      <c r="D380" s="1">
        <v>6</v>
      </c>
      <c r="E380" s="1">
        <v>17</v>
      </c>
      <c r="F380" s="1">
        <v>8</v>
      </c>
      <c r="K380" s="6">
        <v>3260</v>
      </c>
      <c r="L380" s="6">
        <v>799494</v>
      </c>
      <c r="M380" s="1">
        <v>74.099999999999994</v>
      </c>
      <c r="N380" s="1">
        <v>15</v>
      </c>
      <c r="O380" s="1">
        <v>3</v>
      </c>
      <c r="P380" s="1">
        <v>13.5</v>
      </c>
      <c r="Q380" s="11">
        <f>'Table H'!$J$78</f>
        <v>0.95656252108999273</v>
      </c>
      <c r="R380" s="11">
        <f t="shared" si="10"/>
        <v>764765.99623632268</v>
      </c>
      <c r="S380" s="11" t="str">
        <f t="shared" si="11"/>
        <v>St. Albans MB</v>
      </c>
      <c r="T380" s="11" t="s">
        <v>5211</v>
      </c>
      <c r="V380" s="11" t="str">
        <f>INDEX('Lookup 1961'!$A$2:$A$1300, MATCH(S380, 'Lookup 1961'!$B$2:$B$1300,0))</f>
        <v>J04001179</v>
      </c>
      <c r="W380" s="11" t="str">
        <f>INDEX('Lookup 1961'!$F$2:$F$1300, MATCH(S380, 'Lookup 1961'!$B$2:$B$1300,0))</f>
        <v>e170470</v>
      </c>
      <c r="X380" s="11" t="str">
        <f>INDEX('Lookup 1961'!$C$2:$C$1300, MATCH(V380, 'Lookup 1961'!$A$2:$A$1300,0))</f>
        <v>Hertfordshire</v>
      </c>
    </row>
    <row r="381" spans="1:24" ht="25.05" customHeight="1" x14ac:dyDescent="0.3">
      <c r="A381" s="2" t="s">
        <v>384</v>
      </c>
      <c r="B381" s="2" t="s">
        <v>384</v>
      </c>
      <c r="C381" s="1">
        <v>26</v>
      </c>
      <c r="D381" s="1">
        <v>10</v>
      </c>
      <c r="E381" s="1">
        <v>17</v>
      </c>
      <c r="F381" s="1">
        <v>8</v>
      </c>
      <c r="K381" s="6">
        <v>6100</v>
      </c>
      <c r="L381" s="6">
        <v>1489854</v>
      </c>
      <c r="M381" s="1">
        <v>112.5</v>
      </c>
      <c r="N381" s="1">
        <v>17</v>
      </c>
      <c r="O381" s="1">
        <v>19</v>
      </c>
      <c r="P381" s="1">
        <v>40.200000000000003</v>
      </c>
      <c r="Q381" s="11">
        <f>'Table H'!$J$78</f>
        <v>0.95656252108999273</v>
      </c>
      <c r="R381" s="11">
        <f t="shared" si="10"/>
        <v>1425138.4982960101</v>
      </c>
      <c r="S381" s="11" t="str">
        <f t="shared" si="11"/>
        <v>Watford MB</v>
      </c>
      <c r="T381" s="11" t="s">
        <v>5211</v>
      </c>
      <c r="V381" s="11" t="str">
        <f>INDEX('Lookup 1961'!$A$2:$A$1300, MATCH(S381, 'Lookup 1961'!$B$2:$B$1300,0))</f>
        <v>J04001353</v>
      </c>
      <c r="W381" s="11" t="str">
        <f>INDEX('Lookup 1961'!$F$2:$F$1300, MATCH(S381, 'Lookup 1961'!$B$2:$B$1300,0))</f>
        <v>e170476</v>
      </c>
      <c r="X381" s="11" t="str">
        <f>INDEX('Lookup 1961'!$C$2:$C$1300, MATCH(V381, 'Lookup 1961'!$A$2:$A$1300,0))</f>
        <v>Hertfordshire</v>
      </c>
    </row>
    <row r="382" spans="1:24" ht="25.05" customHeight="1" x14ac:dyDescent="0.3">
      <c r="A382" s="2" t="s">
        <v>150</v>
      </c>
      <c r="B382" s="2" t="s">
        <v>1221</v>
      </c>
      <c r="S382" s="11" t="str">
        <f t="shared" si="11"/>
        <v xml:space="preserve">Urban Districts  </v>
      </c>
      <c r="V382" s="11" t="e">
        <f>INDEX('Lookup 1961'!$A$2:$A$1300, MATCH(S382, 'Lookup 1961'!$B$2:$B$1300,0))</f>
        <v>#N/A</v>
      </c>
      <c r="W382" s="11" t="e">
        <f>INDEX('Lookup 1961'!$F$2:$F$1300, MATCH(S382, 'Lookup 1961'!$B$2:$B$1300,0))</f>
        <v>#N/A</v>
      </c>
      <c r="X382" s="11" t="e">
        <f>INDEX('Lookup 1961'!$C$2:$C$1300, MATCH(V382, 'Lookup 1961'!$A$2:$A$1300,0))</f>
        <v>#N/A</v>
      </c>
    </row>
    <row r="383" spans="1:24" ht="25.05" customHeight="1" x14ac:dyDescent="0.3">
      <c r="A383" s="2" t="s">
        <v>385</v>
      </c>
      <c r="B383" s="2" t="s">
        <v>385</v>
      </c>
      <c r="C383" s="1">
        <v>25</v>
      </c>
      <c r="D383" s="1">
        <v>6</v>
      </c>
      <c r="E383" s="1">
        <v>16</v>
      </c>
      <c r="F383" s="1">
        <v>6</v>
      </c>
      <c r="K383" s="1">
        <v>257</v>
      </c>
      <c r="L383" s="6">
        <v>64844</v>
      </c>
      <c r="M383" s="1">
        <v>71.099999999999994</v>
      </c>
      <c r="N383" s="1">
        <v>8</v>
      </c>
      <c r="O383" s="1">
        <v>1</v>
      </c>
      <c r="P383" s="1">
        <v>11.7</v>
      </c>
      <c r="Q383" s="11">
        <f>'Table H'!$J$79</f>
        <v>0.95769336517730308</v>
      </c>
      <c r="R383" s="11">
        <f t="shared" si="10"/>
        <v>62100.668571557042</v>
      </c>
      <c r="S383" s="11" t="str">
        <f t="shared" si="11"/>
        <v>Baldock UD</v>
      </c>
      <c r="T383" s="11" t="s">
        <v>5214</v>
      </c>
      <c r="V383" s="11" t="str">
        <f>INDEX('Lookup 1961'!$A$2:$A$1300, MATCH(S383, 'Lookup 1961'!$B$2:$B$1300,0))</f>
        <v>J04000074</v>
      </c>
      <c r="W383" s="11" t="str">
        <f>INDEX('Lookup 1961'!$F$2:$F$1300, MATCH(S383, 'Lookup 1961'!$B$2:$B$1300,0))</f>
        <v>e170454</v>
      </c>
      <c r="X383" s="11" t="str">
        <f>INDEX('Lookup 1961'!$C$2:$C$1300, MATCH(V383, 'Lookup 1961'!$A$2:$A$1300,0))</f>
        <v>Hertfordshire</v>
      </c>
    </row>
    <row r="384" spans="1:24" ht="25.05" customHeight="1" x14ac:dyDescent="0.3">
      <c r="A384" s="2" t="s">
        <v>386</v>
      </c>
      <c r="B384" s="2" t="s">
        <v>386</v>
      </c>
      <c r="C384" s="1">
        <v>24</v>
      </c>
      <c r="D384" s="1">
        <v>6</v>
      </c>
      <c r="E384" s="1">
        <v>17</v>
      </c>
      <c r="F384" s="1">
        <v>0</v>
      </c>
      <c r="K384" s="6">
        <v>1890</v>
      </c>
      <c r="L384" s="6">
        <v>470022</v>
      </c>
      <c r="M384" s="1">
        <v>67.5</v>
      </c>
      <c r="N384" s="1">
        <v>15</v>
      </c>
      <c r="O384" s="1">
        <v>7</v>
      </c>
      <c r="P384" s="1">
        <v>13.8</v>
      </c>
      <c r="Q384" s="11">
        <f>'Table H'!$J$79</f>
        <v>0.95769336517730308</v>
      </c>
      <c r="R384" s="11">
        <f t="shared" si="10"/>
        <v>450136.95088736637</v>
      </c>
      <c r="S384" s="11" t="str">
        <f t="shared" si="11"/>
        <v>Barnet UD</v>
      </c>
      <c r="T384" s="11" t="s">
        <v>5214</v>
      </c>
      <c r="V384" s="11" t="str">
        <f>INDEX('Lookup 1961'!$A$2:$A$1300, MATCH(S384, 'Lookup 1961'!$B$2:$B$1300,0))</f>
        <v>J04000085</v>
      </c>
      <c r="W384" s="11" t="str">
        <f>INDEX('Lookup 1961'!$F$2:$F$1300, MATCH(S384, 'Lookup 1961'!$B$2:$B$1300,0))</f>
        <v>e140372</v>
      </c>
      <c r="X384" s="11" t="str">
        <f>INDEX('Lookup 1961'!$C$2:$C$1300, MATCH(V384, 'Lookup 1961'!$A$2:$A$1300,0))</f>
        <v>Outer London</v>
      </c>
    </row>
    <row r="385" spans="1:24" ht="25.05" customHeight="1" x14ac:dyDescent="0.3">
      <c r="A385" s="2" t="s">
        <v>387</v>
      </c>
      <c r="B385" s="2" t="s">
        <v>387</v>
      </c>
      <c r="C385" s="1">
        <v>24</v>
      </c>
      <c r="D385" s="1">
        <v>6</v>
      </c>
      <c r="E385" s="1">
        <v>16</v>
      </c>
      <c r="F385" s="1">
        <v>10</v>
      </c>
      <c r="K385" s="1">
        <v>790</v>
      </c>
      <c r="L385" s="6">
        <v>201102</v>
      </c>
      <c r="M385" s="1">
        <v>101.5</v>
      </c>
      <c r="N385" s="1">
        <v>13</v>
      </c>
      <c r="O385" s="1">
        <v>17</v>
      </c>
      <c r="P385" s="1">
        <v>33.700000000000003</v>
      </c>
      <c r="Q385" s="11">
        <f>'Table H'!$J$79</f>
        <v>0.95769336517730308</v>
      </c>
      <c r="R385" s="11">
        <f t="shared" si="10"/>
        <v>192594.05112388599</v>
      </c>
      <c r="S385" s="11" t="str">
        <f t="shared" si="11"/>
        <v>Berkhamsted UD</v>
      </c>
      <c r="T385" s="11" t="s">
        <v>5214</v>
      </c>
      <c r="V385" s="11" t="str">
        <f>INDEX('Lookup 1961'!$A$2:$A$1300, MATCH(S385, 'Lookup 1961'!$B$2:$B$1300,0))</f>
        <v>J04000126</v>
      </c>
      <c r="W385" s="11" t="str">
        <f>INDEX('Lookup 1961'!$F$2:$F$1300, MATCH(S385, 'Lookup 1961'!$B$2:$B$1300,0))</f>
        <v>e170455</v>
      </c>
      <c r="X385" s="11" t="str">
        <f>INDEX('Lookup 1961'!$C$2:$C$1300, MATCH(V385, 'Lookup 1961'!$A$2:$A$1300,0))</f>
        <v>Hertfordshire</v>
      </c>
    </row>
    <row r="386" spans="1:24" ht="25.05" customHeight="1" x14ac:dyDescent="0.3">
      <c r="A386" s="2" t="s">
        <v>388</v>
      </c>
      <c r="B386" s="2" t="s">
        <v>5289</v>
      </c>
      <c r="C386" s="1">
        <v>24</v>
      </c>
      <c r="D386" s="1">
        <v>10</v>
      </c>
      <c r="E386" s="1">
        <v>17</v>
      </c>
      <c r="F386" s="1">
        <v>0</v>
      </c>
      <c r="K386" s="1">
        <v>804</v>
      </c>
      <c r="L386" s="6">
        <v>200844</v>
      </c>
      <c r="M386" s="1">
        <v>72.400000000000006</v>
      </c>
      <c r="N386" s="1">
        <v>11</v>
      </c>
      <c r="O386" s="1">
        <v>10</v>
      </c>
      <c r="P386" s="1">
        <v>9.1999999999999993</v>
      </c>
      <c r="Q386" s="11">
        <f>'Table H'!$J$79</f>
        <v>0.95769336517730308</v>
      </c>
      <c r="R386" s="11">
        <f t="shared" si="10"/>
        <v>192346.96623567026</v>
      </c>
      <c r="S386" s="11" t="str">
        <f t="shared" si="11"/>
        <v>Bishops Stortford UD</v>
      </c>
      <c r="T386" s="11" t="s">
        <v>5214</v>
      </c>
      <c r="V386" s="11" t="str">
        <f>INDEX('Lookup 1961'!$A$2:$A$1300, MATCH(S386, 'Lookup 1961'!$B$2:$B$1300,0))</f>
        <v>J04000153</v>
      </c>
      <c r="W386" s="11" t="str">
        <f>INDEX('Lookup 1961'!$F$2:$F$1300, MATCH(S386, 'Lookup 1961'!$B$2:$B$1300,0))</f>
        <v>e170456</v>
      </c>
      <c r="X386" s="11" t="str">
        <f>INDEX('Lookup 1961'!$C$2:$C$1300, MATCH(V386, 'Lookup 1961'!$A$2:$A$1300,0))</f>
        <v>Hertfordshire</v>
      </c>
    </row>
    <row r="387" spans="1:24" ht="25.05" customHeight="1" x14ac:dyDescent="0.3">
      <c r="A387" s="2" t="s">
        <v>389</v>
      </c>
      <c r="B387" s="2" t="s">
        <v>389</v>
      </c>
      <c r="C387" s="1">
        <v>24</v>
      </c>
      <c r="D387" s="1">
        <v>4</v>
      </c>
      <c r="E387" s="1">
        <v>16</v>
      </c>
      <c r="F387" s="1">
        <v>11</v>
      </c>
      <c r="K387" s="6">
        <v>1150</v>
      </c>
      <c r="L387" s="6">
        <v>280414</v>
      </c>
      <c r="M387" s="1">
        <v>75.2</v>
      </c>
      <c r="N387" s="1">
        <v>12</v>
      </c>
      <c r="O387" s="1">
        <v>16</v>
      </c>
      <c r="P387" s="1">
        <v>17.399999999999999</v>
      </c>
      <c r="Q387" s="11">
        <f>'Table H'!$J$79</f>
        <v>0.95769336517730308</v>
      </c>
      <c r="R387" s="11">
        <f t="shared" si="10"/>
        <v>268550.62730282824</v>
      </c>
      <c r="S387" s="11" t="str">
        <f t="shared" si="11"/>
        <v>Bushey UD</v>
      </c>
      <c r="T387" s="11" t="s">
        <v>5214</v>
      </c>
      <c r="V387" s="11" t="str">
        <f>INDEX('Lookup 1961'!$A$2:$A$1300, MATCH(S387, 'Lookup 1961'!$B$2:$B$1300,0))</f>
        <v>J04000246</v>
      </c>
      <c r="W387" s="11" t="str">
        <f>INDEX('Lookup 1961'!$F$2:$F$1300, MATCH(S387, 'Lookup 1961'!$B$2:$B$1300,0))</f>
        <v>e170457</v>
      </c>
      <c r="X387" s="11" t="str">
        <f>INDEX('Lookup 1961'!$C$2:$C$1300, MATCH(V387, 'Lookup 1961'!$A$2:$A$1300,0))</f>
        <v>Hertfordshire</v>
      </c>
    </row>
    <row r="388" spans="1:24" ht="25.05" customHeight="1" x14ac:dyDescent="0.3">
      <c r="A388" s="2" t="s">
        <v>390</v>
      </c>
      <c r="B388" s="2" t="s">
        <v>5290</v>
      </c>
      <c r="C388" s="1">
        <v>26</v>
      </c>
      <c r="D388" s="1">
        <v>6</v>
      </c>
      <c r="E388" s="1">
        <v>18</v>
      </c>
      <c r="F388" s="1">
        <v>6</v>
      </c>
      <c r="K388" s="6">
        <v>1440</v>
      </c>
      <c r="L388" s="6">
        <v>341684</v>
      </c>
      <c r="M388" s="1">
        <v>100.2</v>
      </c>
      <c r="N388" s="1">
        <v>11</v>
      </c>
      <c r="O388" s="1">
        <v>19</v>
      </c>
      <c r="P388" s="1">
        <v>41.7</v>
      </c>
      <c r="Q388" s="11">
        <f>'Table H'!$J$79</f>
        <v>0.95769336517730308</v>
      </c>
      <c r="R388" s="11">
        <f t="shared" ref="R388:R451" si="12">Q388*L388</f>
        <v>327228.49978724163</v>
      </c>
      <c r="S388" s="11" t="str">
        <f t="shared" si="11"/>
        <v>Cheshunt UD</v>
      </c>
      <c r="T388" s="11" t="s">
        <v>5214</v>
      </c>
      <c r="V388" s="11" t="str">
        <f>INDEX('Lookup 1961'!$A$2:$A$1300, MATCH(S388, 'Lookup 1961'!$B$2:$B$1300,0))</f>
        <v>J04000297</v>
      </c>
      <c r="W388" s="11" t="str">
        <f>INDEX('Lookup 1961'!$F$2:$F$1300, MATCH(S388, 'Lookup 1961'!$B$2:$B$1300,0))</f>
        <v>e170458</v>
      </c>
      <c r="X388" s="11" t="str">
        <f>INDEX('Lookup 1961'!$C$2:$C$1300, MATCH(V388, 'Lookup 1961'!$A$2:$A$1300,0))</f>
        <v>Hertfordshire</v>
      </c>
    </row>
    <row r="389" spans="1:24" ht="25.05" customHeight="1" x14ac:dyDescent="0.3">
      <c r="A389" s="2" t="s">
        <v>391</v>
      </c>
      <c r="B389" s="2" t="s">
        <v>391</v>
      </c>
      <c r="C389" s="1">
        <v>25</v>
      </c>
      <c r="D389" s="1">
        <v>2</v>
      </c>
      <c r="E389" s="1">
        <v>16</v>
      </c>
      <c r="F389" s="1">
        <v>9</v>
      </c>
      <c r="K389" s="1">
        <v>459</v>
      </c>
      <c r="L389" s="6">
        <v>110061</v>
      </c>
      <c r="M389" s="1">
        <v>67.900000000000006</v>
      </c>
      <c r="N389" s="1">
        <v>15</v>
      </c>
      <c r="O389" s="1">
        <v>16</v>
      </c>
      <c r="P389" s="1">
        <v>0</v>
      </c>
      <c r="Q389" s="11">
        <f>'Table H'!$J$79</f>
        <v>0.95769336517730308</v>
      </c>
      <c r="R389" s="11">
        <f t="shared" si="12"/>
        <v>105404.68946477915</v>
      </c>
      <c r="S389" s="11" t="str">
        <f t="shared" ref="S389:S452" si="13">_xlfn.CONCAT(B389," ",T389)</f>
        <v>Chorleywood UD</v>
      </c>
      <c r="T389" s="11" t="s">
        <v>5214</v>
      </c>
      <c r="V389" s="11" t="str">
        <f>INDEX('Lookup 1961'!$A$2:$A$1300, MATCH(S389, 'Lookup 1961'!$B$2:$B$1300,0))</f>
        <v>J04000315</v>
      </c>
      <c r="W389" s="11" t="str">
        <f>INDEX('Lookup 1961'!$F$2:$F$1300, MATCH(S389, 'Lookup 1961'!$B$2:$B$1300,0))</f>
        <v>e170459</v>
      </c>
      <c r="X389" s="11" t="str">
        <f>INDEX('Lookup 1961'!$C$2:$C$1300, MATCH(V389, 'Lookup 1961'!$A$2:$A$1300,0))</f>
        <v>Hertfordshire</v>
      </c>
    </row>
    <row r="390" spans="1:24" ht="25.05" customHeight="1" x14ac:dyDescent="0.3">
      <c r="A390" s="2" t="s">
        <v>392</v>
      </c>
      <c r="B390" s="2" t="s">
        <v>392</v>
      </c>
      <c r="C390" s="1">
        <v>25</v>
      </c>
      <c r="D390" s="1">
        <v>9</v>
      </c>
      <c r="E390" s="1">
        <v>17</v>
      </c>
      <c r="F390" s="1">
        <v>11</v>
      </c>
      <c r="K390" s="6">
        <v>2700</v>
      </c>
      <c r="L390" s="6">
        <v>665509</v>
      </c>
      <c r="M390" s="1">
        <v>59.1</v>
      </c>
      <c r="N390" s="1">
        <v>14</v>
      </c>
      <c r="O390" s="1">
        <v>10</v>
      </c>
      <c r="P390" s="1">
        <v>8.1</v>
      </c>
      <c r="Q390" s="11">
        <f>'Table H'!$J$79</f>
        <v>0.95769336517730308</v>
      </c>
      <c r="R390" s="11">
        <f t="shared" si="12"/>
        <v>637353.55376578181</v>
      </c>
      <c r="S390" s="11" t="str">
        <f t="shared" si="13"/>
        <v>East Barnet UD</v>
      </c>
      <c r="T390" s="11" t="s">
        <v>5214</v>
      </c>
      <c r="V390" s="11" t="str">
        <f>INDEX('Lookup 1961'!$A$2:$A$1300, MATCH(S390, 'Lookup 1961'!$B$2:$B$1300,0))</f>
        <v>J04000446</v>
      </c>
      <c r="W390" s="11" t="str">
        <f>INDEX('Lookup 1961'!$F$2:$F$1300, MATCH(S390, 'Lookup 1961'!$B$2:$B$1300,0))</f>
        <v>e140372</v>
      </c>
      <c r="X390" s="11" t="str">
        <f>INDEX('Lookup 1961'!$C$2:$C$1300, MATCH(V390, 'Lookup 1961'!$A$2:$A$1300,0))</f>
        <v>Outer London</v>
      </c>
    </row>
    <row r="391" spans="1:24" ht="25.05" customHeight="1" x14ac:dyDescent="0.3">
      <c r="A391" s="2" t="s">
        <v>393</v>
      </c>
      <c r="B391" s="2" t="s">
        <v>393</v>
      </c>
      <c r="C391" s="1">
        <v>23</v>
      </c>
      <c r="D391" s="1">
        <v>6</v>
      </c>
      <c r="E391" s="1">
        <v>16</v>
      </c>
      <c r="F391" s="1">
        <v>0</v>
      </c>
      <c r="K391" s="6">
        <v>1070</v>
      </c>
      <c r="L391" s="6">
        <v>269725</v>
      </c>
      <c r="M391" s="1">
        <v>75.400000000000006</v>
      </c>
      <c r="N391" s="1">
        <v>13</v>
      </c>
      <c r="O391" s="1">
        <v>6</v>
      </c>
      <c r="P391" s="1">
        <v>13.3</v>
      </c>
      <c r="Q391" s="11">
        <f>'Table H'!$J$79</f>
        <v>0.95769336517730308</v>
      </c>
      <c r="R391" s="11">
        <f t="shared" si="12"/>
        <v>258313.84292244806</v>
      </c>
      <c r="S391" s="11" t="str">
        <f t="shared" si="13"/>
        <v>Harpenden UD</v>
      </c>
      <c r="T391" s="11" t="s">
        <v>5214</v>
      </c>
      <c r="V391" s="11" t="str">
        <f>INDEX('Lookup 1961'!$A$2:$A$1300, MATCH(S391, 'Lookup 1961'!$B$2:$B$1300,0))</f>
        <v>J04000575</v>
      </c>
      <c r="W391" s="11" t="str">
        <f>INDEX('Lookup 1961'!$F$2:$F$1300, MATCH(S391, 'Lookup 1961'!$B$2:$B$1300,0))</f>
        <v>e170460</v>
      </c>
      <c r="X391" s="11" t="str">
        <f>INDEX('Lookup 1961'!$C$2:$C$1300, MATCH(V391, 'Lookup 1961'!$A$2:$A$1300,0))</f>
        <v>Hertfordshire</v>
      </c>
    </row>
    <row r="392" spans="1:24" ht="25.05" customHeight="1" x14ac:dyDescent="0.3">
      <c r="A392" s="2" t="s">
        <v>394</v>
      </c>
      <c r="B392" s="2" t="s">
        <v>394</v>
      </c>
      <c r="C392" s="1">
        <v>25</v>
      </c>
      <c r="D392" s="1">
        <v>10</v>
      </c>
      <c r="E392" s="1">
        <v>17</v>
      </c>
      <c r="F392" s="1">
        <v>8</v>
      </c>
      <c r="K392" s="6">
        <v>1140</v>
      </c>
      <c r="L392" s="6">
        <v>286633</v>
      </c>
      <c r="M392" s="1">
        <v>84.9</v>
      </c>
      <c r="N392" s="1">
        <v>12</v>
      </c>
      <c r="O392" s="1">
        <v>3</v>
      </c>
      <c r="P392" s="1">
        <v>23.1</v>
      </c>
      <c r="Q392" s="11">
        <f>'Table H'!$J$79</f>
        <v>0.95769336517730308</v>
      </c>
      <c r="R392" s="11">
        <f t="shared" si="12"/>
        <v>274506.52234086592</v>
      </c>
      <c r="S392" s="11" t="str">
        <f t="shared" si="13"/>
        <v>Hitchin UD</v>
      </c>
      <c r="T392" s="11" t="s">
        <v>5214</v>
      </c>
      <c r="V392" s="11" t="str">
        <f>INDEX('Lookup 1961'!$A$2:$A$1300, MATCH(S392, 'Lookup 1961'!$B$2:$B$1300,0))</f>
        <v>J04000628</v>
      </c>
      <c r="W392" s="11" t="str">
        <f>INDEX('Lookup 1961'!$F$2:$F$1300, MATCH(S392, 'Lookup 1961'!$B$2:$B$1300,0))</f>
        <v>e170464</v>
      </c>
      <c r="X392" s="11" t="str">
        <f>INDEX('Lookup 1961'!$C$2:$C$1300, MATCH(V392, 'Lookup 1961'!$A$2:$A$1300,0))</f>
        <v>Hertfordshire</v>
      </c>
    </row>
    <row r="393" spans="1:24" ht="25.05" customHeight="1" x14ac:dyDescent="0.3">
      <c r="A393" s="2" t="s">
        <v>395</v>
      </c>
      <c r="B393" s="2" t="s">
        <v>395</v>
      </c>
      <c r="C393" s="1">
        <v>25</v>
      </c>
      <c r="D393" s="1">
        <v>4</v>
      </c>
      <c r="E393" s="1">
        <v>18</v>
      </c>
      <c r="F393" s="1">
        <v>0</v>
      </c>
      <c r="K393" s="1">
        <v>685</v>
      </c>
      <c r="L393" s="6">
        <v>184945</v>
      </c>
      <c r="M393" s="1">
        <v>70.099999999999994</v>
      </c>
      <c r="N393" s="1">
        <v>10</v>
      </c>
      <c r="O393" s="1">
        <v>9</v>
      </c>
      <c r="P393" s="1">
        <v>16.5</v>
      </c>
      <c r="Q393" s="11">
        <f>'Table H'!$J$79</f>
        <v>0.95769336517730308</v>
      </c>
      <c r="R393" s="11">
        <f t="shared" si="12"/>
        <v>177120.59942271633</v>
      </c>
      <c r="S393" s="11" t="str">
        <f t="shared" si="13"/>
        <v>Hoddesdon UD</v>
      </c>
      <c r="T393" s="11" t="s">
        <v>5214</v>
      </c>
      <c r="V393" s="11" t="str">
        <f>INDEX('Lookup 1961'!$A$2:$A$1300, MATCH(S393, 'Lookup 1961'!$B$2:$B$1300,0))</f>
        <v>J04000629</v>
      </c>
      <c r="W393" s="11" t="str">
        <f>INDEX('Lookup 1961'!$F$2:$F$1300, MATCH(S393, 'Lookup 1961'!$B$2:$B$1300,0))</f>
        <v>e170465</v>
      </c>
      <c r="X393" s="11" t="str">
        <f>INDEX('Lookup 1961'!$C$2:$C$1300, MATCH(V393, 'Lookup 1961'!$A$2:$A$1300,0))</f>
        <v>Hertfordshire</v>
      </c>
    </row>
    <row r="394" spans="1:24" ht="25.05" customHeight="1" x14ac:dyDescent="0.3">
      <c r="A394" s="2" t="s">
        <v>396</v>
      </c>
      <c r="B394" s="2" t="s">
        <v>396</v>
      </c>
      <c r="C394" s="1">
        <v>27</v>
      </c>
      <c r="D394" s="1">
        <v>0</v>
      </c>
      <c r="E394" s="1">
        <v>19</v>
      </c>
      <c r="F394" s="1">
        <v>8</v>
      </c>
      <c r="K394" s="6">
        <v>1300</v>
      </c>
      <c r="L394" s="6">
        <v>313676</v>
      </c>
      <c r="M394" s="1">
        <v>67.8</v>
      </c>
      <c r="N394" s="1">
        <v>13</v>
      </c>
      <c r="O394" s="1">
        <v>18</v>
      </c>
      <c r="P394" s="1">
        <v>21.1</v>
      </c>
      <c r="Q394" s="11">
        <f>'Table H'!$J$79</f>
        <v>0.95769336517730308</v>
      </c>
      <c r="R394" s="11">
        <f t="shared" si="12"/>
        <v>300405.4240153557</v>
      </c>
      <c r="S394" s="11" t="str">
        <f t="shared" si="13"/>
        <v>Letchworth UD</v>
      </c>
      <c r="T394" s="11" t="s">
        <v>5214</v>
      </c>
      <c r="V394" s="11" t="str">
        <f>INDEX('Lookup 1961'!$A$2:$A$1300, MATCH(S394, 'Lookup 1961'!$B$2:$B$1300,0))</f>
        <v>J04000737</v>
      </c>
      <c r="W394" s="11" t="str">
        <f>INDEX('Lookup 1961'!$F$2:$F$1300, MATCH(S394, 'Lookup 1961'!$B$2:$B$1300,0))</f>
        <v>e170466</v>
      </c>
      <c r="X394" s="11" t="str">
        <f>INDEX('Lookup 1961'!$C$2:$C$1300, MATCH(V394, 'Lookup 1961'!$A$2:$A$1300,0))</f>
        <v>Hertfordshire</v>
      </c>
    </row>
    <row r="395" spans="1:24" ht="25.05" customHeight="1" x14ac:dyDescent="0.3">
      <c r="A395" s="2" t="s">
        <v>397</v>
      </c>
      <c r="B395" s="2" t="s">
        <v>397</v>
      </c>
      <c r="C395" s="1">
        <v>26</v>
      </c>
      <c r="D395" s="1">
        <v>1</v>
      </c>
      <c r="E395" s="1">
        <v>17</v>
      </c>
      <c r="F395" s="1">
        <v>6</v>
      </c>
      <c r="K395" s="6">
        <v>2120</v>
      </c>
      <c r="L395" s="6">
        <v>530121</v>
      </c>
      <c r="M395" s="1">
        <v>103.4</v>
      </c>
      <c r="N395" s="1">
        <v>17</v>
      </c>
      <c r="O395" s="1">
        <v>5</v>
      </c>
      <c r="P395" s="1">
        <v>31</v>
      </c>
      <c r="Q395" s="11">
        <f>'Table H'!$J$79</f>
        <v>0.95769336517730308</v>
      </c>
      <c r="R395" s="11">
        <f t="shared" si="12"/>
        <v>507693.36444115709</v>
      </c>
      <c r="S395" s="11" t="str">
        <f t="shared" si="13"/>
        <v>Rickmansworth UD</v>
      </c>
      <c r="T395" s="11" t="s">
        <v>5214</v>
      </c>
      <c r="V395" s="11" t="str">
        <f>INDEX('Lookup 1961'!$A$2:$A$1300, MATCH(S395, 'Lookup 1961'!$B$2:$B$1300,0))</f>
        <v>J04001049</v>
      </c>
      <c r="W395" s="11" t="str">
        <f>INDEX('Lookup 1961'!$F$2:$F$1300, MATCH(S395, 'Lookup 1961'!$B$2:$B$1300,0))</f>
        <v>e170468</v>
      </c>
      <c r="X395" s="11" t="str">
        <f>INDEX('Lookup 1961'!$C$2:$C$1300, MATCH(V395, 'Lookup 1961'!$A$2:$A$1300,0))</f>
        <v>Hertfordshire</v>
      </c>
    </row>
    <row r="396" spans="1:24" ht="25.05" customHeight="1" x14ac:dyDescent="0.3">
      <c r="A396" s="2" t="s">
        <v>398</v>
      </c>
      <c r="B396" s="2" t="s">
        <v>398</v>
      </c>
      <c r="C396" s="1">
        <v>25</v>
      </c>
      <c r="D396" s="1">
        <v>8</v>
      </c>
      <c r="E396" s="1">
        <v>17</v>
      </c>
      <c r="F396" s="1">
        <v>2</v>
      </c>
      <c r="K396" s="1">
        <v>245</v>
      </c>
      <c r="L396" s="6">
        <v>64015</v>
      </c>
      <c r="M396" s="1">
        <v>87.9</v>
      </c>
      <c r="N396" s="1">
        <v>10</v>
      </c>
      <c r="O396" s="1">
        <v>19</v>
      </c>
      <c r="P396" s="1">
        <v>33.299999999999997</v>
      </c>
      <c r="Q396" s="11">
        <f>'Table H'!$J$79</f>
        <v>0.95769336517730308</v>
      </c>
      <c r="R396" s="11">
        <f t="shared" si="12"/>
        <v>61306.740771825054</v>
      </c>
      <c r="S396" s="11" t="str">
        <f t="shared" si="13"/>
        <v>Royston UD</v>
      </c>
      <c r="T396" s="11" t="s">
        <v>5214</v>
      </c>
      <c r="V396" s="11" t="str">
        <f>INDEX('Lookup 1961'!$A$2:$A$1300, MATCH(S396, 'Lookup 1961'!$B$2:$B$1300,0))</f>
        <v>J04001074</v>
      </c>
      <c r="W396" s="11" t="str">
        <f>INDEX('Lookup 1961'!$F$2:$F$1300, MATCH(S396, 'Lookup 1961'!$B$2:$B$1300,0))</f>
        <v>e170469</v>
      </c>
      <c r="X396" s="11" t="str">
        <f>INDEX('Lookup 1961'!$C$2:$C$1300, MATCH(V396, 'Lookup 1961'!$A$2:$A$1300,0))</f>
        <v>Hertfordshire</v>
      </c>
    </row>
    <row r="397" spans="1:24" ht="25.05" customHeight="1" x14ac:dyDescent="0.3">
      <c r="A397" s="2" t="s">
        <v>399</v>
      </c>
      <c r="B397" s="2" t="s">
        <v>399</v>
      </c>
      <c r="C397" s="1">
        <v>22</v>
      </c>
      <c r="D397" s="1">
        <v>4</v>
      </c>
      <c r="E397" s="1">
        <v>14</v>
      </c>
      <c r="F397" s="1">
        <v>8</v>
      </c>
      <c r="K397" s="1">
        <v>180</v>
      </c>
      <c r="L397" s="6">
        <v>44481</v>
      </c>
      <c r="M397" s="1">
        <v>74.5</v>
      </c>
      <c r="N397" s="1">
        <v>7</v>
      </c>
      <c r="O397" s="1">
        <v>18</v>
      </c>
      <c r="P397" s="1">
        <v>12.9</v>
      </c>
      <c r="Q397" s="11">
        <f>'Table H'!$J$79</f>
        <v>0.95769336517730308</v>
      </c>
      <c r="R397" s="11">
        <f t="shared" si="12"/>
        <v>42599.15857645162</v>
      </c>
      <c r="S397" s="11" t="str">
        <f t="shared" si="13"/>
        <v>Sawbridgeworth UD</v>
      </c>
      <c r="T397" s="11" t="s">
        <v>5214</v>
      </c>
      <c r="V397" s="11" t="str">
        <f>INDEX('Lookup 1961'!$A$2:$A$1300, MATCH(S397, 'Lookup 1961'!$B$2:$B$1300,0))</f>
        <v>J04001104</v>
      </c>
      <c r="W397" s="11" t="str">
        <f>INDEX('Lookup 1961'!$F$2:$F$1300, MATCH(S397, 'Lookup 1961'!$B$2:$B$1300,0))</f>
        <v>e170471</v>
      </c>
      <c r="X397" s="11" t="str">
        <f>INDEX('Lookup 1961'!$C$2:$C$1300, MATCH(V397, 'Lookup 1961'!$A$2:$A$1300,0))</f>
        <v>Hertfordshire</v>
      </c>
    </row>
    <row r="398" spans="1:24" ht="25.05" customHeight="1" x14ac:dyDescent="0.3">
      <c r="A398" s="2" t="s">
        <v>400</v>
      </c>
      <c r="B398" s="2" t="s">
        <v>400</v>
      </c>
      <c r="C398" s="1">
        <v>25</v>
      </c>
      <c r="D398" s="1">
        <v>0</v>
      </c>
      <c r="E398" s="1">
        <v>17</v>
      </c>
      <c r="F398" s="1">
        <v>9</v>
      </c>
      <c r="K398" s="6">
        <v>1115</v>
      </c>
      <c r="L398" s="6">
        <v>262987</v>
      </c>
      <c r="M398" s="1">
        <v>147.19999999999999</v>
      </c>
      <c r="N398" s="1">
        <v>10</v>
      </c>
      <c r="O398" s="1">
        <v>17</v>
      </c>
      <c r="P398" s="1">
        <v>28.6</v>
      </c>
      <c r="Q398" s="11">
        <f>'Table H'!$J$79</f>
        <v>0.95769336517730308</v>
      </c>
      <c r="R398" s="11">
        <f t="shared" si="12"/>
        <v>251860.90502788342</v>
      </c>
      <c r="S398" s="11" t="str">
        <f t="shared" si="13"/>
        <v>Stevenage UD</v>
      </c>
      <c r="T398" s="11" t="s">
        <v>5214</v>
      </c>
      <c r="V398" s="11" t="str">
        <f>INDEX('Lookup 1961'!$A$2:$A$1300, MATCH(S398, 'Lookup 1961'!$B$2:$B$1300,0))</f>
        <v>J04001207</v>
      </c>
      <c r="W398" s="11" t="str">
        <f>INDEX('Lookup 1961'!$F$2:$F$1300, MATCH(S398, 'Lookup 1961'!$B$2:$B$1300,0))</f>
        <v>e170472</v>
      </c>
      <c r="X398" s="11" t="str">
        <f>INDEX('Lookup 1961'!$C$2:$C$1300, MATCH(V398, 'Lookup 1961'!$A$2:$A$1300,0))</f>
        <v>Hertfordshire</v>
      </c>
    </row>
    <row r="399" spans="1:24" ht="25.05" customHeight="1" x14ac:dyDescent="0.3">
      <c r="A399" s="2" t="s">
        <v>401</v>
      </c>
      <c r="B399" s="2" t="s">
        <v>401</v>
      </c>
      <c r="C399" s="1">
        <v>23</v>
      </c>
      <c r="D399" s="1">
        <v>4</v>
      </c>
      <c r="E399" s="1">
        <v>16</v>
      </c>
      <c r="F399" s="1">
        <v>0</v>
      </c>
      <c r="K399" s="1">
        <v>232</v>
      </c>
      <c r="L399" s="6">
        <v>58726</v>
      </c>
      <c r="M399" s="1">
        <v>79</v>
      </c>
      <c r="N399" s="1">
        <v>8</v>
      </c>
      <c r="O399" s="1">
        <v>9</v>
      </c>
      <c r="P399" s="1">
        <v>19.5</v>
      </c>
      <c r="Q399" s="11">
        <f>'Table H'!$J$79</f>
        <v>0.95769336517730308</v>
      </c>
      <c r="R399" s="11">
        <f t="shared" si="12"/>
        <v>56241.500563402304</v>
      </c>
      <c r="S399" s="11" t="str">
        <f t="shared" si="13"/>
        <v>Tring UD</v>
      </c>
      <c r="T399" s="11" t="s">
        <v>5214</v>
      </c>
      <c r="V399" s="11" t="str">
        <f>INDEX('Lookup 1961'!$A$2:$A$1300, MATCH(S399, 'Lookup 1961'!$B$2:$B$1300,0))</f>
        <v>J04001297</v>
      </c>
      <c r="W399" s="11" t="str">
        <f>INDEX('Lookup 1961'!$F$2:$F$1300, MATCH(S399, 'Lookup 1961'!$B$2:$B$1300,0))</f>
        <v>e170474</v>
      </c>
      <c r="X399" s="11" t="str">
        <f>INDEX('Lookup 1961'!$C$2:$C$1300, MATCH(V399, 'Lookup 1961'!$A$2:$A$1300,0))</f>
        <v>Hertfordshire</v>
      </c>
    </row>
    <row r="400" spans="1:24" ht="25.05" customHeight="1" x14ac:dyDescent="0.3">
      <c r="A400" s="2" t="s">
        <v>402</v>
      </c>
      <c r="B400" s="2" t="s">
        <v>402</v>
      </c>
      <c r="C400" s="1">
        <v>26</v>
      </c>
      <c r="D400" s="1">
        <v>8</v>
      </c>
      <c r="E400" s="1">
        <v>18</v>
      </c>
      <c r="F400" s="1">
        <v>6</v>
      </c>
      <c r="K400" s="1">
        <v>404</v>
      </c>
      <c r="L400" s="6">
        <v>98567</v>
      </c>
      <c r="M400" s="1">
        <v>70.400000000000006</v>
      </c>
      <c r="N400" s="1">
        <v>10</v>
      </c>
      <c r="O400" s="1">
        <v>3</v>
      </c>
      <c r="P400" s="1">
        <v>12.3</v>
      </c>
      <c r="Q400" s="11">
        <f>'Table H'!$J$79</f>
        <v>0.95769336517730308</v>
      </c>
      <c r="R400" s="11">
        <f t="shared" si="12"/>
        <v>94396.961925431227</v>
      </c>
      <c r="S400" s="11" t="str">
        <f t="shared" si="13"/>
        <v>Ware UD</v>
      </c>
      <c r="T400" s="11" t="s">
        <v>5214</v>
      </c>
      <c r="V400" s="11" t="str">
        <f>INDEX('Lookup 1961'!$A$2:$A$1300, MATCH(S400, 'Lookup 1961'!$B$2:$B$1300,0))</f>
        <v>J04001340</v>
      </c>
      <c r="W400" s="11" t="str">
        <f>INDEX('Lookup 1961'!$F$2:$F$1300, MATCH(S400, 'Lookup 1961'!$B$2:$B$1300,0))</f>
        <v>e170475</v>
      </c>
      <c r="X400" s="11" t="str">
        <f>INDEX('Lookup 1961'!$C$2:$C$1300, MATCH(V400, 'Lookup 1961'!$A$2:$A$1300,0))</f>
        <v>Hertfordshire</v>
      </c>
    </row>
    <row r="401" spans="1:24" ht="25.05" customHeight="1" x14ac:dyDescent="0.3">
      <c r="A401" s="2" t="s">
        <v>403</v>
      </c>
      <c r="B401" s="2" t="s">
        <v>403</v>
      </c>
      <c r="C401" s="1">
        <v>24</v>
      </c>
      <c r="D401" s="1">
        <v>10</v>
      </c>
      <c r="E401" s="1">
        <v>17</v>
      </c>
      <c r="F401" s="1">
        <v>0</v>
      </c>
      <c r="K401" s="6">
        <v>1720</v>
      </c>
      <c r="L401" s="6">
        <v>399867</v>
      </c>
      <c r="M401" s="1">
        <v>77</v>
      </c>
      <c r="N401" s="1">
        <v>13</v>
      </c>
      <c r="O401" s="1">
        <v>8</v>
      </c>
      <c r="P401" s="1">
        <v>6</v>
      </c>
      <c r="Q401" s="11">
        <f>'Table H'!$J$79</f>
        <v>0.95769336517730308</v>
      </c>
      <c r="R401" s="11">
        <f t="shared" si="12"/>
        <v>382949.97285335266</v>
      </c>
      <c r="S401" s="11" t="str">
        <f t="shared" si="13"/>
        <v>Welwyn Garden City UD</v>
      </c>
      <c r="T401" s="11" t="s">
        <v>5214</v>
      </c>
      <c r="V401" s="11" t="str">
        <f>INDEX('Lookup 1961'!$A$2:$A$1300, MATCH(S401, 'Lookup 1961'!$B$2:$B$1300,0))</f>
        <v>J04001372</v>
      </c>
      <c r="W401" s="11" t="str">
        <f>INDEX('Lookup 1961'!$F$2:$F$1300, MATCH(S401, 'Lookup 1961'!$B$2:$B$1300,0))</f>
        <v>e170477</v>
      </c>
      <c r="X401" s="11" t="str">
        <f>INDEX('Lookup 1961'!$C$2:$C$1300, MATCH(V401, 'Lookup 1961'!$A$2:$A$1300,0))</f>
        <v>Hertfordshire</v>
      </c>
    </row>
    <row r="402" spans="1:24" ht="25.05" customHeight="1" x14ac:dyDescent="0.3">
      <c r="A402" s="2" t="s">
        <v>404</v>
      </c>
      <c r="B402" s="2" t="s">
        <v>404</v>
      </c>
      <c r="S402" s="11" t="str">
        <f t="shared" si="13"/>
        <v xml:space="preserve">HUNTINGDON: </v>
      </c>
      <c r="V402" s="11" t="e">
        <f>INDEX('Lookup 1961'!$A$2:$A$1300, MATCH(S402, 'Lookup 1961'!$B$2:$B$1300,0))</f>
        <v>#N/A</v>
      </c>
      <c r="W402" s="11" t="e">
        <f>INDEX('Lookup 1961'!$F$2:$F$1300, MATCH(S402, 'Lookup 1961'!$B$2:$B$1300,0))</f>
        <v>#N/A</v>
      </c>
      <c r="X402" s="11" t="e">
        <f>INDEX('Lookup 1961'!$C$2:$C$1300, MATCH(V402, 'Lookup 1961'!$A$2:$A$1300,0))</f>
        <v>#N/A</v>
      </c>
    </row>
    <row r="403" spans="1:24" ht="25.05" customHeight="1" x14ac:dyDescent="0.3">
      <c r="A403" s="2" t="s">
        <v>146</v>
      </c>
      <c r="B403" s="2" t="s">
        <v>5257</v>
      </c>
      <c r="S403" s="11" t="str">
        <f t="shared" si="13"/>
        <v xml:space="preserve">Non County Boroughs  </v>
      </c>
      <c r="V403" s="11" t="e">
        <f>INDEX('Lookup 1961'!$A$2:$A$1300, MATCH(S403, 'Lookup 1961'!$B$2:$B$1300,0))</f>
        <v>#N/A</v>
      </c>
      <c r="W403" s="11" t="e">
        <f>INDEX('Lookup 1961'!$F$2:$F$1300, MATCH(S403, 'Lookup 1961'!$B$2:$B$1300,0))</f>
        <v>#N/A</v>
      </c>
      <c r="X403" s="11" t="e">
        <f>INDEX('Lookup 1961'!$C$2:$C$1300, MATCH(V403, 'Lookup 1961'!$A$2:$A$1300,0))</f>
        <v>#N/A</v>
      </c>
    </row>
    <row r="404" spans="1:24" ht="25.05" customHeight="1" x14ac:dyDescent="0.3">
      <c r="A404" s="2" t="s">
        <v>405</v>
      </c>
      <c r="B404" s="13" t="s">
        <v>405</v>
      </c>
      <c r="C404" s="14">
        <v>29</v>
      </c>
      <c r="D404" s="14">
        <v>2</v>
      </c>
      <c r="E404" s="14">
        <v>19</v>
      </c>
      <c r="F404" s="14">
        <v>6</v>
      </c>
      <c r="G404" s="14"/>
      <c r="H404" s="14"/>
      <c r="I404" s="14"/>
      <c r="J404" s="14"/>
      <c r="K404" s="14">
        <v>83</v>
      </c>
      <c r="L404" s="15">
        <v>21126</v>
      </c>
      <c r="M404" s="14">
        <v>88.5</v>
      </c>
      <c r="N404" s="14">
        <v>8</v>
      </c>
      <c r="O404" s="14">
        <v>4</v>
      </c>
      <c r="P404" s="14">
        <v>22.2</v>
      </c>
      <c r="Q404" s="11">
        <f>'Table H'!$J$83</f>
        <v>0.91525617566331197</v>
      </c>
      <c r="R404" s="11">
        <f t="shared" si="12"/>
        <v>19335.701967063127</v>
      </c>
      <c r="S404" s="14" t="str">
        <f t="shared" si="13"/>
        <v>Godmanchester MB</v>
      </c>
      <c r="T404" s="14" t="s">
        <v>5211</v>
      </c>
      <c r="U404" s="14"/>
      <c r="V404" t="s">
        <v>1445</v>
      </c>
      <c r="W404" t="s">
        <v>1447</v>
      </c>
      <c r="X404" s="11" t="str">
        <f>INDEX('Lookup 1961'!$C$2:$C$1300, MATCH(V404, 'Lookup 1961'!$A$2:$A$1300,0))</f>
        <v>Cambridgeshire</v>
      </c>
    </row>
    <row r="405" spans="1:24" ht="25.05" customHeight="1" x14ac:dyDescent="0.3">
      <c r="A405" s="2" t="s">
        <v>406</v>
      </c>
      <c r="B405" s="13" t="s">
        <v>406</v>
      </c>
      <c r="C405" s="14">
        <v>29</v>
      </c>
      <c r="D405" s="14">
        <v>8</v>
      </c>
      <c r="E405" s="14">
        <v>19</v>
      </c>
      <c r="F405" s="14">
        <v>0</v>
      </c>
      <c r="G405" s="14"/>
      <c r="H405" s="14"/>
      <c r="I405" s="14"/>
      <c r="J405" s="14"/>
      <c r="K405" s="14">
        <v>331</v>
      </c>
      <c r="L405" s="15">
        <v>82080</v>
      </c>
      <c r="M405" s="14">
        <v>117.5</v>
      </c>
      <c r="N405" s="14">
        <v>13</v>
      </c>
      <c r="O405" s="14">
        <v>8</v>
      </c>
      <c r="P405" s="14">
        <v>34.700000000000003</v>
      </c>
      <c r="Q405" s="11">
        <f>'Table H'!$J$83</f>
        <v>0.91525617566331197</v>
      </c>
      <c r="R405" s="11">
        <f t="shared" si="12"/>
        <v>75124.226898444642</v>
      </c>
      <c r="S405" s="14" t="str">
        <f t="shared" si="13"/>
        <v>Huntingdon MB</v>
      </c>
      <c r="T405" s="14" t="s">
        <v>5211</v>
      </c>
      <c r="U405" s="14"/>
      <c r="V405" t="s">
        <v>1445</v>
      </c>
      <c r="W405" t="s">
        <v>1447</v>
      </c>
      <c r="X405" s="11" t="str">
        <f>INDEX('Lookup 1961'!$C$2:$C$1300, MATCH(V405, 'Lookup 1961'!$A$2:$A$1300,0))</f>
        <v>Cambridgeshire</v>
      </c>
    </row>
    <row r="406" spans="1:24" ht="25.05" customHeight="1" x14ac:dyDescent="0.3">
      <c r="A406" s="2" t="s">
        <v>221</v>
      </c>
      <c r="B406" s="2" t="s">
        <v>221</v>
      </c>
      <c r="C406" s="1">
        <v>26</v>
      </c>
      <c r="D406" s="1">
        <v>0</v>
      </c>
      <c r="E406" s="1">
        <v>15</v>
      </c>
      <c r="F406" s="1">
        <v>6</v>
      </c>
      <c r="K406" s="1">
        <v>208</v>
      </c>
      <c r="L406" s="6">
        <v>54186</v>
      </c>
      <c r="M406" s="1">
        <v>146</v>
      </c>
      <c r="N406" s="1">
        <v>12</v>
      </c>
      <c r="O406" s="1">
        <v>4</v>
      </c>
      <c r="P406" s="1">
        <v>41.6</v>
      </c>
      <c r="Q406" s="11">
        <f>'Table H'!$J$83</f>
        <v>0.91525617566331197</v>
      </c>
      <c r="R406" s="11">
        <f t="shared" si="12"/>
        <v>49594.071134492224</v>
      </c>
      <c r="S406" s="11" t="str">
        <f t="shared" si="13"/>
        <v>St. Ives MB</v>
      </c>
      <c r="T406" s="11" t="s">
        <v>5211</v>
      </c>
      <c r="V406" s="11" t="str">
        <f>INDEX('Lookup 1961'!$A$2:$A$1300, MATCH(S406, 'Lookup 1961'!$B$2:$B$1300,0))</f>
        <v>J04001188</v>
      </c>
      <c r="W406" s="11" t="str">
        <f>INDEX('Lookup 1961'!$F$2:$F$1300, MATCH(S406, 'Lookup 1961'!$B$2:$B$1300,0))</f>
        <v>e180501</v>
      </c>
      <c r="X406" s="11" t="str">
        <f>INDEX('Lookup 1961'!$C$2:$C$1300, MATCH(V406, 'Lookup 1961'!$A$2:$A$1300,0))</f>
        <v>Cambridgeshire</v>
      </c>
    </row>
    <row r="407" spans="1:24" ht="25.05" customHeight="1" x14ac:dyDescent="0.3">
      <c r="A407" s="2" t="s">
        <v>150</v>
      </c>
      <c r="B407" s="2" t="s">
        <v>1221</v>
      </c>
      <c r="S407" s="11" t="str">
        <f t="shared" si="13"/>
        <v xml:space="preserve">Urban Districts  </v>
      </c>
      <c r="V407" s="11" t="e">
        <f>INDEX('Lookup 1961'!$A$2:$A$1300, MATCH(S407, 'Lookup 1961'!$B$2:$B$1300,0))</f>
        <v>#N/A</v>
      </c>
      <c r="W407" s="11" t="e">
        <f>INDEX('Lookup 1961'!$F$2:$F$1300, MATCH(S407, 'Lookup 1961'!$B$2:$B$1300,0))</f>
        <v>#N/A</v>
      </c>
      <c r="X407" s="11" t="e">
        <f>INDEX('Lookup 1961'!$C$2:$C$1300, MATCH(V407, 'Lookup 1961'!$A$2:$A$1300,0))</f>
        <v>#N/A</v>
      </c>
    </row>
    <row r="408" spans="1:24" ht="25.05" customHeight="1" x14ac:dyDescent="0.3">
      <c r="A408" s="2" t="s">
        <v>407</v>
      </c>
      <c r="B408" s="2" t="s">
        <v>407</v>
      </c>
      <c r="C408" s="1">
        <v>25</v>
      </c>
      <c r="D408" s="1">
        <v>6</v>
      </c>
      <c r="E408" s="1">
        <v>15</v>
      </c>
      <c r="F408" s="1">
        <v>0</v>
      </c>
      <c r="K408" s="1">
        <v>470</v>
      </c>
      <c r="L408" s="6">
        <v>123506</v>
      </c>
      <c r="M408" s="1">
        <v>130.19999999999999</v>
      </c>
      <c r="N408" s="1">
        <v>9</v>
      </c>
      <c r="O408" s="1">
        <v>4</v>
      </c>
      <c r="P408" s="1">
        <v>31.8</v>
      </c>
      <c r="Q408" s="11">
        <f>'Table H'!J84</f>
        <v>0.81720366762467023</v>
      </c>
      <c r="R408" s="11">
        <f t="shared" si="12"/>
        <v>100929.55617365253</v>
      </c>
      <c r="S408" s="11" t="str">
        <f t="shared" si="13"/>
        <v>Old Fletton UD</v>
      </c>
      <c r="T408" s="11" t="s">
        <v>5214</v>
      </c>
      <c r="V408" s="11" t="str">
        <f>INDEX('Lookup 1961'!$A$2:$A$1300, MATCH(S408, 'Lookup 1961'!$B$2:$B$1300,0))</f>
        <v>J04000952</v>
      </c>
      <c r="W408" s="11" t="str">
        <f>INDEX('Lookup 1961'!$F$2:$F$1300, MATCH(S408, 'Lookup 1961'!$B$2:$B$1300,0))</f>
        <v>e180496</v>
      </c>
      <c r="X408" s="11" t="str">
        <f>INDEX('Lookup 1961'!$C$2:$C$1300, MATCH(V408, 'Lookup 1961'!$A$2:$A$1300,0))</f>
        <v>Cambridgeshire</v>
      </c>
    </row>
    <row r="409" spans="1:24" ht="25.05" customHeight="1" x14ac:dyDescent="0.3">
      <c r="A409" s="2" t="s">
        <v>408</v>
      </c>
      <c r="B409" s="2" t="s">
        <v>408</v>
      </c>
      <c r="C409" s="1">
        <v>31</v>
      </c>
      <c r="D409" s="1">
        <v>6</v>
      </c>
      <c r="E409" s="1">
        <v>20</v>
      </c>
      <c r="F409" s="1">
        <v>0</v>
      </c>
      <c r="K409" s="1">
        <v>176</v>
      </c>
      <c r="L409" s="6">
        <v>48205</v>
      </c>
      <c r="M409" s="1">
        <v>110.8</v>
      </c>
      <c r="N409" s="1">
        <v>7</v>
      </c>
      <c r="O409" s="1">
        <v>14</v>
      </c>
      <c r="P409" s="1">
        <v>31.1</v>
      </c>
      <c r="Q409" s="11">
        <f>'Table H'!J85</f>
        <v>0.74668124162924443</v>
      </c>
      <c r="R409" s="11">
        <f t="shared" si="12"/>
        <v>35993.769252737729</v>
      </c>
      <c r="S409" s="11" t="str">
        <f t="shared" si="13"/>
        <v>Ramsey UD</v>
      </c>
      <c r="T409" s="11" t="s">
        <v>5214</v>
      </c>
      <c r="V409" s="11" t="str">
        <f>INDEX('Lookup 1961'!$A$2:$A$1300, MATCH(S409, 'Lookup 1961'!$B$2:$B$1300,0))</f>
        <v>J04001030</v>
      </c>
      <c r="W409" s="11" t="str">
        <f>INDEX('Lookup 1961'!$F$2:$F$1300, MATCH(S409, 'Lookup 1961'!$B$2:$B$1300,0))</f>
        <v>e180500</v>
      </c>
      <c r="X409" s="11" t="str">
        <f>INDEX('Lookup 1961'!$C$2:$C$1300, MATCH(V409, 'Lookup 1961'!$A$2:$A$1300,0))</f>
        <v>Cambridgeshire</v>
      </c>
    </row>
    <row r="410" spans="1:24" ht="25.05" customHeight="1" x14ac:dyDescent="0.3">
      <c r="A410" s="2" t="s">
        <v>409</v>
      </c>
      <c r="B410" s="2" t="s">
        <v>409</v>
      </c>
      <c r="C410" s="1">
        <v>28</v>
      </c>
      <c r="D410" s="1">
        <v>6</v>
      </c>
      <c r="E410" s="1">
        <v>17</v>
      </c>
      <c r="F410" s="1">
        <v>2</v>
      </c>
      <c r="K410" s="1">
        <v>250</v>
      </c>
      <c r="L410" s="6">
        <v>65936</v>
      </c>
      <c r="M410" s="1">
        <v>114.2</v>
      </c>
      <c r="N410" s="1">
        <v>10</v>
      </c>
      <c r="O410" s="1">
        <v>5</v>
      </c>
      <c r="P410" s="1">
        <v>22.9</v>
      </c>
      <c r="Q410" s="11">
        <f>'Table H'!J86</f>
        <v>0.80855573548139059</v>
      </c>
      <c r="R410" s="11">
        <f t="shared" si="12"/>
        <v>53312.930974700968</v>
      </c>
      <c r="S410" s="11" t="str">
        <f t="shared" si="13"/>
        <v>St. Neots UD</v>
      </c>
      <c r="T410" s="11" t="s">
        <v>5214</v>
      </c>
      <c r="V410" s="11" t="str">
        <f>INDEX('Lookup 1961'!$A$2:$A$1300, MATCH(S410, 'Lookup 1961'!$B$2:$B$1300,0))</f>
        <v>J04001193</v>
      </c>
      <c r="W410" s="11" t="str">
        <f>INDEX('Lookup 1961'!$F$2:$F$1300, MATCH(S410, 'Lookup 1961'!$B$2:$B$1300,0))</f>
        <v>e180502</v>
      </c>
      <c r="X410" s="11" t="str">
        <f>INDEX('Lookup 1961'!$C$2:$C$1300, MATCH(V410, 'Lookup 1961'!$A$2:$A$1300,0))</f>
        <v>Cambridgeshire</v>
      </c>
    </row>
    <row r="411" spans="1:24" ht="25.05" customHeight="1" x14ac:dyDescent="0.3">
      <c r="A411" s="2" t="s">
        <v>410</v>
      </c>
      <c r="B411" s="2" t="s">
        <v>410</v>
      </c>
      <c r="S411" s="11" t="str">
        <f t="shared" si="13"/>
        <v xml:space="preserve">ISLE OF ELY: </v>
      </c>
      <c r="V411" s="11" t="e">
        <f>INDEX('Lookup 1961'!$A$2:$A$1300, MATCH(S411, 'Lookup 1961'!$B$2:$B$1300,0))</f>
        <v>#N/A</v>
      </c>
      <c r="W411" s="11" t="e">
        <f>INDEX('Lookup 1961'!$F$2:$F$1300, MATCH(S411, 'Lookup 1961'!$B$2:$B$1300,0))</f>
        <v>#N/A</v>
      </c>
      <c r="X411" s="11" t="e">
        <f>INDEX('Lookup 1961'!$C$2:$C$1300, MATCH(V411, 'Lookup 1961'!$A$2:$A$1300,0))</f>
        <v>#N/A</v>
      </c>
    </row>
    <row r="412" spans="1:24" ht="25.05" customHeight="1" x14ac:dyDescent="0.3">
      <c r="A412" s="2" t="s">
        <v>146</v>
      </c>
      <c r="B412" s="2" t="s">
        <v>5257</v>
      </c>
      <c r="S412" s="11" t="str">
        <f t="shared" si="13"/>
        <v xml:space="preserve">Non County Boroughs  </v>
      </c>
      <c r="V412" s="11" t="e">
        <f>INDEX('Lookup 1961'!$A$2:$A$1300, MATCH(S412, 'Lookup 1961'!$B$2:$B$1300,0))</f>
        <v>#N/A</v>
      </c>
      <c r="W412" s="11" t="e">
        <f>INDEX('Lookup 1961'!$F$2:$F$1300, MATCH(S412, 'Lookup 1961'!$B$2:$B$1300,0))</f>
        <v>#N/A</v>
      </c>
      <c r="X412" s="11" t="e">
        <f>INDEX('Lookup 1961'!$C$2:$C$1300, MATCH(V412, 'Lookup 1961'!$A$2:$A$1300,0))</f>
        <v>#N/A</v>
      </c>
    </row>
    <row r="413" spans="1:24" ht="25.05" customHeight="1" x14ac:dyDescent="0.3">
      <c r="A413" s="2" t="s">
        <v>411</v>
      </c>
      <c r="B413" s="2" t="s">
        <v>411</v>
      </c>
      <c r="C413" s="1">
        <v>30</v>
      </c>
      <c r="D413" s="1">
        <v>6</v>
      </c>
      <c r="E413" s="1">
        <v>18</v>
      </c>
      <c r="F413" s="1">
        <v>10</v>
      </c>
      <c r="K413" s="6">
        <v>1050</v>
      </c>
      <c r="L413" s="6">
        <v>260063</v>
      </c>
      <c r="M413" s="1">
        <v>185.2</v>
      </c>
      <c r="N413" s="1">
        <v>14</v>
      </c>
      <c r="O413" s="1">
        <v>0</v>
      </c>
      <c r="P413" s="1">
        <v>78.8</v>
      </c>
      <c r="Q413" s="11">
        <f>'Table H'!$J$88</f>
        <v>0.93358532355621526</v>
      </c>
      <c r="R413" s="11">
        <f t="shared" si="12"/>
        <v>242791</v>
      </c>
      <c r="S413" s="11" t="str">
        <f t="shared" si="13"/>
        <v>Wisbech MB</v>
      </c>
      <c r="T413" s="11" t="s">
        <v>5211</v>
      </c>
      <c r="V413" s="11" t="str">
        <f>INDEX('Lookup 1961'!$A$2:$A$1300, MATCH(S413, 'Lookup 1961'!$B$2:$B$1300,0))</f>
        <v>J04001431</v>
      </c>
      <c r="W413" s="11" t="str">
        <f>INDEX('Lookup 1961'!$F$2:$F$1300, MATCH(S413, 'Lookup 1961'!$B$2:$B$1300,0))</f>
        <v>e040061</v>
      </c>
      <c r="X413" s="11" t="str">
        <f>INDEX('Lookup 1961'!$C$2:$C$1300, MATCH(V413, 'Lookup 1961'!$A$2:$A$1300,0))</f>
        <v>Cambridgeshire</v>
      </c>
    </row>
    <row r="414" spans="1:24" ht="25.05" customHeight="1" x14ac:dyDescent="0.3">
      <c r="A414" s="2" t="s">
        <v>150</v>
      </c>
      <c r="B414" s="2" t="s">
        <v>1221</v>
      </c>
      <c r="S414" s="11" t="str">
        <f t="shared" si="13"/>
        <v xml:space="preserve">Urban Districts  </v>
      </c>
      <c r="V414" s="11" t="e">
        <f>INDEX('Lookup 1961'!$A$2:$A$1300, MATCH(S414, 'Lookup 1961'!$B$2:$B$1300,0))</f>
        <v>#N/A</v>
      </c>
      <c r="W414" s="11" t="e">
        <f>INDEX('Lookup 1961'!$F$2:$F$1300, MATCH(S414, 'Lookup 1961'!$B$2:$B$1300,0))</f>
        <v>#N/A</v>
      </c>
      <c r="X414" s="11" t="e">
        <f>INDEX('Lookup 1961'!$C$2:$C$1300, MATCH(V414, 'Lookup 1961'!$A$2:$A$1300,0))</f>
        <v>#N/A</v>
      </c>
    </row>
    <row r="415" spans="1:24" ht="25.05" customHeight="1" x14ac:dyDescent="0.3">
      <c r="A415" s="2" t="s">
        <v>412</v>
      </c>
      <c r="B415" s="2" t="s">
        <v>412</v>
      </c>
      <c r="C415" s="1">
        <v>22</v>
      </c>
      <c r="D415" s="1">
        <v>0</v>
      </c>
      <c r="E415" s="1">
        <v>15</v>
      </c>
      <c r="F415" s="1">
        <v>0</v>
      </c>
      <c r="K415" s="1">
        <v>216</v>
      </c>
      <c r="L415" s="6">
        <v>55051</v>
      </c>
      <c r="M415" s="1">
        <v>169.8</v>
      </c>
      <c r="N415" s="1">
        <v>7</v>
      </c>
      <c r="O415" s="1">
        <v>5</v>
      </c>
      <c r="P415" s="1">
        <v>86.9</v>
      </c>
      <c r="Q415" s="11">
        <f>'Table H'!$J$89</f>
        <v>0.90765533400185128</v>
      </c>
      <c r="R415" s="11">
        <f t="shared" si="12"/>
        <v>49967.333792135913</v>
      </c>
      <c r="S415" s="11" t="str">
        <f t="shared" si="13"/>
        <v>Chatteris UD</v>
      </c>
      <c r="T415" s="11" t="s">
        <v>5214</v>
      </c>
      <c r="V415" s="11" t="str">
        <f>INDEX('Lookup 1961'!$A$2:$A$1300, MATCH(S415, 'Lookup 1961'!$B$2:$B$1300,0))</f>
        <v>J04000285</v>
      </c>
      <c r="W415" s="11" t="str">
        <f>INDEX('Lookup 1961'!$F$2:$F$1300, MATCH(S415, 'Lookup 1961'!$B$2:$B$1300,0))</f>
        <v>e040057</v>
      </c>
      <c r="X415" s="11" t="str">
        <f>INDEX('Lookup 1961'!$C$2:$C$1300, MATCH(V415, 'Lookup 1961'!$A$2:$A$1300,0))</f>
        <v>Cambridgeshire</v>
      </c>
    </row>
    <row r="416" spans="1:24" ht="25.05" customHeight="1" x14ac:dyDescent="0.3">
      <c r="A416" s="2" t="s">
        <v>413</v>
      </c>
      <c r="B416" s="2" t="s">
        <v>413</v>
      </c>
      <c r="C416" s="1">
        <v>21</v>
      </c>
      <c r="D416" s="1">
        <v>0</v>
      </c>
      <c r="E416" s="1">
        <v>15</v>
      </c>
      <c r="F416" s="1">
        <v>0</v>
      </c>
      <c r="K416" s="1">
        <v>472</v>
      </c>
      <c r="L416" s="6">
        <v>122971</v>
      </c>
      <c r="M416" s="1">
        <v>129.80000000000001</v>
      </c>
      <c r="N416" s="1">
        <v>8</v>
      </c>
      <c r="O416" s="1">
        <v>10</v>
      </c>
      <c r="P416" s="1">
        <v>62.3</v>
      </c>
      <c r="Q416" s="11">
        <f>'Table H'!$J$89</f>
        <v>0.90765533400185128</v>
      </c>
      <c r="R416" s="11">
        <f t="shared" si="12"/>
        <v>111615.28407754166</v>
      </c>
      <c r="S416" s="11" t="str">
        <f t="shared" si="13"/>
        <v>Ely UD</v>
      </c>
      <c r="T416" s="11" t="s">
        <v>5214</v>
      </c>
      <c r="V416" s="11" t="str">
        <f>INDEX('Lookup 1961'!$A$2:$A$1300, MATCH(S416, 'Lookup 1961'!$B$2:$B$1300,0))</f>
        <v>J04000472</v>
      </c>
      <c r="W416" s="11" t="str">
        <f>INDEX('Lookup 1961'!$F$2:$F$1300, MATCH(S416, 'Lookup 1961'!$B$2:$B$1300,0))</f>
        <v>e040058</v>
      </c>
      <c r="X416" s="11" t="str">
        <f>INDEX('Lookup 1961'!$C$2:$C$1300, MATCH(V416, 'Lookup 1961'!$A$2:$A$1300,0))</f>
        <v>Cambridgeshire</v>
      </c>
    </row>
    <row r="417" spans="1:24" ht="25.05" customHeight="1" x14ac:dyDescent="0.3">
      <c r="A417" s="2" t="s">
        <v>414</v>
      </c>
      <c r="B417" s="2" t="s">
        <v>414</v>
      </c>
      <c r="C417" s="1">
        <v>29</v>
      </c>
      <c r="D417" s="1">
        <v>0</v>
      </c>
      <c r="E417" s="1">
        <v>18</v>
      </c>
      <c r="F417" s="1">
        <v>6</v>
      </c>
      <c r="K417" s="1">
        <v>598</v>
      </c>
      <c r="L417" s="6">
        <v>146029</v>
      </c>
      <c r="M417" s="1">
        <v>171.5</v>
      </c>
      <c r="N417" s="1">
        <v>10</v>
      </c>
      <c r="O417" s="1">
        <v>0</v>
      </c>
      <c r="P417" s="1">
        <v>72.599999999999994</v>
      </c>
      <c r="Q417" s="11">
        <f>'Table H'!$J$89</f>
        <v>0.90765533400185128</v>
      </c>
      <c r="R417" s="11">
        <f t="shared" si="12"/>
        <v>132544.00076895635</v>
      </c>
      <c r="S417" s="11" t="str">
        <f t="shared" si="13"/>
        <v>March UD</v>
      </c>
      <c r="T417" s="11" t="s">
        <v>5214</v>
      </c>
      <c r="V417" s="11" t="str">
        <f>INDEX('Lookup 1961'!$A$2:$A$1300, MATCH(S417, 'Lookup 1961'!$B$2:$B$1300,0))</f>
        <v>J04000825</v>
      </c>
      <c r="W417" s="11" t="str">
        <f>INDEX('Lookup 1961'!$F$2:$F$1300, MATCH(S417, 'Lookup 1961'!$B$2:$B$1300,0))</f>
        <v>e040059</v>
      </c>
      <c r="X417" s="11" t="str">
        <f>INDEX('Lookup 1961'!$C$2:$C$1300, MATCH(V417, 'Lookup 1961'!$A$2:$A$1300,0))</f>
        <v>Cambridgeshire</v>
      </c>
    </row>
    <row r="418" spans="1:24" ht="25.05" customHeight="1" x14ac:dyDescent="0.3">
      <c r="A418" s="2" t="s">
        <v>415</v>
      </c>
      <c r="B418" s="2" t="s">
        <v>415</v>
      </c>
      <c r="C418" s="1">
        <v>27</v>
      </c>
      <c r="D418" s="1">
        <v>0</v>
      </c>
      <c r="E418" s="1">
        <v>17</v>
      </c>
      <c r="F418" s="1">
        <v>6</v>
      </c>
      <c r="K418" s="1">
        <v>365</v>
      </c>
      <c r="L418" s="6">
        <v>90797</v>
      </c>
      <c r="M418" s="1">
        <v>168.5</v>
      </c>
      <c r="N418" s="1">
        <v>8</v>
      </c>
      <c r="O418" s="1">
        <v>19</v>
      </c>
      <c r="P418" s="1">
        <v>71.3</v>
      </c>
      <c r="Q418" s="11">
        <f>'Table H'!$J$89</f>
        <v>0.90765533400185128</v>
      </c>
      <c r="R418" s="11">
        <f t="shared" si="12"/>
        <v>82412.38136136609</v>
      </c>
      <c r="S418" s="11" t="str">
        <f t="shared" si="13"/>
        <v>Whittlesey UD</v>
      </c>
      <c r="T418" s="11" t="s">
        <v>5214</v>
      </c>
      <c r="V418" s="11" t="str">
        <f>INDEX('Lookup 1961'!$A$2:$A$1300, MATCH(S418, 'Lookup 1961'!$B$2:$B$1300,0))</f>
        <v>J04001406</v>
      </c>
      <c r="W418" s="11" t="str">
        <f>INDEX('Lookup 1961'!$F$2:$F$1300, MATCH(S418, 'Lookup 1961'!$B$2:$B$1300,0))</f>
        <v>e040060</v>
      </c>
      <c r="X418" s="11" t="str">
        <f>INDEX('Lookup 1961'!$C$2:$C$1300, MATCH(V418, 'Lookup 1961'!$A$2:$A$1300,0))</f>
        <v>Cambridgeshire</v>
      </c>
    </row>
    <row r="419" spans="1:24" ht="25.05" customHeight="1" x14ac:dyDescent="0.3">
      <c r="A419" s="2" t="s">
        <v>416</v>
      </c>
      <c r="B419" s="2" t="s">
        <v>416</v>
      </c>
      <c r="S419" s="11" t="str">
        <f t="shared" si="13"/>
        <v xml:space="preserve">ISLE OF WIGHT: </v>
      </c>
      <c r="V419" s="11" t="e">
        <f>INDEX('Lookup 1961'!$A$2:$A$1300, MATCH(S419, 'Lookup 1961'!$B$2:$B$1300,0))</f>
        <v>#N/A</v>
      </c>
      <c r="W419" s="11" t="e">
        <f>INDEX('Lookup 1961'!$F$2:$F$1300, MATCH(S419, 'Lookup 1961'!$B$2:$B$1300,0))</f>
        <v>#N/A</v>
      </c>
      <c r="X419" s="11" t="e">
        <f>INDEX('Lookup 1961'!$C$2:$C$1300, MATCH(V419, 'Lookup 1961'!$A$2:$A$1300,0))</f>
        <v>#N/A</v>
      </c>
    </row>
    <row r="420" spans="1:24" ht="25.05" customHeight="1" x14ac:dyDescent="0.3">
      <c r="A420" s="2" t="s">
        <v>146</v>
      </c>
      <c r="B420" s="2" t="s">
        <v>5257</v>
      </c>
      <c r="S420" s="11" t="str">
        <f t="shared" si="13"/>
        <v xml:space="preserve">Non County Boroughs  </v>
      </c>
      <c r="V420" s="11" t="e">
        <f>INDEX('Lookup 1961'!$A$2:$A$1300, MATCH(S420, 'Lookup 1961'!$B$2:$B$1300,0))</f>
        <v>#N/A</v>
      </c>
      <c r="W420" s="11" t="e">
        <f>INDEX('Lookup 1961'!$F$2:$F$1300, MATCH(S420, 'Lookup 1961'!$B$2:$B$1300,0))</f>
        <v>#N/A</v>
      </c>
      <c r="X420" s="11" t="e">
        <f>INDEX('Lookup 1961'!$C$2:$C$1300, MATCH(V420, 'Lookup 1961'!$A$2:$A$1300,0))</f>
        <v>#N/A</v>
      </c>
    </row>
    <row r="421" spans="1:24" ht="25.05" customHeight="1" x14ac:dyDescent="0.3">
      <c r="A421" s="2" t="s">
        <v>417</v>
      </c>
      <c r="B421" s="2" t="s">
        <v>417</v>
      </c>
      <c r="C421" s="1">
        <v>26</v>
      </c>
      <c r="D421" s="1">
        <v>10</v>
      </c>
      <c r="E421" s="1">
        <v>16</v>
      </c>
      <c r="F421" s="1">
        <v>0</v>
      </c>
      <c r="K421" s="6">
        <v>1240</v>
      </c>
      <c r="L421" s="6">
        <v>296262</v>
      </c>
      <c r="M421" s="1">
        <v>96.3</v>
      </c>
      <c r="N421" s="1">
        <v>11</v>
      </c>
      <c r="O421" s="1">
        <v>18</v>
      </c>
      <c r="P421" s="1">
        <v>16.2</v>
      </c>
      <c r="Q421" s="11">
        <f>'Table H'!$J$93</f>
        <v>0.94834309582469933</v>
      </c>
      <c r="R421" s="11">
        <f t="shared" si="12"/>
        <v>280958.02225521707</v>
      </c>
      <c r="S421" s="11" t="str">
        <f t="shared" si="13"/>
        <v>Newport MB</v>
      </c>
      <c r="T421" s="11" t="s">
        <v>5211</v>
      </c>
      <c r="V421" s="11" t="str">
        <f>INDEX('Lookup 1961'!$A$2:$A$1300, MATCH(S421, 'Lookup 1961'!$B$2:$B$1300,0))</f>
        <v>J04000908</v>
      </c>
      <c r="W421" s="11" t="str">
        <f>INDEX('Lookup 1961'!$F$2:$F$1300, MATCH(S421, 'Lookup 1961'!$B$2:$B$1300,0))</f>
        <v>e411097</v>
      </c>
      <c r="X421" s="11" t="str">
        <f>INDEX('Lookup 1961'!$C$2:$C$1300, MATCH(V421, 'Lookup 1961'!$A$2:$A$1300,0))</f>
        <v>Isle Of Wight</v>
      </c>
    </row>
    <row r="422" spans="1:24" ht="25.05" customHeight="1" x14ac:dyDescent="0.3">
      <c r="A422" s="2" t="s">
        <v>418</v>
      </c>
      <c r="B422" s="2" t="s">
        <v>418</v>
      </c>
      <c r="C422" s="1">
        <v>27</v>
      </c>
      <c r="D422" s="1">
        <v>2</v>
      </c>
      <c r="E422" s="1">
        <v>16</v>
      </c>
      <c r="F422" s="1">
        <v>6</v>
      </c>
      <c r="K422" s="6">
        <v>1255</v>
      </c>
      <c r="L422" s="6">
        <v>316628</v>
      </c>
      <c r="M422" s="1">
        <v>85.9</v>
      </c>
      <c r="N422" s="1">
        <v>12</v>
      </c>
      <c r="O422" s="1">
        <v>14</v>
      </c>
      <c r="P422" s="1">
        <v>11.7</v>
      </c>
      <c r="Q422" s="11">
        <f>'Table H'!$J$93</f>
        <v>0.94834309582469933</v>
      </c>
      <c r="R422" s="11">
        <f t="shared" si="12"/>
        <v>300271.97774478293</v>
      </c>
      <c r="S422" s="11" t="str">
        <f t="shared" si="13"/>
        <v>Ryde MB</v>
      </c>
      <c r="T422" s="11" t="s">
        <v>5211</v>
      </c>
      <c r="V422" s="11" t="str">
        <f>INDEX('Lookup 1961'!$A$2:$A$1300, MATCH(S422, 'Lookup 1961'!$B$2:$B$1300,0))</f>
        <v>J04001086</v>
      </c>
      <c r="W422" s="11" t="str">
        <f>INDEX('Lookup 1961'!$F$2:$F$1300, MATCH(S422, 'Lookup 1961'!$B$2:$B$1300,0))</f>
        <v>e411098</v>
      </c>
      <c r="X422" s="11" t="str">
        <f>INDEX('Lookup 1961'!$C$2:$C$1300, MATCH(V422, 'Lookup 1961'!$A$2:$A$1300,0))</f>
        <v>Isle Of Wight</v>
      </c>
    </row>
    <row r="423" spans="1:24" ht="25.05" customHeight="1" x14ac:dyDescent="0.3">
      <c r="A423" s="2" t="s">
        <v>150</v>
      </c>
      <c r="B423" s="2" t="s">
        <v>1221</v>
      </c>
      <c r="S423" s="11" t="str">
        <f t="shared" si="13"/>
        <v xml:space="preserve">Urban Districts  </v>
      </c>
      <c r="V423" s="11" t="e">
        <f>INDEX('Lookup 1961'!$A$2:$A$1300, MATCH(S423, 'Lookup 1961'!$B$2:$B$1300,0))</f>
        <v>#N/A</v>
      </c>
      <c r="W423" s="11" t="e">
        <f>INDEX('Lookup 1961'!$F$2:$F$1300, MATCH(S423, 'Lookup 1961'!$B$2:$B$1300,0))</f>
        <v>#N/A</v>
      </c>
      <c r="X423" s="11" t="e">
        <f>INDEX('Lookup 1961'!$C$2:$C$1300, MATCH(V423, 'Lookup 1961'!$A$2:$A$1300,0))</f>
        <v>#N/A</v>
      </c>
    </row>
    <row r="424" spans="1:24" ht="25.05" customHeight="1" x14ac:dyDescent="0.3">
      <c r="A424" s="2" t="s">
        <v>419</v>
      </c>
      <c r="B424" s="2" t="s">
        <v>419</v>
      </c>
      <c r="C424" s="1">
        <v>27</v>
      </c>
      <c r="D424" s="1">
        <v>0</v>
      </c>
      <c r="E424" s="1">
        <v>16</v>
      </c>
      <c r="F424" s="1">
        <v>4</v>
      </c>
      <c r="K424" s="1">
        <v>865</v>
      </c>
      <c r="L424" s="6">
        <v>221782</v>
      </c>
      <c r="M424" s="1">
        <v>82.6</v>
      </c>
      <c r="N424" s="1">
        <v>10</v>
      </c>
      <c r="O424" s="1">
        <v>4</v>
      </c>
      <c r="P424" s="1">
        <v>6.4</v>
      </c>
      <c r="Q424" s="11">
        <f>'Table H'!$J$94</f>
        <v>0.95905139463089117</v>
      </c>
      <c r="R424" s="11">
        <f t="shared" si="12"/>
        <v>212700.33640402832</v>
      </c>
      <c r="S424" s="11" t="str">
        <f t="shared" si="13"/>
        <v>Cowes UD</v>
      </c>
      <c r="T424" s="11" t="s">
        <v>5214</v>
      </c>
      <c r="V424" s="11" t="str">
        <f>INDEX('Lookup 1961'!$A$2:$A$1300, MATCH(S424, 'Lookup 1961'!$B$2:$B$1300,0))</f>
        <v>J04000355</v>
      </c>
      <c r="W424" s="11" t="str">
        <f>INDEX('Lookup 1961'!$F$2:$F$1300, MATCH(S424, 'Lookup 1961'!$B$2:$B$1300,0))</f>
        <v>e411096</v>
      </c>
      <c r="X424" s="11" t="str">
        <f>INDEX('Lookup 1961'!$C$2:$C$1300, MATCH(V424, 'Lookup 1961'!$A$2:$A$1300,0))</f>
        <v>Isle Of Wight</v>
      </c>
    </row>
    <row r="425" spans="1:24" ht="25.05" customHeight="1" x14ac:dyDescent="0.3">
      <c r="A425" s="2" t="s">
        <v>420</v>
      </c>
      <c r="B425" s="2" t="s">
        <v>5260</v>
      </c>
      <c r="C425" s="1">
        <v>26</v>
      </c>
      <c r="D425" s="1">
        <v>10</v>
      </c>
      <c r="E425" s="1">
        <v>15</v>
      </c>
      <c r="F425" s="1">
        <v>1</v>
      </c>
      <c r="K425" s="6">
        <v>1245</v>
      </c>
      <c r="L425" s="6">
        <v>310491</v>
      </c>
      <c r="M425" s="1">
        <v>113.8</v>
      </c>
      <c r="N425" s="1">
        <v>17</v>
      </c>
      <c r="O425" s="1">
        <v>11</v>
      </c>
      <c r="P425" s="1">
        <v>18.2</v>
      </c>
      <c r="Q425" s="11">
        <f>'Table H'!$J$94</f>
        <v>0.95905139463089117</v>
      </c>
      <c r="R425" s="11">
        <f t="shared" si="12"/>
        <v>297776.82657034002</v>
      </c>
      <c r="S425" s="11" t="str">
        <f t="shared" si="13"/>
        <v>Sandown Shanklin UD</v>
      </c>
      <c r="T425" s="11" t="s">
        <v>5214</v>
      </c>
      <c r="V425" s="11" t="str">
        <f>INDEX('Lookup 1961'!$A$2:$A$1300, MATCH(S425, 'Lookup 1961'!$B$2:$B$1300,0))</f>
        <v>J04001101</v>
      </c>
      <c r="W425" s="11" t="str">
        <f>INDEX('Lookup 1961'!$F$2:$F$1300, MATCH(S425, 'Lookup 1961'!$B$2:$B$1300,0))</f>
        <v>e411099</v>
      </c>
      <c r="X425" s="11" t="str">
        <f>INDEX('Lookup 1961'!$C$2:$C$1300, MATCH(V425, 'Lookup 1961'!$A$2:$A$1300,0))</f>
        <v>Isle Of Wight</v>
      </c>
    </row>
    <row r="426" spans="1:24" ht="25.05" customHeight="1" x14ac:dyDescent="0.3">
      <c r="A426" s="2" t="s">
        <v>421</v>
      </c>
      <c r="B426" s="2" t="s">
        <v>421</v>
      </c>
      <c r="C426" s="1">
        <v>29</v>
      </c>
      <c r="D426" s="1">
        <v>0</v>
      </c>
      <c r="E426" s="1">
        <v>17</v>
      </c>
      <c r="F426" s="1">
        <v>8</v>
      </c>
      <c r="K426" s="1">
        <v>450</v>
      </c>
      <c r="L426" s="6">
        <v>115246</v>
      </c>
      <c r="M426" s="1">
        <v>71.400000000000006</v>
      </c>
      <c r="N426" s="1">
        <v>14</v>
      </c>
      <c r="O426" s="1">
        <v>15</v>
      </c>
      <c r="P426" s="1">
        <v>8.1999999999999993</v>
      </c>
      <c r="Q426" s="11">
        <f>'Table H'!$J$94</f>
        <v>0.95905139463089117</v>
      </c>
      <c r="R426" s="11">
        <f t="shared" si="12"/>
        <v>110526.83702563168</v>
      </c>
      <c r="S426" s="11" t="str">
        <f t="shared" si="13"/>
        <v>Ventnor UD</v>
      </c>
      <c r="T426" s="11" t="s">
        <v>5214</v>
      </c>
      <c r="V426" s="11" t="str">
        <f>INDEX('Lookup 1961'!$A$2:$A$1300, MATCH(S426, 'Lookup 1961'!$B$2:$B$1300,0))</f>
        <v>J04001319</v>
      </c>
      <c r="W426" s="11" t="str">
        <f>INDEX('Lookup 1961'!$F$2:$F$1300, MATCH(S426, 'Lookup 1961'!$B$2:$B$1300,0))</f>
        <v>e411100</v>
      </c>
      <c r="X426" s="11" t="str">
        <f>INDEX('Lookup 1961'!$C$2:$C$1300, MATCH(V426, 'Lookup 1961'!$A$2:$A$1300,0))</f>
        <v>Isle Of Wight</v>
      </c>
    </row>
    <row r="427" spans="1:24" ht="25.05" customHeight="1" x14ac:dyDescent="0.3">
      <c r="A427" s="2" t="s">
        <v>422</v>
      </c>
      <c r="B427" s="2" t="s">
        <v>422</v>
      </c>
      <c r="S427" s="11" t="str">
        <f t="shared" si="13"/>
        <v xml:space="preserve">KENT: </v>
      </c>
      <c r="V427" s="11" t="e">
        <f>INDEX('Lookup 1961'!$A$2:$A$1300, MATCH(S427, 'Lookup 1961'!$B$2:$B$1300,0))</f>
        <v>#N/A</v>
      </c>
      <c r="W427" s="11" t="e">
        <f>INDEX('Lookup 1961'!$F$2:$F$1300, MATCH(S427, 'Lookup 1961'!$B$2:$B$1300,0))</f>
        <v>#N/A</v>
      </c>
      <c r="X427" s="11" t="e">
        <f>INDEX('Lookup 1961'!$C$2:$C$1300, MATCH(V427, 'Lookup 1961'!$A$2:$A$1300,0))</f>
        <v>#N/A</v>
      </c>
    </row>
    <row r="428" spans="1:24" ht="25.05" customHeight="1" x14ac:dyDescent="0.3">
      <c r="A428" s="2" t="s">
        <v>146</v>
      </c>
      <c r="B428" s="2" t="s">
        <v>5257</v>
      </c>
      <c r="S428" s="11" t="str">
        <f t="shared" si="13"/>
        <v xml:space="preserve">Non County Boroughs  </v>
      </c>
      <c r="V428" s="11" t="e">
        <f>INDEX('Lookup 1961'!$A$2:$A$1300, MATCH(S428, 'Lookup 1961'!$B$2:$B$1300,0))</f>
        <v>#N/A</v>
      </c>
      <c r="W428" s="11" t="e">
        <f>INDEX('Lookup 1961'!$F$2:$F$1300, MATCH(S428, 'Lookup 1961'!$B$2:$B$1300,0))</f>
        <v>#N/A</v>
      </c>
      <c r="X428" s="11" t="e">
        <f>INDEX('Lookup 1961'!$C$2:$C$1300, MATCH(V428, 'Lookup 1961'!$A$2:$A$1300,0))</f>
        <v>#N/A</v>
      </c>
    </row>
    <row r="429" spans="1:24" ht="25.05" customHeight="1" x14ac:dyDescent="0.3">
      <c r="A429" s="2" t="s">
        <v>423</v>
      </c>
      <c r="B429" s="2" t="s">
        <v>423</v>
      </c>
      <c r="C429" s="1">
        <v>22</v>
      </c>
      <c r="D429" s="1">
        <v>3</v>
      </c>
      <c r="E429" s="1">
        <v>16</v>
      </c>
      <c r="F429" s="1">
        <v>3</v>
      </c>
      <c r="K429" s="6">
        <v>5632</v>
      </c>
      <c r="L429" s="6">
        <v>1404718</v>
      </c>
      <c r="M429" s="1">
        <v>53.2</v>
      </c>
      <c r="N429" s="1">
        <v>14</v>
      </c>
      <c r="O429" s="1">
        <v>14</v>
      </c>
      <c r="P429" s="1">
        <v>11</v>
      </c>
      <c r="Q429" s="11">
        <f>'Table H'!$J$98</f>
        <v>0.94502120296376291</v>
      </c>
      <c r="R429" s="11">
        <f t="shared" si="12"/>
        <v>1327488.294184851</v>
      </c>
      <c r="S429" s="11" t="str">
        <f t="shared" si="13"/>
        <v>Beckenham MB</v>
      </c>
      <c r="T429" s="11" t="s">
        <v>5211</v>
      </c>
      <c r="V429" s="11" t="str">
        <f>INDEX('Lookup 1961'!$A$2:$A$1300, MATCH(S429, 'Lookup 1961'!$B$2:$B$1300,0))</f>
        <v>J04000109</v>
      </c>
      <c r="W429" s="11" t="str">
        <f>INDEX('Lookup 1961'!$F$2:$F$1300, MATCH(S429, 'Lookup 1961'!$B$2:$B$1300,0))</f>
        <v>e140375</v>
      </c>
      <c r="X429" s="11" t="str">
        <f>INDEX('Lookup 1961'!$C$2:$C$1300, MATCH(V429, 'Lookup 1961'!$A$2:$A$1300,0))</f>
        <v>Outer London</v>
      </c>
    </row>
    <row r="430" spans="1:24" ht="25.05" customHeight="1" x14ac:dyDescent="0.3">
      <c r="A430" s="2" t="s">
        <v>424</v>
      </c>
      <c r="B430" s="2" t="s">
        <v>424</v>
      </c>
      <c r="C430" s="1">
        <v>24</v>
      </c>
      <c r="D430" s="1">
        <v>0</v>
      </c>
      <c r="E430" s="1">
        <v>16</v>
      </c>
      <c r="F430" s="1">
        <v>4</v>
      </c>
      <c r="K430" s="6">
        <v>5080</v>
      </c>
      <c r="L430" s="6">
        <v>1250514</v>
      </c>
      <c r="M430" s="1">
        <v>81.599999999999994</v>
      </c>
      <c r="N430" s="1">
        <v>11</v>
      </c>
      <c r="O430" s="1">
        <v>6</v>
      </c>
      <c r="P430" s="1">
        <v>21.7</v>
      </c>
      <c r="Q430" s="11">
        <f>'Table H'!$J$98</f>
        <v>0.94502120296376291</v>
      </c>
      <c r="R430" s="11">
        <f t="shared" si="12"/>
        <v>1181762.2446030271</v>
      </c>
      <c r="S430" s="11" t="str">
        <f t="shared" si="13"/>
        <v>Bexley MB</v>
      </c>
      <c r="T430" s="11" t="s">
        <v>5211</v>
      </c>
      <c r="V430" s="11" t="str">
        <f>INDEX('Lookup 1961'!$A$2:$A$1300, MATCH(S430, 'Lookup 1961'!$B$2:$B$1300,0))</f>
        <v>J04000136</v>
      </c>
      <c r="W430" s="11" t="str">
        <f>INDEX('Lookup 1961'!$F$2:$F$1300, MATCH(S430, 'Lookup 1961'!$B$2:$B$1300,0))</f>
        <v>e140373</v>
      </c>
      <c r="X430" s="11" t="str">
        <f>INDEX('Lookup 1961'!$C$2:$C$1300, MATCH(V430, 'Lookup 1961'!$A$2:$A$1300,0))</f>
        <v>Outer London</v>
      </c>
    </row>
    <row r="431" spans="1:24" ht="25.05" customHeight="1" x14ac:dyDescent="0.3">
      <c r="A431" s="2" t="s">
        <v>425</v>
      </c>
      <c r="B431" s="2" t="s">
        <v>425</v>
      </c>
      <c r="C431" s="1">
        <v>23</v>
      </c>
      <c r="D431" s="1">
        <v>11</v>
      </c>
      <c r="E431" s="1">
        <v>17</v>
      </c>
      <c r="F431" s="1">
        <v>2</v>
      </c>
      <c r="K431" s="6">
        <v>5375</v>
      </c>
      <c r="L431" s="6">
        <v>1296235</v>
      </c>
      <c r="M431" s="1">
        <v>61.9</v>
      </c>
      <c r="N431" s="1">
        <v>17</v>
      </c>
      <c r="O431" s="1">
        <v>0</v>
      </c>
      <c r="P431" s="1">
        <v>16.399999999999999</v>
      </c>
      <c r="Q431" s="11">
        <f>'Table H'!$J$98</f>
        <v>0.94502120296376291</v>
      </c>
      <c r="R431" s="11">
        <f t="shared" si="12"/>
        <v>1224969.5590237333</v>
      </c>
      <c r="S431" s="11" t="str">
        <f t="shared" si="13"/>
        <v>Bromley MB</v>
      </c>
      <c r="T431" s="11" t="s">
        <v>5211</v>
      </c>
      <c r="V431" s="11" t="str">
        <f>INDEX('Lookup 1961'!$A$2:$A$1300, MATCH(S431, 'Lookup 1961'!$B$2:$B$1300,0))</f>
        <v>J04000218</v>
      </c>
      <c r="W431" s="11" t="str">
        <f>INDEX('Lookup 1961'!$F$2:$F$1300, MATCH(S431, 'Lookup 1961'!$B$2:$B$1300,0))</f>
        <v>e140375</v>
      </c>
      <c r="X431" s="11" t="str">
        <f>INDEX('Lookup 1961'!$C$2:$C$1300, MATCH(V431, 'Lookup 1961'!$A$2:$A$1300,0))</f>
        <v>Outer London</v>
      </c>
    </row>
    <row r="432" spans="1:24" ht="25.05" customHeight="1" x14ac:dyDescent="0.3">
      <c r="A432" s="2" t="s">
        <v>426</v>
      </c>
      <c r="B432" s="2" t="s">
        <v>426</v>
      </c>
      <c r="C432" s="1">
        <v>26</v>
      </c>
      <c r="D432" s="1">
        <v>0</v>
      </c>
      <c r="E432" s="1">
        <v>17</v>
      </c>
      <c r="F432" s="1">
        <v>10</v>
      </c>
      <c r="K432" s="6">
        <v>2478</v>
      </c>
      <c r="L432" s="6">
        <v>629608</v>
      </c>
      <c r="M432" s="1">
        <v>93.3</v>
      </c>
      <c r="N432" s="1">
        <v>11</v>
      </c>
      <c r="O432" s="1">
        <v>4</v>
      </c>
      <c r="P432" s="1">
        <v>33.200000000000003</v>
      </c>
      <c r="Q432" s="11">
        <f>'Table H'!$J$98</f>
        <v>0.94502120296376291</v>
      </c>
      <c r="R432" s="11">
        <f t="shared" si="12"/>
        <v>594992.90955560887</v>
      </c>
      <c r="S432" s="11" t="str">
        <f t="shared" si="13"/>
        <v>Chatham MB</v>
      </c>
      <c r="T432" s="11" t="s">
        <v>5211</v>
      </c>
      <c r="V432" s="11" t="str">
        <f>INDEX('Lookup 1961'!$A$2:$A$1300, MATCH(S432, 'Lookup 1961'!$B$2:$B$1300,0))</f>
        <v>J04000284</v>
      </c>
      <c r="W432" s="11" t="str">
        <f>INDEX('Lookup 1961'!$F$2:$F$1300, MATCH(S432, 'Lookup 1961'!$B$2:$B$1300,0))</f>
        <v>e190516</v>
      </c>
      <c r="X432" s="11" t="str">
        <f>INDEX('Lookup 1961'!$C$2:$C$1300, MATCH(V432, 'Lookup 1961'!$A$2:$A$1300,0))</f>
        <v>Kent</v>
      </c>
    </row>
    <row r="433" spans="1:24" ht="25.05" customHeight="1" x14ac:dyDescent="0.3">
      <c r="A433" s="2" t="s">
        <v>427</v>
      </c>
      <c r="B433" s="2" t="s">
        <v>427</v>
      </c>
      <c r="C433" s="1">
        <v>24</v>
      </c>
      <c r="D433" s="1">
        <v>2</v>
      </c>
      <c r="E433" s="1">
        <v>17</v>
      </c>
      <c r="F433" s="1">
        <v>6</v>
      </c>
      <c r="K433" s="6">
        <v>2500</v>
      </c>
      <c r="L433" s="6">
        <v>613391</v>
      </c>
      <c r="M433" s="1">
        <v>73.3</v>
      </c>
      <c r="N433" s="1">
        <v>13</v>
      </c>
      <c r="O433" s="1">
        <v>0</v>
      </c>
      <c r="P433" s="1">
        <v>26.2</v>
      </c>
      <c r="Q433" s="11">
        <f>'Table H'!$J$98</f>
        <v>0.94502120296376291</v>
      </c>
      <c r="R433" s="11">
        <f t="shared" si="12"/>
        <v>579667.50070714555</v>
      </c>
      <c r="S433" s="11" t="str">
        <f t="shared" si="13"/>
        <v>Dartford MB</v>
      </c>
      <c r="T433" s="11" t="s">
        <v>5211</v>
      </c>
      <c r="V433" s="11" t="str">
        <f>INDEX('Lookup 1961'!$A$2:$A$1300, MATCH(S433, 'Lookup 1961'!$B$2:$B$1300,0))</f>
        <v>J04000383</v>
      </c>
      <c r="W433" s="11" t="str">
        <f>INDEX('Lookup 1961'!$F$2:$F$1300, MATCH(S433, 'Lookup 1961'!$B$2:$B$1300,0))</f>
        <v>e190517</v>
      </c>
      <c r="X433" s="11" t="str">
        <f>INDEX('Lookup 1961'!$C$2:$C$1300, MATCH(V433, 'Lookup 1961'!$A$2:$A$1300,0))</f>
        <v>Kent</v>
      </c>
    </row>
    <row r="434" spans="1:24" ht="25.05" customHeight="1" x14ac:dyDescent="0.3">
      <c r="A434" s="2" t="s">
        <v>428</v>
      </c>
      <c r="B434" s="2" t="s">
        <v>428</v>
      </c>
      <c r="C434" s="1">
        <v>26</v>
      </c>
      <c r="D434" s="1">
        <v>6</v>
      </c>
      <c r="E434" s="1">
        <v>18</v>
      </c>
      <c r="F434" s="1">
        <v>8</v>
      </c>
      <c r="K434" s="6">
        <v>1160</v>
      </c>
      <c r="L434" s="6">
        <v>297968</v>
      </c>
      <c r="M434" s="1">
        <v>67.099999999999994</v>
      </c>
      <c r="N434" s="1">
        <v>10</v>
      </c>
      <c r="O434" s="1">
        <v>9</v>
      </c>
      <c r="P434" s="1">
        <v>16.3</v>
      </c>
      <c r="Q434" s="11">
        <f>'Table H'!$J$98</f>
        <v>0.94502120296376291</v>
      </c>
      <c r="R434" s="11">
        <f t="shared" si="12"/>
        <v>281586.07780470653</v>
      </c>
      <c r="S434" s="11" t="str">
        <f t="shared" si="13"/>
        <v>Deal MB</v>
      </c>
      <c r="T434" s="11" t="s">
        <v>5211</v>
      </c>
      <c r="V434" s="11" t="str">
        <f>INDEX('Lookup 1961'!$A$2:$A$1300, MATCH(S434, 'Lookup 1961'!$B$2:$B$1300,0))</f>
        <v>J04000392</v>
      </c>
      <c r="W434" s="11" t="str">
        <f>INDEX('Lookup 1961'!$F$2:$F$1300, MATCH(S434, 'Lookup 1961'!$B$2:$B$1300,0))</f>
        <v>e190518</v>
      </c>
      <c r="X434" s="11" t="str">
        <f>INDEX('Lookup 1961'!$C$2:$C$1300, MATCH(V434, 'Lookup 1961'!$A$2:$A$1300,0))</f>
        <v>Kent</v>
      </c>
    </row>
    <row r="435" spans="1:24" ht="25.05" customHeight="1" x14ac:dyDescent="0.3">
      <c r="A435" s="2" t="s">
        <v>429</v>
      </c>
      <c r="B435" s="2" t="s">
        <v>429</v>
      </c>
      <c r="C435" s="1">
        <v>23</v>
      </c>
      <c r="D435" s="1">
        <v>8</v>
      </c>
      <c r="E435" s="1">
        <v>16</v>
      </c>
      <c r="F435" s="1">
        <v>10</v>
      </c>
      <c r="K435" s="6">
        <v>1875</v>
      </c>
      <c r="L435" s="6">
        <v>474303</v>
      </c>
      <c r="M435" s="1">
        <v>61.5</v>
      </c>
      <c r="N435" s="1">
        <v>10</v>
      </c>
      <c r="O435" s="1">
        <v>16</v>
      </c>
      <c r="P435" s="1">
        <v>10.5</v>
      </c>
      <c r="Q435" s="11">
        <f>'Table H'!$J$98</f>
        <v>0.94502120296376291</v>
      </c>
      <c r="R435" s="11">
        <f t="shared" si="12"/>
        <v>448226.39162932162</v>
      </c>
      <c r="S435" s="11" t="str">
        <f t="shared" si="13"/>
        <v>Dover MB</v>
      </c>
      <c r="T435" s="11" t="s">
        <v>5211</v>
      </c>
      <c r="V435" s="11" t="str">
        <f>INDEX('Lookup 1961'!$A$2:$A$1300, MATCH(S435, 'Lookup 1961'!$B$2:$B$1300,0))</f>
        <v>J04000421</v>
      </c>
      <c r="W435" s="11" t="str">
        <f>INDEX('Lookup 1961'!$F$2:$F$1300, MATCH(S435, 'Lookup 1961'!$B$2:$B$1300,0))</f>
        <v>e190519</v>
      </c>
      <c r="X435" s="11" t="str">
        <f>INDEX('Lookup 1961'!$C$2:$C$1300, MATCH(V435, 'Lookup 1961'!$A$2:$A$1300,0))</f>
        <v>Kent</v>
      </c>
    </row>
    <row r="436" spans="1:24" ht="25.05" customHeight="1" x14ac:dyDescent="0.3">
      <c r="A436" s="2" t="s">
        <v>430</v>
      </c>
      <c r="B436" s="2" t="s">
        <v>430</v>
      </c>
      <c r="C436" s="1">
        <v>24</v>
      </c>
      <c r="D436" s="1">
        <v>0</v>
      </c>
      <c r="E436" s="1">
        <v>16</v>
      </c>
      <c r="F436" s="1">
        <v>9</v>
      </c>
      <c r="K436" s="6">
        <v>2875</v>
      </c>
      <c r="L436" s="6">
        <v>726064</v>
      </c>
      <c r="M436" s="1">
        <v>100.1</v>
      </c>
      <c r="N436" s="1">
        <v>13</v>
      </c>
      <c r="O436" s="1">
        <v>5</v>
      </c>
      <c r="P436" s="1">
        <v>37.6</v>
      </c>
      <c r="Q436" s="11">
        <f>'Table H'!$J$98</f>
        <v>0.94502120296376291</v>
      </c>
      <c r="R436" s="11">
        <f t="shared" si="12"/>
        <v>686145.8747086816</v>
      </c>
      <c r="S436" s="11" t="str">
        <f t="shared" si="13"/>
        <v>Erith MB</v>
      </c>
      <c r="T436" s="11" t="s">
        <v>5211</v>
      </c>
      <c r="V436" s="11" t="str">
        <f>INDEX('Lookup 1961'!$A$2:$A$1300, MATCH(S436, 'Lookup 1961'!$B$2:$B$1300,0))</f>
        <v>J04000478</v>
      </c>
      <c r="W436" s="11" t="str">
        <f>INDEX('Lookup 1961'!$F$2:$F$1300, MATCH(S436, 'Lookup 1961'!$B$2:$B$1300,0))</f>
        <v>e140373</v>
      </c>
      <c r="X436" s="11" t="str">
        <f>INDEX('Lookup 1961'!$C$2:$C$1300, MATCH(V436, 'Lookup 1961'!$A$2:$A$1300,0))</f>
        <v>Outer London</v>
      </c>
    </row>
    <row r="437" spans="1:24" ht="25.05" customHeight="1" x14ac:dyDescent="0.3">
      <c r="A437" s="2" t="s">
        <v>431</v>
      </c>
      <c r="B437" s="2" t="s">
        <v>431</v>
      </c>
      <c r="C437" s="1">
        <v>24</v>
      </c>
      <c r="D437" s="1">
        <v>3</v>
      </c>
      <c r="E437" s="1">
        <v>17</v>
      </c>
      <c r="F437" s="1">
        <v>10</v>
      </c>
      <c r="K437" s="1">
        <v>580</v>
      </c>
      <c r="L437" s="6">
        <v>148521</v>
      </c>
      <c r="M437" s="1">
        <v>82.7</v>
      </c>
      <c r="N437" s="1">
        <v>10</v>
      </c>
      <c r="O437" s="1">
        <v>7</v>
      </c>
      <c r="P437" s="1">
        <v>41.1</v>
      </c>
      <c r="Q437" s="11">
        <f>'Table H'!$J$98</f>
        <v>0.94502120296376291</v>
      </c>
      <c r="R437" s="11">
        <f t="shared" si="12"/>
        <v>140355.49408538104</v>
      </c>
      <c r="S437" s="11" t="str">
        <f t="shared" si="13"/>
        <v>Faversham MB</v>
      </c>
      <c r="T437" s="11" t="s">
        <v>5211</v>
      </c>
      <c r="V437" s="11" t="str">
        <f>INDEX('Lookup 1961'!$A$2:$A$1300, MATCH(S437, 'Lookup 1961'!$B$2:$B$1300,0))</f>
        <v>J04000496</v>
      </c>
      <c r="W437" s="11" t="str">
        <f>INDEX('Lookup 1961'!$F$2:$F$1300, MATCH(S437, 'Lookup 1961'!$B$2:$B$1300,0))</f>
        <v>e190520</v>
      </c>
      <c r="X437" s="11" t="str">
        <f>INDEX('Lookup 1961'!$C$2:$C$1300, MATCH(V437, 'Lookup 1961'!$A$2:$A$1300,0))</f>
        <v>Kent</v>
      </c>
    </row>
    <row r="438" spans="1:24" ht="25.05" customHeight="1" x14ac:dyDescent="0.3">
      <c r="A438" s="2" t="s">
        <v>432</v>
      </c>
      <c r="B438" s="2" t="s">
        <v>432</v>
      </c>
      <c r="C438" s="1">
        <v>25</v>
      </c>
      <c r="D438" s="1">
        <v>0</v>
      </c>
      <c r="E438" s="1">
        <v>18</v>
      </c>
      <c r="F438" s="1">
        <v>10</v>
      </c>
      <c r="K438" s="6">
        <v>3250</v>
      </c>
      <c r="L438" s="6">
        <v>822597</v>
      </c>
      <c r="M438" s="1">
        <v>48.6</v>
      </c>
      <c r="N438" s="1">
        <v>17</v>
      </c>
      <c r="O438" s="1">
        <v>0</v>
      </c>
      <c r="P438" s="1">
        <v>14.6</v>
      </c>
      <c r="Q438" s="11">
        <f>'Table H'!$J$98</f>
        <v>0.94502120296376291</v>
      </c>
      <c r="R438" s="11">
        <f t="shared" si="12"/>
        <v>777371.60649438249</v>
      </c>
      <c r="S438" s="11" t="str">
        <f t="shared" si="13"/>
        <v>Folkestone MB</v>
      </c>
      <c r="T438" s="11" t="s">
        <v>5211</v>
      </c>
      <c r="V438" s="11" t="str">
        <f>INDEX('Lookup 1961'!$A$2:$A$1300, MATCH(S438, 'Lookup 1961'!$B$2:$B$1300,0))</f>
        <v>J04000510</v>
      </c>
      <c r="W438" s="11" t="str">
        <f>INDEX('Lookup 1961'!$F$2:$F$1300, MATCH(S438, 'Lookup 1961'!$B$2:$B$1300,0))</f>
        <v>e190521</v>
      </c>
      <c r="X438" s="11" t="str">
        <f>INDEX('Lookup 1961'!$C$2:$C$1300, MATCH(V438, 'Lookup 1961'!$A$2:$A$1300,0))</f>
        <v>Kent</v>
      </c>
    </row>
    <row r="439" spans="1:24" ht="25.05" customHeight="1" x14ac:dyDescent="0.3">
      <c r="A439" s="2" t="s">
        <v>433</v>
      </c>
      <c r="B439" s="2" t="s">
        <v>5291</v>
      </c>
      <c r="C439" s="1">
        <v>25</v>
      </c>
      <c r="D439" s="1">
        <v>0</v>
      </c>
      <c r="E439" s="1">
        <v>16</v>
      </c>
      <c r="F439" s="1">
        <v>6</v>
      </c>
      <c r="K439" s="6">
        <v>3275</v>
      </c>
      <c r="L439" s="6">
        <v>806177</v>
      </c>
      <c r="M439" s="1">
        <v>87.8</v>
      </c>
      <c r="N439" s="1">
        <v>8</v>
      </c>
      <c r="O439" s="1">
        <v>16</v>
      </c>
      <c r="P439" s="1">
        <v>30.9</v>
      </c>
      <c r="Q439" s="11">
        <f>'Table H'!$J$98</f>
        <v>0.94502120296376291</v>
      </c>
      <c r="R439" s="11">
        <f t="shared" si="12"/>
        <v>761854.35834171751</v>
      </c>
      <c r="S439" s="11" t="str">
        <f t="shared" si="13"/>
        <v>Gillingham MB</v>
      </c>
      <c r="T439" s="11" t="s">
        <v>5211</v>
      </c>
      <c r="V439" s="11" t="str">
        <f>INDEX('Lookup 1961'!$A$2:$A$1300, MATCH(S439, 'Lookup 1961'!$B$2:$B$1300,0))</f>
        <v>J04000530</v>
      </c>
      <c r="W439" s="11" t="str">
        <f>INDEX('Lookup 1961'!$F$2:$F$1300, MATCH(S439, 'Lookup 1961'!$B$2:$B$1300,0))</f>
        <v>e190522</v>
      </c>
      <c r="X439" s="11" t="str">
        <f>INDEX('Lookup 1961'!$C$2:$C$1300, MATCH(V439, 'Lookup 1961'!$A$2:$A$1300,0))</f>
        <v>Kent</v>
      </c>
    </row>
    <row r="440" spans="1:24" ht="25.05" customHeight="1" x14ac:dyDescent="0.3">
      <c r="A440" s="2" t="s">
        <v>434</v>
      </c>
      <c r="B440" s="2" t="s">
        <v>434</v>
      </c>
      <c r="C440" s="1">
        <v>24</v>
      </c>
      <c r="D440" s="1">
        <v>10</v>
      </c>
      <c r="E440" s="1">
        <v>17</v>
      </c>
      <c r="F440" s="1">
        <v>10</v>
      </c>
      <c r="K440" s="6">
        <v>2500</v>
      </c>
      <c r="L440" s="6">
        <v>643824</v>
      </c>
      <c r="M440" s="1">
        <v>69.599999999999994</v>
      </c>
      <c r="N440" s="1">
        <v>11</v>
      </c>
      <c r="O440" s="1">
        <v>13</v>
      </c>
      <c r="P440" s="1">
        <v>16.600000000000001</v>
      </c>
      <c r="Q440" s="11">
        <f>'Table H'!$J$98</f>
        <v>0.94502120296376291</v>
      </c>
      <c r="R440" s="11">
        <f t="shared" si="12"/>
        <v>608427.33097694174</v>
      </c>
      <c r="S440" s="11" t="str">
        <f t="shared" si="13"/>
        <v>Gravesend MB</v>
      </c>
      <c r="T440" s="11" t="s">
        <v>5211</v>
      </c>
      <c r="V440" s="11" t="str">
        <f>INDEX('Lookup 1961'!$A$2:$A$1300, MATCH(S440, 'Lookup 1961'!$B$2:$B$1300,0))</f>
        <v>J04000549</v>
      </c>
      <c r="W440" s="11" t="str">
        <f>INDEX('Lookup 1961'!$F$2:$F$1300, MATCH(S440, 'Lookup 1961'!$B$2:$B$1300,0))</f>
        <v>e190523</v>
      </c>
      <c r="X440" s="11" t="str">
        <f>INDEX('Lookup 1961'!$C$2:$C$1300, MATCH(V440, 'Lookup 1961'!$A$2:$A$1300,0))</f>
        <v>Kent</v>
      </c>
    </row>
    <row r="441" spans="1:24" ht="25.05" customHeight="1" x14ac:dyDescent="0.3">
      <c r="A441" s="2" t="s">
        <v>435</v>
      </c>
      <c r="B441" s="2" t="s">
        <v>435</v>
      </c>
      <c r="C441" s="1">
        <v>25</v>
      </c>
      <c r="D441" s="1">
        <v>3</v>
      </c>
      <c r="E441" s="1">
        <v>18</v>
      </c>
      <c r="F441" s="1">
        <v>5</v>
      </c>
      <c r="K441" s="1">
        <v>660</v>
      </c>
      <c r="L441" s="6">
        <v>168321</v>
      </c>
      <c r="M441" s="1">
        <v>65.3</v>
      </c>
      <c r="N441" s="1">
        <v>15</v>
      </c>
      <c r="O441" s="1">
        <v>11</v>
      </c>
      <c r="P441" s="1">
        <v>16.5</v>
      </c>
      <c r="Q441" s="11">
        <f>'Table H'!$J$98</f>
        <v>0.94502120296376291</v>
      </c>
      <c r="R441" s="11">
        <f t="shared" si="12"/>
        <v>159066.91390406355</v>
      </c>
      <c r="S441" s="11" t="str">
        <f t="shared" si="13"/>
        <v>Hythe MB</v>
      </c>
      <c r="T441" s="11" t="s">
        <v>5211</v>
      </c>
      <c r="V441" s="11" t="str">
        <f>INDEX('Lookup 1961'!$A$2:$A$1300, MATCH(S441, 'Lookup 1961'!$B$2:$B$1300,0))</f>
        <v>J04000664</v>
      </c>
      <c r="W441" s="11" t="str">
        <f>INDEX('Lookup 1961'!$F$2:$F$1300, MATCH(S441, 'Lookup 1961'!$B$2:$B$1300,0))</f>
        <v>e190525</v>
      </c>
      <c r="X441" s="11" t="str">
        <f>INDEX('Lookup 1961'!$C$2:$C$1300, MATCH(V441, 'Lookup 1961'!$A$2:$A$1300,0))</f>
        <v>Kent</v>
      </c>
    </row>
    <row r="442" spans="1:24" ht="25.05" customHeight="1" x14ac:dyDescent="0.3">
      <c r="A442" s="2" t="s">
        <v>436</v>
      </c>
      <c r="B442" s="2" t="s">
        <v>436</v>
      </c>
      <c r="C442" s="1">
        <v>24</v>
      </c>
      <c r="D442" s="1">
        <v>0</v>
      </c>
      <c r="E442" s="1">
        <v>16</v>
      </c>
      <c r="F442" s="1">
        <v>8</v>
      </c>
      <c r="K442" s="1">
        <v>152</v>
      </c>
      <c r="L442" s="6">
        <v>38025</v>
      </c>
      <c r="M442" s="1">
        <v>86.1</v>
      </c>
      <c r="N442" s="1">
        <v>9</v>
      </c>
      <c r="O442" s="1">
        <v>13</v>
      </c>
      <c r="P442" s="1">
        <v>10.7</v>
      </c>
      <c r="Q442" s="11">
        <f>'Table H'!$J$98</f>
        <v>0.94502120296376291</v>
      </c>
      <c r="R442" s="11">
        <f t="shared" si="12"/>
        <v>35934.431242697086</v>
      </c>
      <c r="S442" s="11" t="str">
        <f t="shared" si="13"/>
        <v>Lydd MB</v>
      </c>
      <c r="T442" s="11" t="s">
        <v>5211</v>
      </c>
      <c r="V442" s="11" t="str">
        <f>INDEX('Lookup 1961'!$A$2:$A$1300, MATCH(S442, 'Lookup 1961'!$B$2:$B$1300,0))</f>
        <v>J04000793</v>
      </c>
      <c r="W442" s="11" t="str">
        <f>INDEX('Lookup 1961'!$F$2:$F$1300, MATCH(S442, 'Lookup 1961'!$B$2:$B$1300,0))</f>
        <v>e190526</v>
      </c>
      <c r="X442" s="11" t="str">
        <f>INDEX('Lookup 1961'!$C$2:$C$1300, MATCH(V442, 'Lookup 1961'!$A$2:$A$1300,0))</f>
        <v>Kent</v>
      </c>
    </row>
    <row r="443" spans="1:24" ht="25.05" customHeight="1" x14ac:dyDescent="0.3">
      <c r="A443" s="2" t="s">
        <v>437</v>
      </c>
      <c r="B443" s="2" t="s">
        <v>437</v>
      </c>
      <c r="C443" s="1">
        <v>23</v>
      </c>
      <c r="D443" s="1">
        <v>8</v>
      </c>
      <c r="E443" s="1">
        <v>17</v>
      </c>
      <c r="F443" s="1">
        <v>0</v>
      </c>
      <c r="K443" s="6">
        <v>3540</v>
      </c>
      <c r="L443" s="6">
        <v>920998</v>
      </c>
      <c r="M443" s="1">
        <v>80.099999999999994</v>
      </c>
      <c r="N443" s="1">
        <v>13</v>
      </c>
      <c r="O443" s="1">
        <v>9</v>
      </c>
      <c r="P443" s="1">
        <v>22.5</v>
      </c>
      <c r="Q443" s="11">
        <f>'Table H'!$J$98</f>
        <v>0.94502120296376291</v>
      </c>
      <c r="R443" s="11">
        <f t="shared" si="12"/>
        <v>870362.63788721967</v>
      </c>
      <c r="S443" s="11" t="str">
        <f t="shared" si="13"/>
        <v>Maidstone MB</v>
      </c>
      <c r="T443" s="11" t="s">
        <v>5211</v>
      </c>
      <c r="V443" s="11" t="str">
        <f>INDEX('Lookup 1961'!$A$2:$A$1300, MATCH(S443, 'Lookup 1961'!$B$2:$B$1300,0))</f>
        <v>J04000809</v>
      </c>
      <c r="W443" s="11" t="str">
        <f>INDEX('Lookup 1961'!$F$2:$F$1300, MATCH(S443, 'Lookup 1961'!$B$2:$B$1300,0))</f>
        <v>e190527</v>
      </c>
      <c r="X443" s="11" t="str">
        <f>INDEX('Lookup 1961'!$C$2:$C$1300, MATCH(V443, 'Lookup 1961'!$A$2:$A$1300,0))</f>
        <v>Kent</v>
      </c>
    </row>
    <row r="444" spans="1:24" ht="25.05" customHeight="1" x14ac:dyDescent="0.3">
      <c r="A444" s="2" t="s">
        <v>438</v>
      </c>
      <c r="B444" s="2" t="s">
        <v>438</v>
      </c>
      <c r="C444" s="1">
        <v>25</v>
      </c>
      <c r="D444" s="1">
        <v>6</v>
      </c>
      <c r="E444" s="1">
        <v>18</v>
      </c>
      <c r="F444" s="1">
        <v>0</v>
      </c>
      <c r="K444" s="6">
        <v>3520</v>
      </c>
      <c r="L444" s="6">
        <v>881830</v>
      </c>
      <c r="M444" s="1">
        <v>56.7</v>
      </c>
      <c r="N444" s="1">
        <v>17</v>
      </c>
      <c r="O444" s="1">
        <v>9</v>
      </c>
      <c r="P444" s="1">
        <v>6.8</v>
      </c>
      <c r="Q444" s="11">
        <f>'Table H'!$J$98</f>
        <v>0.94502120296376291</v>
      </c>
      <c r="R444" s="11">
        <f t="shared" si="12"/>
        <v>833348.04740953504</v>
      </c>
      <c r="S444" s="11" t="str">
        <f t="shared" si="13"/>
        <v>Margate MB</v>
      </c>
      <c r="T444" s="11" t="s">
        <v>5211</v>
      </c>
      <c r="V444" s="11" t="str">
        <f>INDEX('Lookup 1961'!$A$2:$A$1300, MATCH(S444, 'Lookup 1961'!$B$2:$B$1300,0))</f>
        <v>J04000826</v>
      </c>
      <c r="W444" s="11" t="str">
        <f>INDEX('Lookup 1961'!$F$2:$F$1300, MATCH(S444, 'Lookup 1961'!$B$2:$B$1300,0))</f>
        <v>e190528</v>
      </c>
      <c r="X444" s="11" t="str">
        <f>INDEX('Lookup 1961'!$C$2:$C$1300, MATCH(V444, 'Lookup 1961'!$A$2:$A$1300,0))</f>
        <v>Kent</v>
      </c>
    </row>
    <row r="445" spans="1:24" ht="25.05" customHeight="1" x14ac:dyDescent="0.3">
      <c r="A445" s="2" t="s">
        <v>439</v>
      </c>
      <c r="B445" s="2" t="s">
        <v>439</v>
      </c>
      <c r="C445" s="1">
        <v>26</v>
      </c>
      <c r="D445" s="1">
        <v>0</v>
      </c>
      <c r="E445" s="1">
        <v>18</v>
      </c>
      <c r="F445" s="1">
        <v>6</v>
      </c>
      <c r="K445" s="1">
        <v>145</v>
      </c>
      <c r="L445" s="6">
        <v>38292</v>
      </c>
      <c r="M445" s="1">
        <v>84.6</v>
      </c>
      <c r="N445" s="1">
        <v>14</v>
      </c>
      <c r="O445" s="1">
        <v>4</v>
      </c>
      <c r="P445" s="1">
        <v>30</v>
      </c>
      <c r="Q445" s="11">
        <f>'Table H'!$J$98</f>
        <v>0.94502120296376291</v>
      </c>
      <c r="R445" s="11">
        <f t="shared" si="12"/>
        <v>36186.751903888406</v>
      </c>
      <c r="S445" s="11" t="str">
        <f t="shared" si="13"/>
        <v>New Romney MB</v>
      </c>
      <c r="T445" s="11" t="s">
        <v>5211</v>
      </c>
      <c r="V445" s="11" t="str">
        <f>INDEX('Lookup 1961'!$A$2:$A$1300, MATCH(S445, 'Lookup 1961'!$B$2:$B$1300,0))</f>
        <v>J04000890</v>
      </c>
      <c r="W445" s="11" t="str">
        <f>INDEX('Lookup 1961'!$F$2:$F$1300, MATCH(S445, 'Lookup 1961'!$B$2:$B$1300,0))</f>
        <v>e190529</v>
      </c>
      <c r="X445" s="11" t="str">
        <f>INDEX('Lookup 1961'!$C$2:$C$1300, MATCH(V445, 'Lookup 1961'!$A$2:$A$1300,0))</f>
        <v>Kent</v>
      </c>
    </row>
    <row r="446" spans="1:24" ht="25.05" customHeight="1" x14ac:dyDescent="0.3">
      <c r="A446" s="2" t="s">
        <v>440</v>
      </c>
      <c r="B446" s="2" t="s">
        <v>440</v>
      </c>
      <c r="C446" s="1">
        <v>24</v>
      </c>
      <c r="D446" s="1">
        <v>8</v>
      </c>
      <c r="E446" s="1">
        <v>17</v>
      </c>
      <c r="F446" s="1">
        <v>6</v>
      </c>
      <c r="K446" s="1">
        <v>152</v>
      </c>
      <c r="L446" s="6">
        <v>38324</v>
      </c>
      <c r="M446" s="1">
        <v>85.7</v>
      </c>
      <c r="N446" s="1">
        <v>9</v>
      </c>
      <c r="O446" s="1">
        <v>18</v>
      </c>
      <c r="P446" s="1">
        <v>31.2</v>
      </c>
      <c r="Q446" s="11">
        <f>'Table H'!$J$98</f>
        <v>0.94502120296376291</v>
      </c>
      <c r="R446" s="11">
        <f t="shared" si="12"/>
        <v>36216.992582383253</v>
      </c>
      <c r="S446" s="11" t="str">
        <f t="shared" si="13"/>
        <v>Queenborough MB</v>
      </c>
      <c r="T446" s="11" t="s">
        <v>5211</v>
      </c>
      <c r="V446" s="11" t="str">
        <f>INDEX('Lookup 1961'!$A$2:$A$1300, MATCH(S446, 'Lookup 1961'!$B$2:$B$1300,0))</f>
        <v>J04001025</v>
      </c>
      <c r="W446" s="11" t="str">
        <f>INDEX('Lookup 1961'!$F$2:$F$1300, MATCH(S446, 'Lookup 1961'!$B$2:$B$1300,0))</f>
        <v>e190531</v>
      </c>
      <c r="X446" s="11" t="str">
        <f>INDEX('Lookup 1961'!$C$2:$C$1300, MATCH(V446, 'Lookup 1961'!$A$2:$A$1300,0))</f>
        <v>Kent</v>
      </c>
    </row>
    <row r="447" spans="1:24" ht="25.05" customHeight="1" x14ac:dyDescent="0.3">
      <c r="A447" s="2" t="s">
        <v>441</v>
      </c>
      <c r="B447" s="2" t="s">
        <v>441</v>
      </c>
      <c r="C447" s="1">
        <v>27</v>
      </c>
      <c r="D447" s="1">
        <v>0</v>
      </c>
      <c r="E447" s="1">
        <v>19</v>
      </c>
      <c r="F447" s="1">
        <v>11</v>
      </c>
      <c r="K447" s="6">
        <v>2050</v>
      </c>
      <c r="L447" s="6">
        <v>538495</v>
      </c>
      <c r="M447" s="1">
        <v>75.900000000000006</v>
      </c>
      <c r="N447" s="1">
        <v>14</v>
      </c>
      <c r="O447" s="1">
        <v>5</v>
      </c>
      <c r="P447" s="1">
        <v>28.1</v>
      </c>
      <c r="Q447" s="11">
        <f>'Table H'!$J$98</f>
        <v>0.94502120296376291</v>
      </c>
      <c r="R447" s="11">
        <f t="shared" si="12"/>
        <v>508889.19268997153</v>
      </c>
      <c r="S447" s="11" t="str">
        <f t="shared" si="13"/>
        <v>Ramsgate MB</v>
      </c>
      <c r="T447" s="11" t="s">
        <v>5211</v>
      </c>
      <c r="V447" s="11" t="str">
        <f>INDEX('Lookup 1961'!$A$2:$A$1300, MATCH(S447, 'Lookup 1961'!$B$2:$B$1300,0))</f>
        <v>J04001031</v>
      </c>
      <c r="W447" s="11" t="str">
        <f>INDEX('Lookup 1961'!$F$2:$F$1300, MATCH(S447, 'Lookup 1961'!$B$2:$B$1300,0))</f>
        <v>e190532</v>
      </c>
      <c r="X447" s="11" t="str">
        <f>INDEX('Lookup 1961'!$C$2:$C$1300, MATCH(V447, 'Lookup 1961'!$A$2:$A$1300,0))</f>
        <v>Kent</v>
      </c>
    </row>
    <row r="448" spans="1:24" ht="25.05" customHeight="1" x14ac:dyDescent="0.3">
      <c r="A448" s="2" t="s">
        <v>442</v>
      </c>
      <c r="B448" s="2" t="s">
        <v>5292</v>
      </c>
      <c r="C448" s="1">
        <v>25</v>
      </c>
      <c r="D448" s="1">
        <v>0</v>
      </c>
      <c r="E448" s="1">
        <v>17</v>
      </c>
      <c r="F448" s="1">
        <v>4</v>
      </c>
      <c r="K448" s="6">
        <v>2290</v>
      </c>
      <c r="L448" s="6">
        <v>576118</v>
      </c>
      <c r="M448" s="1">
        <v>75.400000000000006</v>
      </c>
      <c r="N448" s="1">
        <v>10</v>
      </c>
      <c r="O448" s="1">
        <v>9</v>
      </c>
      <c r="P448" s="1">
        <v>15.7</v>
      </c>
      <c r="Q448" s="11">
        <f>'Table H'!$J$98</f>
        <v>0.94502120296376291</v>
      </c>
      <c r="R448" s="11">
        <f t="shared" si="12"/>
        <v>544443.72540907713</v>
      </c>
      <c r="S448" s="11" t="str">
        <f t="shared" si="13"/>
        <v>Rochester, city of MB</v>
      </c>
      <c r="T448" s="11" t="s">
        <v>5211</v>
      </c>
      <c r="V448" s="11" t="str">
        <f>INDEX('Lookup 1961'!$A$2:$A$1300, MATCH(S448, 'Lookup 1961'!$B$2:$B$1300,0))</f>
        <v>J04001058</v>
      </c>
      <c r="W448" s="11" t="str">
        <f>INDEX('Lookup 1961'!$F$2:$F$1300, MATCH(S448, 'Lookup 1961'!$B$2:$B$1300,0))</f>
        <v>e190533</v>
      </c>
      <c r="X448" s="11" t="str">
        <f>INDEX('Lookup 1961'!$C$2:$C$1300, MATCH(V448, 'Lookup 1961'!$A$2:$A$1300,0))</f>
        <v>Kent</v>
      </c>
    </row>
    <row r="449" spans="1:24" ht="25.05" customHeight="1" x14ac:dyDescent="0.3">
      <c r="A449" s="2" t="s">
        <v>443</v>
      </c>
      <c r="B449" s="2" t="s">
        <v>443</v>
      </c>
      <c r="C449" s="1">
        <v>21</v>
      </c>
      <c r="D449" s="1">
        <v>0</v>
      </c>
      <c r="E449" s="1">
        <v>15</v>
      </c>
      <c r="F449" s="1">
        <v>6</v>
      </c>
      <c r="K449" s="1">
        <v>236</v>
      </c>
      <c r="L449" s="6">
        <v>61570</v>
      </c>
      <c r="M449" s="1">
        <v>71.8</v>
      </c>
      <c r="N449" s="1">
        <v>9</v>
      </c>
      <c r="O449" s="1">
        <v>17</v>
      </c>
      <c r="P449" s="1">
        <v>28.2</v>
      </c>
      <c r="Q449" s="11">
        <f>'Table H'!$J$98</f>
        <v>0.94502120296376291</v>
      </c>
      <c r="R449" s="11">
        <f t="shared" si="12"/>
        <v>58184.955466478881</v>
      </c>
      <c r="S449" s="11" t="str">
        <f t="shared" si="13"/>
        <v>Sandwich MB</v>
      </c>
      <c r="T449" s="11" t="s">
        <v>5211</v>
      </c>
      <c r="V449" s="11" t="str">
        <f>INDEX('Lookup 1961'!$A$2:$A$1300, MATCH(S449, 'Lookup 1961'!$B$2:$B$1300,0))</f>
        <v>J04001102</v>
      </c>
      <c r="W449" s="11" t="str">
        <f>INDEX('Lookup 1961'!$F$2:$F$1300, MATCH(S449, 'Lookup 1961'!$B$2:$B$1300,0))</f>
        <v>e190535</v>
      </c>
      <c r="X449" s="11" t="str">
        <f>INDEX('Lookup 1961'!$C$2:$C$1300, MATCH(V449, 'Lookup 1961'!$A$2:$A$1300,0))</f>
        <v>Kent</v>
      </c>
    </row>
    <row r="450" spans="1:24" ht="25.05" customHeight="1" x14ac:dyDescent="0.3">
      <c r="A450" s="2" t="s">
        <v>444</v>
      </c>
      <c r="B450" s="2" t="s">
        <v>444</v>
      </c>
      <c r="C450" s="1">
        <v>22</v>
      </c>
      <c r="D450" s="1">
        <v>1</v>
      </c>
      <c r="E450" s="1">
        <v>15</v>
      </c>
      <c r="F450" s="1">
        <v>6</v>
      </c>
      <c r="K450" s="1">
        <v>235</v>
      </c>
      <c r="L450" s="6">
        <v>57916</v>
      </c>
      <c r="M450" s="1">
        <v>75.8</v>
      </c>
      <c r="N450" s="1">
        <v>9</v>
      </c>
      <c r="O450" s="1">
        <v>16</v>
      </c>
      <c r="P450" s="1">
        <v>20.9</v>
      </c>
      <c r="Q450" s="11">
        <f>'Table H'!$J$98</f>
        <v>0.94502120296376291</v>
      </c>
      <c r="R450" s="11">
        <f t="shared" si="12"/>
        <v>54731.847990849295</v>
      </c>
      <c r="S450" s="11" t="str">
        <f t="shared" si="13"/>
        <v>Tenterden MB</v>
      </c>
      <c r="T450" s="11" t="s">
        <v>5211</v>
      </c>
      <c r="V450" s="11" t="str">
        <f>INDEX('Lookup 1961'!$A$2:$A$1300, MATCH(S450, 'Lookup 1961'!$B$2:$B$1300,0))</f>
        <v>J04001260</v>
      </c>
      <c r="W450" s="11" t="str">
        <f>INDEX('Lookup 1961'!$F$2:$F$1300, MATCH(S450, 'Lookup 1961'!$B$2:$B$1300,0))</f>
        <v>e190540</v>
      </c>
      <c r="X450" s="11" t="str">
        <f>INDEX('Lookup 1961'!$C$2:$C$1300, MATCH(V450, 'Lookup 1961'!$A$2:$A$1300,0))</f>
        <v>Kent</v>
      </c>
    </row>
    <row r="451" spans="1:24" ht="25.05" customHeight="1" x14ac:dyDescent="0.3">
      <c r="A451" s="2" t="s">
        <v>445</v>
      </c>
      <c r="B451" s="2" t="s">
        <v>5293</v>
      </c>
      <c r="C451" s="1">
        <v>25</v>
      </c>
      <c r="D451" s="1">
        <v>0</v>
      </c>
      <c r="E451" s="1">
        <v>19</v>
      </c>
      <c r="F451" s="1">
        <v>6</v>
      </c>
      <c r="K451" s="6">
        <v>2835</v>
      </c>
      <c r="L451" s="6">
        <v>721899</v>
      </c>
      <c r="M451" s="1">
        <v>40.700000000000003</v>
      </c>
      <c r="N451" s="1">
        <v>17</v>
      </c>
      <c r="O451" s="1">
        <v>1</v>
      </c>
      <c r="P451" s="1">
        <v>6.4</v>
      </c>
      <c r="Q451" s="11">
        <f>'Table H'!$J$98</f>
        <v>0.94502120296376291</v>
      </c>
      <c r="R451" s="11">
        <f t="shared" si="12"/>
        <v>682209.86139833753</v>
      </c>
      <c r="S451" s="11" t="str">
        <f t="shared" si="13"/>
        <v>Royal Tunbridge Wells MB</v>
      </c>
      <c r="T451" s="11" t="s">
        <v>5211</v>
      </c>
      <c r="V451" s="11" t="str">
        <f>INDEX('Lookup 1961'!$A$2:$A$1300, MATCH(S451, 'Lookup 1961'!$B$2:$B$1300,0))</f>
        <v>J04001073</v>
      </c>
      <c r="W451" s="11" t="str">
        <f>INDEX('Lookup 1961'!$F$2:$F$1300, MATCH(S451, 'Lookup 1961'!$B$2:$B$1300,0))</f>
        <v>e190534</v>
      </c>
      <c r="X451" s="11" t="str">
        <f>INDEX('Lookup 1961'!$C$2:$C$1300, MATCH(V451, 'Lookup 1961'!$A$2:$A$1300,0))</f>
        <v>Kent</v>
      </c>
    </row>
    <row r="452" spans="1:24" ht="25.05" customHeight="1" x14ac:dyDescent="0.3">
      <c r="A452" s="2" t="s">
        <v>150</v>
      </c>
      <c r="B452" s="2" t="s">
        <v>1221</v>
      </c>
      <c r="S452" s="11" t="str">
        <f t="shared" si="13"/>
        <v xml:space="preserve">Urban Districts  </v>
      </c>
      <c r="V452" s="11" t="e">
        <f>INDEX('Lookup 1961'!$A$2:$A$1300, MATCH(S452, 'Lookup 1961'!$B$2:$B$1300,0))</f>
        <v>#N/A</v>
      </c>
      <c r="W452" s="11" t="e">
        <f>INDEX('Lookup 1961'!$F$2:$F$1300, MATCH(S452, 'Lookup 1961'!$B$2:$B$1300,0))</f>
        <v>#N/A</v>
      </c>
      <c r="X452" s="11" t="e">
        <f>INDEX('Lookup 1961'!$C$2:$C$1300, MATCH(V452, 'Lookup 1961'!$A$2:$A$1300,0))</f>
        <v>#N/A</v>
      </c>
    </row>
    <row r="453" spans="1:24" ht="25.05" customHeight="1" x14ac:dyDescent="0.3">
      <c r="A453" s="2" t="s">
        <v>446</v>
      </c>
      <c r="B453" s="2" t="s">
        <v>446</v>
      </c>
      <c r="C453" s="1">
        <v>23</v>
      </c>
      <c r="D453" s="1">
        <v>6</v>
      </c>
      <c r="E453" s="1">
        <v>15</v>
      </c>
      <c r="F453" s="1">
        <v>0</v>
      </c>
      <c r="K453" s="6">
        <v>1360</v>
      </c>
      <c r="L453" s="6">
        <v>339779</v>
      </c>
      <c r="M453" s="1">
        <v>84.1</v>
      </c>
      <c r="N453" s="1">
        <v>9</v>
      </c>
      <c r="O453" s="1">
        <v>14</v>
      </c>
      <c r="P453" s="1">
        <v>16.399999999999999</v>
      </c>
      <c r="Q453" s="11">
        <f>'Table H'!$J$99</f>
        <v>0.9358184797000676</v>
      </c>
      <c r="R453" s="11">
        <f t="shared" ref="R453:R515" si="14">Q453*L453</f>
        <v>317971.46721400926</v>
      </c>
      <c r="S453" s="11" t="str">
        <f t="shared" ref="S453:S516" si="15">_xlfn.CONCAT(B453," ",T453)</f>
        <v>Ashford UD</v>
      </c>
      <c r="T453" s="11" t="s">
        <v>5214</v>
      </c>
      <c r="V453" s="11" t="str">
        <f>INDEX('Lookup 1961'!$A$2:$A$1300, MATCH(S453, 'Lookup 1961'!$B$2:$B$1300,0))</f>
        <v>J04000054</v>
      </c>
      <c r="W453" s="11" t="str">
        <f>INDEX('Lookup 1961'!$F$2:$F$1300, MATCH(S453, 'Lookup 1961'!$B$2:$B$1300,0))</f>
        <v>e190514</v>
      </c>
      <c r="X453" s="11" t="str">
        <f>INDEX('Lookup 1961'!$C$2:$C$1300, MATCH(V453, 'Lookup 1961'!$A$2:$A$1300,0))</f>
        <v>Kent</v>
      </c>
    </row>
    <row r="454" spans="1:24" ht="25.05" customHeight="1" x14ac:dyDescent="0.3">
      <c r="A454" s="2" t="s">
        <v>447</v>
      </c>
      <c r="B454" s="2" t="s">
        <v>5294</v>
      </c>
      <c r="C454" s="1">
        <v>23</v>
      </c>
      <c r="D454" s="1">
        <v>6</v>
      </c>
      <c r="E454" s="1">
        <v>17</v>
      </c>
      <c r="F454" s="1">
        <v>4</v>
      </c>
      <c r="K454" s="6">
        <v>1081</v>
      </c>
      <c r="L454" s="6">
        <v>277896</v>
      </c>
      <c r="M454" s="1">
        <v>57.7</v>
      </c>
      <c r="N454" s="1">
        <v>14</v>
      </c>
      <c r="O454" s="1">
        <v>5</v>
      </c>
      <c r="P454" s="1">
        <v>12.8</v>
      </c>
      <c r="Q454" s="11">
        <f>'Table H'!$J$99</f>
        <v>0.9358184797000676</v>
      </c>
      <c r="R454" s="11">
        <f t="shared" si="14"/>
        <v>260060.21223472999</v>
      </c>
      <c r="S454" s="11" t="str">
        <f t="shared" si="15"/>
        <v>Broadstairs and St. Peters UD</v>
      </c>
      <c r="T454" s="11" t="s">
        <v>5214</v>
      </c>
      <c r="V454" s="11" t="str">
        <f>INDEX('Lookup 1961'!$A$2:$A$1300, MATCH(S454, 'Lookup 1961'!$B$2:$B$1300,0))</f>
        <v>J04000216</v>
      </c>
      <c r="W454" s="11" t="str">
        <f>INDEX('Lookup 1961'!$F$2:$F$1300, MATCH(S454, 'Lookup 1961'!$B$2:$B$1300,0))</f>
        <v>e190515</v>
      </c>
      <c r="X454" s="11" t="str">
        <f>INDEX('Lookup 1961'!$C$2:$C$1300, MATCH(V454, 'Lookup 1961'!$A$2:$A$1300,0))</f>
        <v>Kent</v>
      </c>
    </row>
    <row r="455" spans="1:24" ht="25.05" customHeight="1" x14ac:dyDescent="0.3">
      <c r="A455" s="2" t="s">
        <v>448</v>
      </c>
      <c r="B455" s="2" t="s">
        <v>448</v>
      </c>
      <c r="C455" s="1">
        <v>22</v>
      </c>
      <c r="D455" s="1">
        <v>10</v>
      </c>
      <c r="E455" s="1">
        <v>16</v>
      </c>
      <c r="F455" s="1">
        <v>8</v>
      </c>
      <c r="K455" s="6">
        <v>4990</v>
      </c>
      <c r="L455" s="6">
        <v>1249746</v>
      </c>
      <c r="M455" s="1">
        <v>69</v>
      </c>
      <c r="N455" s="1">
        <v>11</v>
      </c>
      <c r="O455" s="1">
        <v>15</v>
      </c>
      <c r="P455" s="1">
        <v>21.3</v>
      </c>
      <c r="Q455" s="11">
        <f>'Table H'!$J$99</f>
        <v>0.9358184797000676</v>
      </c>
      <c r="R455" s="11">
        <f t="shared" si="14"/>
        <v>1169535.4017312406</v>
      </c>
      <c r="S455" s="11" t="str">
        <f t="shared" si="15"/>
        <v>Chislehurst and Sidcup UD</v>
      </c>
      <c r="T455" s="11" t="s">
        <v>5214</v>
      </c>
      <c r="V455" s="11" t="str">
        <f>INDEX('Lookup 1961'!$A$2:$A$1300, MATCH(S455, 'Lookup 1961'!$B$2:$B$1300,0))</f>
        <v>J04000312</v>
      </c>
      <c r="W455" s="11" t="str">
        <f>INDEX('Lookup 1961'!$F$2:$F$1300, MATCH(S455, 'Lookup 1961'!$B$2:$B$1300,0))</f>
        <v>e140375</v>
      </c>
      <c r="X455" s="11" t="str">
        <f>INDEX('Lookup 1961'!$C$2:$C$1300, MATCH(V455, 'Lookup 1961'!$A$2:$A$1300,0))</f>
        <v>Outer London</v>
      </c>
    </row>
    <row r="456" spans="1:24" ht="25.05" customHeight="1" x14ac:dyDescent="0.3">
      <c r="A456" s="2" t="s">
        <v>449</v>
      </c>
      <c r="B456" s="2" t="s">
        <v>449</v>
      </c>
      <c r="C456" s="1">
        <v>25</v>
      </c>
      <c r="D456" s="1">
        <v>6</v>
      </c>
      <c r="E456" s="1">
        <v>17</v>
      </c>
      <c r="F456" s="1">
        <v>5</v>
      </c>
      <c r="K456" s="6">
        <v>1552</v>
      </c>
      <c r="L456" s="6">
        <v>389018</v>
      </c>
      <c r="M456" s="1">
        <v>94.1</v>
      </c>
      <c r="N456" s="1">
        <v>11</v>
      </c>
      <c r="O456" s="1">
        <v>9</v>
      </c>
      <c r="P456" s="1">
        <v>24.9</v>
      </c>
      <c r="Q456" s="11">
        <f>'Table H'!$J$99</f>
        <v>0.9358184797000676</v>
      </c>
      <c r="R456" s="11">
        <f t="shared" si="14"/>
        <v>364050.23333596089</v>
      </c>
      <c r="S456" s="11" t="str">
        <f t="shared" si="15"/>
        <v>Crayford UD</v>
      </c>
      <c r="T456" s="11" t="s">
        <v>5214</v>
      </c>
      <c r="V456" s="11" t="str">
        <f>INDEX('Lookup 1961'!$A$2:$A$1300, MATCH(S456, 'Lookup 1961'!$B$2:$B$1300,0))</f>
        <v>J04000358</v>
      </c>
      <c r="W456" s="11" t="str">
        <f>INDEX('Lookup 1961'!$F$2:$F$1300, MATCH(S456, 'Lookup 1961'!$B$2:$B$1300,0))</f>
        <v>e140373</v>
      </c>
      <c r="X456" s="11" t="str">
        <f>INDEX('Lookup 1961'!$C$2:$C$1300, MATCH(V456, 'Lookup 1961'!$A$2:$A$1300,0))</f>
        <v>Outer London</v>
      </c>
    </row>
    <row r="457" spans="1:24" ht="25.05" customHeight="1" x14ac:dyDescent="0.3">
      <c r="A457" s="2" t="s">
        <v>450</v>
      </c>
      <c r="B457" s="2" t="s">
        <v>450</v>
      </c>
      <c r="C457" s="1">
        <v>25</v>
      </c>
      <c r="D457" s="1">
        <v>0</v>
      </c>
      <c r="E457" s="1">
        <v>17</v>
      </c>
      <c r="F457" s="1">
        <v>6</v>
      </c>
      <c r="K457" s="6">
        <v>1310</v>
      </c>
      <c r="L457" s="6">
        <v>331692</v>
      </c>
      <c r="M457" s="1">
        <v>64.900000000000006</v>
      </c>
      <c r="N457" s="1">
        <v>15</v>
      </c>
      <c r="O457" s="1">
        <v>11</v>
      </c>
      <c r="P457" s="1">
        <v>13.5</v>
      </c>
      <c r="Q457" s="11">
        <f>'Table H'!$J$99</f>
        <v>0.9358184797000676</v>
      </c>
      <c r="R457" s="11">
        <f t="shared" si="14"/>
        <v>310403.50316867483</v>
      </c>
      <c r="S457" s="11" t="str">
        <f t="shared" si="15"/>
        <v>Herne Bay UD</v>
      </c>
      <c r="T457" s="11" t="s">
        <v>5214</v>
      </c>
      <c r="V457" s="11" t="str">
        <f>INDEX('Lookup 1961'!$A$2:$A$1300, MATCH(S457, 'Lookup 1961'!$B$2:$B$1300,0))</f>
        <v>J04000613</v>
      </c>
      <c r="W457" s="11" t="str">
        <f>INDEX('Lookup 1961'!$F$2:$F$1300, MATCH(S457, 'Lookup 1961'!$B$2:$B$1300,0))</f>
        <v>e190524</v>
      </c>
      <c r="X457" s="11" t="str">
        <f>INDEX('Lookup 1961'!$C$2:$C$1300, MATCH(V457, 'Lookup 1961'!$A$2:$A$1300,0))</f>
        <v>Kent</v>
      </c>
    </row>
    <row r="458" spans="1:24" ht="25.05" customHeight="1" x14ac:dyDescent="0.3">
      <c r="A458" s="2" t="s">
        <v>451</v>
      </c>
      <c r="B458" s="2" t="s">
        <v>451</v>
      </c>
      <c r="C458" s="1">
        <v>26</v>
      </c>
      <c r="D458" s="1">
        <v>4</v>
      </c>
      <c r="E458" s="1">
        <v>18</v>
      </c>
      <c r="F458" s="1">
        <v>6</v>
      </c>
      <c r="K458" s="6">
        <v>1011</v>
      </c>
      <c r="L458" s="6">
        <v>250891</v>
      </c>
      <c r="M458" s="1">
        <v>91</v>
      </c>
      <c r="N458" s="1">
        <v>11</v>
      </c>
      <c r="O458" s="1">
        <v>13</v>
      </c>
      <c r="P458" s="1">
        <v>31.3</v>
      </c>
      <c r="Q458" s="11">
        <f>'Table H'!$J$99</f>
        <v>0.9358184797000676</v>
      </c>
      <c r="R458" s="11">
        <f t="shared" si="14"/>
        <v>234788.43419042966</v>
      </c>
      <c r="S458" s="11" t="str">
        <f t="shared" si="15"/>
        <v>Northfleet UD</v>
      </c>
      <c r="T458" s="11" t="s">
        <v>5214</v>
      </c>
      <c r="V458" s="11" t="str">
        <f>INDEX('Lookup 1961'!$A$2:$A$1300, MATCH(S458, 'Lookup 1961'!$B$2:$B$1300,0))</f>
        <v>J04000934</v>
      </c>
      <c r="W458" s="11" t="str">
        <f>INDEX('Lookup 1961'!$F$2:$F$1300, MATCH(S458, 'Lookup 1961'!$B$2:$B$1300,0))</f>
        <v>e190530</v>
      </c>
      <c r="X458" s="11" t="str">
        <f>INDEX('Lookup 1961'!$C$2:$C$1300, MATCH(V458, 'Lookup 1961'!$A$2:$A$1300,0))</f>
        <v>Kent</v>
      </c>
    </row>
    <row r="459" spans="1:24" ht="25.05" customHeight="1" x14ac:dyDescent="0.3">
      <c r="A459" s="2" t="s">
        <v>452</v>
      </c>
      <c r="B459" s="2" t="s">
        <v>452</v>
      </c>
      <c r="C459" s="1">
        <v>22</v>
      </c>
      <c r="D459" s="1">
        <v>6</v>
      </c>
      <c r="E459" s="1">
        <v>16</v>
      </c>
      <c r="F459" s="1">
        <v>0</v>
      </c>
      <c r="K459" s="6">
        <v>4470</v>
      </c>
      <c r="L459" s="6">
        <v>1072620</v>
      </c>
      <c r="M459" s="1">
        <v>70.099999999999994</v>
      </c>
      <c r="N459" s="1">
        <v>12</v>
      </c>
      <c r="O459" s="1">
        <v>4</v>
      </c>
      <c r="P459" s="1">
        <v>16.600000000000001</v>
      </c>
      <c r="Q459" s="11">
        <f>'Table H'!$J$99</f>
        <v>0.9358184797000676</v>
      </c>
      <c r="R459" s="11">
        <f t="shared" si="14"/>
        <v>1003777.6176958865</v>
      </c>
      <c r="S459" s="11" t="str">
        <f t="shared" si="15"/>
        <v>Orpington UD</v>
      </c>
      <c r="T459" s="11" t="s">
        <v>5214</v>
      </c>
      <c r="V459" s="11" t="str">
        <f>INDEX('Lookup 1961'!$A$2:$A$1300, MATCH(S459, 'Lookup 1961'!$B$2:$B$1300,0))</f>
        <v>J04000956</v>
      </c>
      <c r="W459" s="11" t="str">
        <f>INDEX('Lookup 1961'!$F$2:$F$1300, MATCH(S459, 'Lookup 1961'!$B$2:$B$1300,0))</f>
        <v>e140375</v>
      </c>
      <c r="X459" s="11" t="str">
        <f>INDEX('Lookup 1961'!$C$2:$C$1300, MATCH(V459, 'Lookup 1961'!$A$2:$A$1300,0))</f>
        <v>Outer London</v>
      </c>
    </row>
    <row r="460" spans="1:24" ht="25.05" customHeight="1" x14ac:dyDescent="0.3">
      <c r="A460" s="2" t="s">
        <v>453</v>
      </c>
      <c r="B460" s="2" t="s">
        <v>453</v>
      </c>
      <c r="C460" s="1">
        <v>24</v>
      </c>
      <c r="D460" s="1">
        <v>0</v>
      </c>
      <c r="E460" s="1">
        <v>18</v>
      </c>
      <c r="F460" s="1">
        <v>0</v>
      </c>
      <c r="K460" s="6">
        <v>1380</v>
      </c>
      <c r="L460" s="6">
        <v>352092</v>
      </c>
      <c r="M460" s="1">
        <v>68.099999999999994</v>
      </c>
      <c r="N460" s="1">
        <v>12</v>
      </c>
      <c r="O460" s="1">
        <v>4</v>
      </c>
      <c r="P460" s="1">
        <v>24.2</v>
      </c>
      <c r="Q460" s="11">
        <f>'Table H'!$J$99</f>
        <v>0.9358184797000676</v>
      </c>
      <c r="R460" s="11">
        <f t="shared" si="14"/>
        <v>329494.20015455619</v>
      </c>
      <c r="S460" s="11" t="str">
        <f t="shared" si="15"/>
        <v>Penge UD</v>
      </c>
      <c r="T460" s="11" t="s">
        <v>5214</v>
      </c>
      <c r="V460" s="11" t="str">
        <f>INDEX('Lookup 1961'!$A$2:$A$1300, MATCH(S460, 'Lookup 1961'!$B$2:$B$1300,0))</f>
        <v>J04000976</v>
      </c>
      <c r="W460" s="11" t="str">
        <f>INDEX('Lookup 1961'!$F$2:$F$1300, MATCH(S460, 'Lookup 1961'!$B$2:$B$1300,0))</f>
        <v>e140375</v>
      </c>
      <c r="X460" s="11" t="str">
        <f>INDEX('Lookup 1961'!$C$2:$C$1300, MATCH(V460, 'Lookup 1961'!$A$2:$A$1300,0))</f>
        <v>Outer London</v>
      </c>
    </row>
    <row r="461" spans="1:24" ht="25.05" customHeight="1" x14ac:dyDescent="0.3">
      <c r="A461" s="2" t="s">
        <v>454</v>
      </c>
      <c r="B461" s="2" t="s">
        <v>454</v>
      </c>
      <c r="C461" s="1">
        <v>22</v>
      </c>
      <c r="D461" s="1">
        <v>10</v>
      </c>
      <c r="E461" s="1">
        <v>17</v>
      </c>
      <c r="F461" s="1">
        <v>0</v>
      </c>
      <c r="K461" s="6">
        <v>1260</v>
      </c>
      <c r="L461" s="6">
        <v>310619</v>
      </c>
      <c r="M461" s="1">
        <v>54.9</v>
      </c>
      <c r="N461" s="1">
        <v>15</v>
      </c>
      <c r="O461" s="1">
        <v>13</v>
      </c>
      <c r="P461" s="1">
        <v>12.2</v>
      </c>
      <c r="Q461" s="11">
        <f>'Table H'!$J$99</f>
        <v>0.9358184797000676</v>
      </c>
      <c r="R461" s="11">
        <f t="shared" si="14"/>
        <v>290683.00034595531</v>
      </c>
      <c r="S461" s="11" t="str">
        <f t="shared" si="15"/>
        <v>Sevenoaks UD</v>
      </c>
      <c r="T461" s="11" t="s">
        <v>5214</v>
      </c>
      <c r="V461" s="11" t="str">
        <f>INDEX('Lookup 1961'!$A$2:$A$1300, MATCH(S461, 'Lookup 1961'!$B$2:$B$1300,0))</f>
        <v>J04001122</v>
      </c>
      <c r="W461" s="11" t="str">
        <f>INDEX('Lookup 1961'!$F$2:$F$1300, MATCH(S461, 'Lookup 1961'!$B$2:$B$1300,0))</f>
        <v>e190536</v>
      </c>
      <c r="X461" s="11" t="str">
        <f>INDEX('Lookup 1961'!$C$2:$C$1300, MATCH(V461, 'Lookup 1961'!$A$2:$A$1300,0))</f>
        <v>Kent</v>
      </c>
    </row>
    <row r="462" spans="1:24" ht="25.05" customHeight="1" x14ac:dyDescent="0.3">
      <c r="A462" s="2" t="s">
        <v>455</v>
      </c>
      <c r="B462" s="2" t="s">
        <v>455</v>
      </c>
      <c r="C462" s="1">
        <v>25</v>
      </c>
      <c r="D462" s="1">
        <v>0</v>
      </c>
      <c r="E462" s="1">
        <v>18</v>
      </c>
      <c r="F462" s="1">
        <v>0</v>
      </c>
      <c r="K462" s="1">
        <v>730</v>
      </c>
      <c r="L462" s="6">
        <v>180626</v>
      </c>
      <c r="M462" s="1">
        <v>57.7</v>
      </c>
      <c r="N462" s="1">
        <v>10</v>
      </c>
      <c r="O462" s="1">
        <v>5</v>
      </c>
      <c r="P462" s="1">
        <v>14.7</v>
      </c>
      <c r="Q462" s="11">
        <f>'Table H'!$J$99</f>
        <v>0.9358184797000676</v>
      </c>
      <c r="R462" s="11">
        <f t="shared" si="14"/>
        <v>169033.14871430441</v>
      </c>
      <c r="S462" s="11" t="str">
        <f t="shared" si="15"/>
        <v>Sheerness UD</v>
      </c>
      <c r="T462" s="11" t="s">
        <v>5214</v>
      </c>
      <c r="V462" s="11" t="str">
        <f>INDEX('Lookup 1961'!$A$2:$A$1300, MATCH(S462, 'Lookup 1961'!$B$2:$B$1300,0))</f>
        <v>J04001125</v>
      </c>
      <c r="W462" s="11" t="str">
        <f>INDEX('Lookup 1961'!$F$2:$F$1300, MATCH(S462, 'Lookup 1961'!$B$2:$B$1300,0))</f>
        <v>e190531</v>
      </c>
      <c r="X462" s="11" t="str">
        <f>INDEX('Lookup 1961'!$C$2:$C$1300, MATCH(V462, 'Lookup 1961'!$A$2:$A$1300,0))</f>
        <v>Kent</v>
      </c>
    </row>
    <row r="463" spans="1:24" ht="25.05" customHeight="1" x14ac:dyDescent="0.3">
      <c r="A463" s="2" t="s">
        <v>456</v>
      </c>
      <c r="B463" s="2" t="s">
        <v>456</v>
      </c>
      <c r="C463" s="1">
        <v>26</v>
      </c>
      <c r="D463" s="1">
        <v>4</v>
      </c>
      <c r="E463" s="1">
        <v>18</v>
      </c>
      <c r="F463" s="1">
        <v>10</v>
      </c>
      <c r="K463" s="6">
        <v>1215</v>
      </c>
      <c r="L463" s="6">
        <v>306407</v>
      </c>
      <c r="M463" s="1">
        <v>68.5</v>
      </c>
      <c r="N463" s="1">
        <v>12</v>
      </c>
      <c r="O463" s="1">
        <v>18</v>
      </c>
      <c r="P463" s="1">
        <v>20.2</v>
      </c>
      <c r="Q463" s="11">
        <f>'Table H'!$J$99</f>
        <v>0.9358184797000676</v>
      </c>
      <c r="R463" s="11">
        <f t="shared" si="14"/>
        <v>286741.33290945861</v>
      </c>
      <c r="S463" s="11" t="str">
        <f t="shared" si="15"/>
        <v>Sittingbourne and Milton UD</v>
      </c>
      <c r="T463" s="11" t="s">
        <v>5214</v>
      </c>
      <c r="V463" s="11" t="str">
        <f>INDEX('Lookup 1961'!$A$2:$A$1300, MATCH(S463, 'Lookup 1961'!$B$2:$B$1300,0))</f>
        <v>J04001143</v>
      </c>
      <c r="W463" s="11" t="str">
        <f>INDEX('Lookup 1961'!$F$2:$F$1300, MATCH(S463, 'Lookup 1961'!$B$2:$B$1300,0))</f>
        <v>e190537</v>
      </c>
      <c r="X463" s="11" t="str">
        <f>INDEX('Lookup 1961'!$C$2:$C$1300, MATCH(V463, 'Lookup 1961'!$A$2:$A$1300,0))</f>
        <v>Kent</v>
      </c>
    </row>
    <row r="464" spans="1:24" ht="25.05" customHeight="1" x14ac:dyDescent="0.3">
      <c r="A464" s="2" t="s">
        <v>457</v>
      </c>
      <c r="B464" s="2" t="s">
        <v>457</v>
      </c>
      <c r="C464" s="1">
        <v>25</v>
      </c>
      <c r="D464" s="1">
        <v>3</v>
      </c>
      <c r="E464" s="1">
        <v>18</v>
      </c>
      <c r="F464" s="1">
        <v>8</v>
      </c>
      <c r="K464" s="1">
        <v>430</v>
      </c>
      <c r="L464" s="6">
        <v>110386</v>
      </c>
      <c r="M464" s="1">
        <v>46.9</v>
      </c>
      <c r="N464" s="1">
        <v>11</v>
      </c>
      <c r="O464" s="1">
        <v>8</v>
      </c>
      <c r="P464" s="1">
        <v>8.4</v>
      </c>
      <c r="Q464" s="11">
        <f>'Table H'!$J$99</f>
        <v>0.9358184797000676</v>
      </c>
      <c r="R464" s="11">
        <f t="shared" si="14"/>
        <v>103301.25870017166</v>
      </c>
      <c r="S464" s="11" t="str">
        <f t="shared" si="15"/>
        <v>Southborough UD</v>
      </c>
      <c r="T464" s="11" t="s">
        <v>5214</v>
      </c>
      <c r="V464" s="11" t="str">
        <f>INDEX('Lookup 1961'!$A$2:$A$1300, MATCH(S464, 'Lookup 1961'!$B$2:$B$1300,0))</f>
        <v>J04001165</v>
      </c>
      <c r="W464" s="11" t="str">
        <f>INDEX('Lookup 1961'!$F$2:$F$1300, MATCH(S464, 'Lookup 1961'!$B$2:$B$1300,0))</f>
        <v>e190538</v>
      </c>
      <c r="X464" s="11" t="str">
        <f>INDEX('Lookup 1961'!$C$2:$C$1300, MATCH(V464, 'Lookup 1961'!$A$2:$A$1300,0))</f>
        <v>Kent</v>
      </c>
    </row>
    <row r="465" spans="1:24" ht="25.05" customHeight="1" x14ac:dyDescent="0.3">
      <c r="A465" s="2" t="s">
        <v>458</v>
      </c>
      <c r="B465" s="2" t="s">
        <v>458</v>
      </c>
      <c r="C465" s="1">
        <v>24</v>
      </c>
      <c r="D465" s="1">
        <v>0</v>
      </c>
      <c r="E465" s="1">
        <v>17</v>
      </c>
      <c r="F465" s="1">
        <v>6</v>
      </c>
      <c r="K465" s="1">
        <v>485</v>
      </c>
      <c r="L465" s="6">
        <v>122232</v>
      </c>
      <c r="M465" s="1">
        <v>91.4</v>
      </c>
      <c r="N465" s="1">
        <v>11</v>
      </c>
      <c r="O465" s="1">
        <v>17</v>
      </c>
      <c r="P465" s="1">
        <v>36.9</v>
      </c>
      <c r="Q465" s="11">
        <f>'Table H'!$J$99</f>
        <v>0.9358184797000676</v>
      </c>
      <c r="R465" s="11">
        <f t="shared" si="14"/>
        <v>114386.96441069867</v>
      </c>
      <c r="S465" s="11" t="str">
        <f t="shared" si="15"/>
        <v>Swanscombe UD</v>
      </c>
      <c r="T465" s="11" t="s">
        <v>5214</v>
      </c>
      <c r="V465" s="11" t="str">
        <f>INDEX('Lookup 1961'!$A$2:$A$1300, MATCH(S465, 'Lookup 1961'!$B$2:$B$1300,0))</f>
        <v>J04001242</v>
      </c>
      <c r="W465" s="11" t="str">
        <f>INDEX('Lookup 1961'!$F$2:$F$1300, MATCH(S465, 'Lookup 1961'!$B$2:$B$1300,0))</f>
        <v>e190539</v>
      </c>
      <c r="X465" s="11" t="str">
        <f>INDEX('Lookup 1961'!$C$2:$C$1300, MATCH(V465, 'Lookup 1961'!$A$2:$A$1300,0))</f>
        <v>Kent</v>
      </c>
    </row>
    <row r="466" spans="1:24" ht="25.05" customHeight="1" x14ac:dyDescent="0.3">
      <c r="A466" s="2" t="s">
        <v>459</v>
      </c>
      <c r="B466" s="2" t="s">
        <v>459</v>
      </c>
      <c r="C466" s="1">
        <v>24</v>
      </c>
      <c r="D466" s="1">
        <v>10</v>
      </c>
      <c r="E466" s="1">
        <v>18</v>
      </c>
      <c r="F466" s="1">
        <v>2</v>
      </c>
      <c r="K466" s="6">
        <v>1200</v>
      </c>
      <c r="L466" s="6">
        <v>309361</v>
      </c>
      <c r="M466" s="1">
        <v>74.2</v>
      </c>
      <c r="N466" s="1">
        <v>13</v>
      </c>
      <c r="O466" s="1">
        <v>2</v>
      </c>
      <c r="P466" s="1">
        <v>24.3</v>
      </c>
      <c r="Q466" s="11">
        <f>'Table H'!$J$99</f>
        <v>0.9358184797000676</v>
      </c>
      <c r="R466" s="11">
        <f t="shared" si="14"/>
        <v>289505.74069849262</v>
      </c>
      <c r="S466" s="11" t="str">
        <f t="shared" si="15"/>
        <v>Tonbridge UD</v>
      </c>
      <c r="T466" s="11" t="s">
        <v>5214</v>
      </c>
      <c r="V466" s="11" t="str">
        <f>INDEX('Lookup 1961'!$A$2:$A$1300, MATCH(S466, 'Lookup 1961'!$B$2:$B$1300,0))</f>
        <v>J04001283</v>
      </c>
      <c r="W466" s="11" t="str">
        <f>INDEX('Lookup 1961'!$F$2:$F$1300, MATCH(S466, 'Lookup 1961'!$B$2:$B$1300,0))</f>
        <v>e190541</v>
      </c>
      <c r="X466" s="11" t="str">
        <f>INDEX('Lookup 1961'!$C$2:$C$1300, MATCH(V466, 'Lookup 1961'!$A$2:$A$1300,0))</f>
        <v>Kent</v>
      </c>
    </row>
    <row r="467" spans="1:24" ht="25.05" customHeight="1" x14ac:dyDescent="0.3">
      <c r="A467" s="2" t="s">
        <v>460</v>
      </c>
      <c r="B467" s="2" t="s">
        <v>460</v>
      </c>
      <c r="C467" s="1">
        <v>24</v>
      </c>
      <c r="D467" s="1">
        <v>9</v>
      </c>
      <c r="E467" s="1">
        <v>17</v>
      </c>
      <c r="F467" s="1">
        <v>6</v>
      </c>
      <c r="K467" s="6">
        <v>1075</v>
      </c>
      <c r="L467" s="6">
        <v>270226</v>
      </c>
      <c r="M467" s="1">
        <v>70.7</v>
      </c>
      <c r="N467" s="1">
        <v>13</v>
      </c>
      <c r="O467" s="1">
        <v>7</v>
      </c>
      <c r="P467" s="1">
        <v>20.7</v>
      </c>
      <c r="Q467" s="11">
        <f>'Table H'!$J$99</f>
        <v>0.9358184797000676</v>
      </c>
      <c r="R467" s="11">
        <f t="shared" si="14"/>
        <v>252882.48449543046</v>
      </c>
      <c r="S467" s="11" t="str">
        <f t="shared" si="15"/>
        <v>Whitstable UD</v>
      </c>
      <c r="T467" s="11" t="s">
        <v>5214</v>
      </c>
      <c r="V467" s="11" t="str">
        <f>INDEX('Lookup 1961'!$A$2:$A$1300, MATCH(S467, 'Lookup 1961'!$B$2:$B$1300,0))</f>
        <v>J04001405</v>
      </c>
      <c r="W467" s="11" t="str">
        <f>INDEX('Lookup 1961'!$F$2:$F$1300, MATCH(S467, 'Lookup 1961'!$B$2:$B$1300,0))</f>
        <v>e190542</v>
      </c>
      <c r="X467" s="11" t="str">
        <f>INDEX('Lookup 1961'!$C$2:$C$1300, MATCH(V467, 'Lookup 1961'!$A$2:$A$1300,0))</f>
        <v>Kent</v>
      </c>
    </row>
    <row r="468" spans="1:24" ht="25.05" customHeight="1" x14ac:dyDescent="0.3">
      <c r="A468" s="2" t="s">
        <v>461</v>
      </c>
      <c r="B468" s="2" t="s">
        <v>461</v>
      </c>
      <c r="S468" s="11" t="str">
        <f t="shared" si="15"/>
        <v xml:space="preserve">LANCASTER: </v>
      </c>
      <c r="V468" s="11" t="e">
        <f>INDEX('Lookup 1961'!$A$2:$A$1300, MATCH(S468, 'Lookup 1961'!$B$2:$B$1300,0))</f>
        <v>#N/A</v>
      </c>
      <c r="W468" s="11" t="e">
        <f>INDEX('Lookup 1961'!$F$2:$F$1300, MATCH(S468, 'Lookup 1961'!$B$2:$B$1300,0))</f>
        <v>#N/A</v>
      </c>
      <c r="X468" s="11" t="e">
        <f>INDEX('Lookup 1961'!$C$2:$C$1300, MATCH(V468, 'Lookup 1961'!$A$2:$A$1300,0))</f>
        <v>#N/A</v>
      </c>
    </row>
    <row r="469" spans="1:24" ht="25.05" customHeight="1" x14ac:dyDescent="0.3">
      <c r="A469" s="2" t="s">
        <v>146</v>
      </c>
      <c r="B469" s="2" t="s">
        <v>5257</v>
      </c>
      <c r="S469" s="11" t="str">
        <f t="shared" si="15"/>
        <v xml:space="preserve">Non County Boroughs  </v>
      </c>
      <c r="V469" s="11" t="e">
        <f>INDEX('Lookup 1961'!$A$2:$A$1300, MATCH(S469, 'Lookup 1961'!$B$2:$B$1300,0))</f>
        <v>#N/A</v>
      </c>
      <c r="W469" s="11" t="e">
        <f>INDEX('Lookup 1961'!$F$2:$F$1300, MATCH(S469, 'Lookup 1961'!$B$2:$B$1300,0))</f>
        <v>#N/A</v>
      </c>
      <c r="X469" s="11" t="e">
        <f>INDEX('Lookup 1961'!$C$2:$C$1300, MATCH(V469, 'Lookup 1961'!$A$2:$A$1300,0))</f>
        <v>#N/A</v>
      </c>
    </row>
    <row r="470" spans="1:24" ht="25.05" customHeight="1" x14ac:dyDescent="0.3">
      <c r="A470" s="2" t="s">
        <v>462</v>
      </c>
      <c r="B470" s="2" t="s">
        <v>462</v>
      </c>
      <c r="C470" s="1">
        <v>24</v>
      </c>
      <c r="D470" s="1">
        <v>6</v>
      </c>
      <c r="E470" s="1">
        <v>18</v>
      </c>
      <c r="F470" s="1">
        <v>9</v>
      </c>
      <c r="K470" s="6">
        <v>1500</v>
      </c>
      <c r="L470" s="6">
        <v>380230</v>
      </c>
      <c r="M470" s="1">
        <v>40</v>
      </c>
      <c r="N470" s="1">
        <v>8</v>
      </c>
      <c r="O470" s="1">
        <v>14</v>
      </c>
      <c r="P470" s="1">
        <v>8.1</v>
      </c>
      <c r="Q470" s="11">
        <f>'Table H'!$J$103</f>
        <v>0.89512174954973278</v>
      </c>
      <c r="R470" s="11">
        <f t="shared" si="14"/>
        <v>340352.14283129491</v>
      </c>
      <c r="S470" s="11" t="str">
        <f t="shared" si="15"/>
        <v>Accrington MB</v>
      </c>
      <c r="T470" s="11" t="s">
        <v>5211</v>
      </c>
      <c r="V470" s="11" t="str">
        <f>INDEX('Lookup 1961'!$A$2:$A$1300, MATCH(S470, 'Lookup 1961'!$B$2:$B$1300,0))</f>
        <v>J04000014</v>
      </c>
      <c r="W470" s="11" t="str">
        <f>INDEX('Lookup 1961'!$F$2:$F$1300, MATCH(S470, 'Lookup 1961'!$B$2:$B$1300,0))</f>
        <v>e200580</v>
      </c>
      <c r="X470" s="11" t="str">
        <f>INDEX('Lookup 1961'!$C$2:$C$1300, MATCH(V470, 'Lookup 1961'!$A$2:$A$1300,0))</f>
        <v>Lancashire</v>
      </c>
    </row>
    <row r="471" spans="1:24" ht="25.05" customHeight="1" x14ac:dyDescent="0.3">
      <c r="A471" s="2" t="s">
        <v>463</v>
      </c>
      <c r="B471" s="2" t="s">
        <v>5261</v>
      </c>
      <c r="C471" s="1">
        <v>22</v>
      </c>
      <c r="D471" s="1">
        <v>0</v>
      </c>
      <c r="E471" s="1">
        <v>16</v>
      </c>
      <c r="F471" s="1">
        <v>6</v>
      </c>
      <c r="K471" s="6">
        <v>1986</v>
      </c>
      <c r="L471" s="6">
        <v>517744</v>
      </c>
      <c r="M471" s="1">
        <v>69.400000000000006</v>
      </c>
      <c r="N471" s="1">
        <v>7</v>
      </c>
      <c r="O471" s="1">
        <v>18</v>
      </c>
      <c r="P471" s="1">
        <v>27.6</v>
      </c>
      <c r="Q471" s="11">
        <f>'Table H'!$J$103</f>
        <v>0.89512174954973278</v>
      </c>
      <c r="R471" s="11">
        <f t="shared" si="14"/>
        <v>463443.91509887687</v>
      </c>
      <c r="S471" s="11" t="str">
        <f t="shared" si="15"/>
        <v>Ashton under Lyne MB</v>
      </c>
      <c r="T471" s="11" t="s">
        <v>5211</v>
      </c>
      <c r="V471" s="11" t="str">
        <f>INDEX('Lookup 1961'!$A$2:$A$1300, MATCH(S471, 'Lookup 1961'!$B$2:$B$1300,0))</f>
        <v>J04000057</v>
      </c>
      <c r="W471" s="11" t="str">
        <f>INDEX('Lookup 1961'!$F$2:$F$1300, MATCH(S471, 'Lookup 1961'!$B$2:$B$1300,0))</f>
        <v>e200584</v>
      </c>
      <c r="X471" s="11" t="str">
        <f>INDEX('Lookup 1961'!$C$2:$C$1300, MATCH(V471, 'Lookup 1961'!$A$2:$A$1300,0))</f>
        <v>Greater Manchester</v>
      </c>
    </row>
    <row r="472" spans="1:24" ht="25.05" customHeight="1" x14ac:dyDescent="0.3">
      <c r="A472" s="2" t="s">
        <v>464</v>
      </c>
      <c r="B472" s="2" t="s">
        <v>464</v>
      </c>
      <c r="C472" s="1">
        <v>26</v>
      </c>
      <c r="D472" s="1">
        <v>9</v>
      </c>
      <c r="E472" s="1">
        <v>21</v>
      </c>
      <c r="F472" s="1">
        <v>6</v>
      </c>
      <c r="K472" s="1">
        <v>550</v>
      </c>
      <c r="L472" s="6">
        <v>142248</v>
      </c>
      <c r="M472" s="1">
        <v>43.5</v>
      </c>
      <c r="N472" s="1">
        <v>8</v>
      </c>
      <c r="O472" s="1">
        <v>2</v>
      </c>
      <c r="P472" s="1">
        <v>16.8</v>
      </c>
      <c r="Q472" s="11">
        <f>'Table H'!$J$103</f>
        <v>0.89512174954973278</v>
      </c>
      <c r="R472" s="11">
        <f t="shared" si="14"/>
        <v>127329.27862995039</v>
      </c>
      <c r="S472" s="11" t="str">
        <f t="shared" si="15"/>
        <v>Bacup MB</v>
      </c>
      <c r="T472" s="11" t="s">
        <v>5211</v>
      </c>
      <c r="V472" s="11" t="str">
        <f>INDEX('Lookup 1961'!$A$2:$A$1300, MATCH(S472, 'Lookup 1961'!$B$2:$B$1300,0))</f>
        <v>J04000068</v>
      </c>
      <c r="W472" s="11" t="str">
        <f>INDEX('Lookup 1961'!$F$2:$F$1300, MATCH(S472, 'Lookup 1961'!$B$2:$B$1300,0))</f>
        <v>e200588</v>
      </c>
      <c r="X472" s="11" t="str">
        <f>INDEX('Lookup 1961'!$C$2:$C$1300, MATCH(V472, 'Lookup 1961'!$A$2:$A$1300,0))</f>
        <v>Lancashire</v>
      </c>
    </row>
    <row r="473" spans="1:24" ht="25.05" customHeight="1" x14ac:dyDescent="0.3">
      <c r="A473" s="2" t="s">
        <v>465</v>
      </c>
      <c r="B473" s="2" t="s">
        <v>465</v>
      </c>
      <c r="C473" s="1">
        <v>22</v>
      </c>
      <c r="D473" s="1">
        <v>0</v>
      </c>
      <c r="E473" s="1">
        <v>16</v>
      </c>
      <c r="F473" s="1">
        <v>0</v>
      </c>
      <c r="K473" s="6">
        <v>1065</v>
      </c>
      <c r="L473" s="6">
        <v>272657</v>
      </c>
      <c r="M473" s="1">
        <v>48.1</v>
      </c>
      <c r="N473" s="1">
        <v>6</v>
      </c>
      <c r="O473" s="1">
        <v>13</v>
      </c>
      <c r="P473" s="1">
        <v>10.4</v>
      </c>
      <c r="Q473" s="11">
        <f>'Table H'!$J$103</f>
        <v>0.89512174954973278</v>
      </c>
      <c r="R473" s="11">
        <f t="shared" si="14"/>
        <v>244061.21086698148</v>
      </c>
      <c r="S473" s="11" t="str">
        <f t="shared" si="15"/>
        <v>Chorley MB</v>
      </c>
      <c r="T473" s="11" t="s">
        <v>5211</v>
      </c>
      <c r="V473" s="11" t="str">
        <f>INDEX('Lookup 1961'!$A$2:$A$1300, MATCH(S473, 'Lookup 1961'!$B$2:$B$1300,0))</f>
        <v>J04000313</v>
      </c>
      <c r="W473" s="11" t="str">
        <f>INDEX('Lookup 1961'!$F$2:$F$1300, MATCH(S473, 'Lookup 1961'!$B$2:$B$1300,0))</f>
        <v>e200596</v>
      </c>
      <c r="X473" s="11" t="str">
        <f>INDEX('Lookup 1961'!$C$2:$C$1300, MATCH(V473, 'Lookup 1961'!$A$2:$A$1300,0))</f>
        <v>Lancashire</v>
      </c>
    </row>
    <row r="474" spans="1:24" ht="25.05" customHeight="1" x14ac:dyDescent="0.3">
      <c r="A474" s="2" t="s">
        <v>466</v>
      </c>
      <c r="B474" s="2" t="s">
        <v>466</v>
      </c>
      <c r="C474" s="1">
        <v>24</v>
      </c>
      <c r="D474" s="1">
        <v>0</v>
      </c>
      <c r="E474" s="1">
        <v>18</v>
      </c>
      <c r="F474" s="1">
        <v>6</v>
      </c>
      <c r="K474" s="1">
        <v>497</v>
      </c>
      <c r="L474" s="6">
        <v>124666</v>
      </c>
      <c r="M474" s="1">
        <v>54</v>
      </c>
      <c r="N474" s="1">
        <v>9</v>
      </c>
      <c r="O474" s="1">
        <v>11</v>
      </c>
      <c r="P474" s="1">
        <v>18</v>
      </c>
      <c r="Q474" s="11">
        <f>'Table H'!$J$103</f>
        <v>0.89512174954973278</v>
      </c>
      <c r="R474" s="11">
        <f t="shared" si="14"/>
        <v>111591.24802936699</v>
      </c>
      <c r="S474" s="11" t="str">
        <f t="shared" si="15"/>
        <v>Clitheroe MB</v>
      </c>
      <c r="T474" s="11" t="s">
        <v>5211</v>
      </c>
      <c r="V474" s="11" t="str">
        <f>INDEX('Lookup 1961'!$A$2:$A$1300, MATCH(S474, 'Lookup 1961'!$B$2:$B$1300,0))</f>
        <v>J04000328</v>
      </c>
      <c r="W474" s="11" t="str">
        <f>INDEX('Lookup 1961'!$F$2:$F$1300, MATCH(S474, 'Lookup 1961'!$B$2:$B$1300,0))</f>
        <v>e200600</v>
      </c>
      <c r="X474" s="11" t="str">
        <f>INDEX('Lookup 1961'!$C$2:$C$1300, MATCH(V474, 'Lookup 1961'!$A$2:$A$1300,0))</f>
        <v>Lancashire</v>
      </c>
    </row>
    <row r="475" spans="1:24" ht="25.05" customHeight="1" x14ac:dyDescent="0.3">
      <c r="A475" s="2" t="s">
        <v>467</v>
      </c>
      <c r="B475" s="2" t="s">
        <v>467</v>
      </c>
      <c r="C475" s="1">
        <v>23</v>
      </c>
      <c r="D475" s="1">
        <v>8</v>
      </c>
      <c r="E475" s="1">
        <v>17</v>
      </c>
      <c r="F475" s="1">
        <v>6</v>
      </c>
      <c r="K475" s="1">
        <v>780</v>
      </c>
      <c r="L475" s="6">
        <v>207514</v>
      </c>
      <c r="M475" s="1">
        <v>50</v>
      </c>
      <c r="N475" s="1">
        <v>8</v>
      </c>
      <c r="O475" s="1">
        <v>15</v>
      </c>
      <c r="P475" s="1">
        <v>11.9</v>
      </c>
      <c r="Q475" s="11">
        <f>'Table H'!$J$103</f>
        <v>0.89512174954973278</v>
      </c>
      <c r="R475" s="11">
        <f t="shared" si="14"/>
        <v>185750.29473606325</v>
      </c>
      <c r="S475" s="11" t="str">
        <f t="shared" si="15"/>
        <v>Colne MB</v>
      </c>
      <c r="T475" s="11" t="s">
        <v>5211</v>
      </c>
      <c r="V475" s="11" t="str">
        <f>INDEX('Lookup 1961'!$A$2:$A$1300, MATCH(S475, 'Lookup 1961'!$B$2:$B$1300,0))</f>
        <v>J04000337</v>
      </c>
      <c r="W475" s="11" t="str">
        <f>INDEX('Lookup 1961'!$F$2:$F$1300, MATCH(S475, 'Lookup 1961'!$B$2:$B$1300,0))</f>
        <v>e200601</v>
      </c>
      <c r="X475" s="11" t="str">
        <f>INDEX('Lookup 1961'!$C$2:$C$1300, MATCH(V475, 'Lookup 1961'!$A$2:$A$1300,0))</f>
        <v>Lancashire</v>
      </c>
    </row>
    <row r="476" spans="1:24" ht="25.05" customHeight="1" x14ac:dyDescent="0.3">
      <c r="A476" s="2" t="s">
        <v>468</v>
      </c>
      <c r="B476" s="2" t="s">
        <v>468</v>
      </c>
      <c r="C476" s="1">
        <v>21</v>
      </c>
      <c r="D476" s="1">
        <v>6</v>
      </c>
      <c r="E476" s="1">
        <v>16</v>
      </c>
      <c r="F476" s="1">
        <v>6</v>
      </c>
      <c r="K476" s="6">
        <v>2940</v>
      </c>
      <c r="L476" s="6">
        <v>738798</v>
      </c>
      <c r="M476" s="1">
        <v>32.799999999999997</v>
      </c>
      <c r="N476" s="1">
        <v>10</v>
      </c>
      <c r="O476" s="1">
        <v>1</v>
      </c>
      <c r="P476" s="1">
        <v>-0.5</v>
      </c>
      <c r="Q476" s="11">
        <f>'Table H'!$J$103</f>
        <v>0.89512174954973278</v>
      </c>
      <c r="R476" s="11">
        <f t="shared" si="14"/>
        <v>661314.1583238435</v>
      </c>
      <c r="S476" s="11" t="str">
        <f t="shared" si="15"/>
        <v>Crosby MB</v>
      </c>
      <c r="T476" s="11" t="s">
        <v>5211</v>
      </c>
      <c r="V476" s="11" t="str">
        <f>INDEX('Lookup 1961'!$A$2:$A$1300, MATCH(S476, 'Lookup 1961'!$B$2:$B$1300,0))</f>
        <v>J04000370</v>
      </c>
      <c r="W476" s="11" t="str">
        <f>INDEX('Lookup 1961'!$F$2:$F$1300, MATCH(S476, 'Lookup 1961'!$B$2:$B$1300,0))</f>
        <v>e200603</v>
      </c>
      <c r="X476" s="11" t="str">
        <f>INDEX('Lookup 1961'!$C$2:$C$1300, MATCH(V476, 'Lookup 1961'!$A$2:$A$1300,0))</f>
        <v>Merseyside</v>
      </c>
    </row>
    <row r="477" spans="1:24" ht="25.05" customHeight="1" x14ac:dyDescent="0.3">
      <c r="A477" s="2" t="s">
        <v>469</v>
      </c>
      <c r="B477" s="2" t="s">
        <v>469</v>
      </c>
      <c r="C477" s="1">
        <v>25</v>
      </c>
      <c r="D477" s="1">
        <v>0</v>
      </c>
      <c r="E477" s="1">
        <v>19</v>
      </c>
      <c r="F477" s="1">
        <v>8</v>
      </c>
      <c r="K477" s="6">
        <v>1020</v>
      </c>
      <c r="L477" s="6">
        <v>262073</v>
      </c>
      <c r="M477" s="1">
        <v>32</v>
      </c>
      <c r="N477" s="1">
        <v>8</v>
      </c>
      <c r="O477" s="1">
        <v>3</v>
      </c>
      <c r="P477" s="1">
        <v>4</v>
      </c>
      <c r="Q477" s="11">
        <f>'Table H'!$J$103</f>
        <v>0.89512174954973278</v>
      </c>
      <c r="R477" s="11">
        <f t="shared" si="14"/>
        <v>234587.2422697471</v>
      </c>
      <c r="S477" s="11" t="str">
        <f t="shared" si="15"/>
        <v>Darwen MB</v>
      </c>
      <c r="T477" s="11" t="s">
        <v>5211</v>
      </c>
      <c r="V477" s="11" t="str">
        <f>INDEX('Lookup 1961'!$A$2:$A$1300, MATCH(S477, 'Lookup 1961'!$B$2:$B$1300,0))</f>
        <v>J04000387</v>
      </c>
      <c r="W477" s="11" t="str">
        <f>INDEX('Lookup 1961'!$F$2:$F$1300, MATCH(S477, 'Lookup 1961'!$B$2:$B$1300,0))</f>
        <v>e200605</v>
      </c>
      <c r="X477" s="11" t="str">
        <f>INDEX('Lookup 1961'!$C$2:$C$1300, MATCH(V477, 'Lookup 1961'!$A$2:$A$1300,0))</f>
        <v>Lancashire</v>
      </c>
    </row>
    <row r="478" spans="1:24" ht="25.05" customHeight="1" x14ac:dyDescent="0.3">
      <c r="A478" s="2" t="s">
        <v>470</v>
      </c>
      <c r="B478" s="2" t="s">
        <v>470</v>
      </c>
      <c r="C478" s="1">
        <v>22</v>
      </c>
      <c r="D478" s="1">
        <v>9</v>
      </c>
      <c r="E478" s="1">
        <v>17</v>
      </c>
      <c r="F478" s="1">
        <v>6</v>
      </c>
      <c r="K478" s="6">
        <v>1750</v>
      </c>
      <c r="L478" s="6">
        <v>448784</v>
      </c>
      <c r="M478" s="1">
        <v>54.2</v>
      </c>
      <c r="N478" s="1">
        <v>8</v>
      </c>
      <c r="O478" s="1">
        <v>16</v>
      </c>
      <c r="P478" s="1">
        <v>17.600000000000001</v>
      </c>
      <c r="Q478" s="11">
        <f>'Table H'!$J$103</f>
        <v>0.89512174954973278</v>
      </c>
      <c r="R478" s="11">
        <f t="shared" si="14"/>
        <v>401716.3192499273</v>
      </c>
      <c r="S478" s="11" t="str">
        <f t="shared" si="15"/>
        <v>Eccles MB</v>
      </c>
      <c r="T478" s="11" t="s">
        <v>5211</v>
      </c>
      <c r="V478" s="11" t="str">
        <f>INDEX('Lookup 1961'!$A$2:$A$1300, MATCH(S478, 'Lookup 1961'!$B$2:$B$1300,0))</f>
        <v>J04000461</v>
      </c>
      <c r="W478" s="11" t="str">
        <f>INDEX('Lookup 1961'!$F$2:$F$1300, MATCH(S478, 'Lookup 1961'!$B$2:$B$1300,0))</f>
        <v>e200608</v>
      </c>
      <c r="X478" s="11" t="str">
        <f>INDEX('Lookup 1961'!$C$2:$C$1300, MATCH(V478, 'Lookup 1961'!$A$2:$A$1300,0))</f>
        <v>Greater Manchester</v>
      </c>
    </row>
    <row r="479" spans="1:24" ht="25.05" customHeight="1" x14ac:dyDescent="0.3">
      <c r="A479" s="2" t="s">
        <v>471</v>
      </c>
      <c r="B479" s="2" t="s">
        <v>471</v>
      </c>
      <c r="C479" s="1">
        <v>22</v>
      </c>
      <c r="D479" s="1">
        <v>6</v>
      </c>
      <c r="E479" s="1">
        <v>17</v>
      </c>
      <c r="F479" s="1">
        <v>0</v>
      </c>
      <c r="K479" s="1">
        <v>916</v>
      </c>
      <c r="L479" s="6">
        <v>237689</v>
      </c>
      <c r="M479" s="1">
        <v>51.3</v>
      </c>
      <c r="N479" s="1">
        <v>6</v>
      </c>
      <c r="O479" s="1">
        <v>16</v>
      </c>
      <c r="P479" s="1">
        <v>8.4</v>
      </c>
      <c r="Q479" s="11">
        <f>'Table H'!$J$103</f>
        <v>0.89512174954973278</v>
      </c>
      <c r="R479" s="11">
        <f t="shared" si="14"/>
        <v>212760.59352872643</v>
      </c>
      <c r="S479" s="11" t="str">
        <f t="shared" si="15"/>
        <v>Farnworth MB</v>
      </c>
      <c r="T479" s="11" t="s">
        <v>5211</v>
      </c>
      <c r="V479" s="11" t="str">
        <f>INDEX('Lookup 1961'!$A$2:$A$1300, MATCH(S479, 'Lookup 1961'!$B$2:$B$1300,0))</f>
        <v>J04000495</v>
      </c>
      <c r="W479" s="11" t="str">
        <f>INDEX('Lookup 1961'!$F$2:$F$1300, MATCH(S479, 'Lookup 1961'!$B$2:$B$1300,0))</f>
        <v>e200610</v>
      </c>
      <c r="X479" s="11" t="str">
        <f>INDEX('Lookup 1961'!$C$2:$C$1300, MATCH(V479, 'Lookup 1961'!$A$2:$A$1300,0))</f>
        <v>Greater Manchester</v>
      </c>
    </row>
    <row r="480" spans="1:24" ht="25.05" customHeight="1" x14ac:dyDescent="0.3">
      <c r="A480" s="2" t="s">
        <v>472</v>
      </c>
      <c r="B480" s="2" t="s">
        <v>472</v>
      </c>
      <c r="C480" s="1">
        <v>24</v>
      </c>
      <c r="D480" s="1">
        <v>0</v>
      </c>
      <c r="E480" s="1">
        <v>17</v>
      </c>
      <c r="F480" s="1">
        <v>0</v>
      </c>
      <c r="K480" s="6">
        <v>1386</v>
      </c>
      <c r="L480" s="6">
        <v>384345</v>
      </c>
      <c r="M480" s="1">
        <v>95.6</v>
      </c>
      <c r="N480" s="1">
        <v>10</v>
      </c>
      <c r="O480" s="1">
        <v>7</v>
      </c>
      <c r="P480" s="1">
        <v>23</v>
      </c>
      <c r="Q480" s="11">
        <f>'Table H'!$J$103</f>
        <v>0.89512174954973278</v>
      </c>
      <c r="R480" s="11">
        <f t="shared" si="14"/>
        <v>344035.56883069203</v>
      </c>
      <c r="S480" s="11" t="str">
        <f t="shared" si="15"/>
        <v>Fleetwood MB</v>
      </c>
      <c r="T480" s="11" t="s">
        <v>5211</v>
      </c>
      <c r="V480" s="11" t="str">
        <f>INDEX('Lookup 1961'!$A$2:$A$1300, MATCH(S480, 'Lookup 1961'!$B$2:$B$1300,0))</f>
        <v>J04000508</v>
      </c>
      <c r="W480" s="11" t="str">
        <f>INDEX('Lookup 1961'!$F$2:$F$1300, MATCH(S480, 'Lookup 1961'!$B$2:$B$1300,0))</f>
        <v>e200611</v>
      </c>
      <c r="X480" s="11" t="str">
        <f>INDEX('Lookup 1961'!$C$2:$C$1300, MATCH(V480, 'Lookup 1961'!$A$2:$A$1300,0))</f>
        <v>Lancashire</v>
      </c>
    </row>
    <row r="481" spans="1:24" ht="25.05" customHeight="1" x14ac:dyDescent="0.3">
      <c r="A481" s="2" t="s">
        <v>473</v>
      </c>
      <c r="B481" s="2" t="s">
        <v>473</v>
      </c>
      <c r="C481" s="1">
        <v>25</v>
      </c>
      <c r="D481" s="1">
        <v>3</v>
      </c>
      <c r="E481" s="1">
        <v>19</v>
      </c>
      <c r="F481" s="1">
        <v>3</v>
      </c>
      <c r="K481" s="1">
        <v>550</v>
      </c>
      <c r="L481" s="6">
        <v>140540</v>
      </c>
      <c r="M481" s="1">
        <v>50.5</v>
      </c>
      <c r="N481" s="1">
        <v>9</v>
      </c>
      <c r="O481" s="1">
        <v>1</v>
      </c>
      <c r="P481" s="1">
        <v>15.1</v>
      </c>
      <c r="Q481" s="11">
        <f>'Table H'!$J$103</f>
        <v>0.89512174954973278</v>
      </c>
      <c r="R481" s="11">
        <f t="shared" si="14"/>
        <v>125800.41068171944</v>
      </c>
      <c r="S481" s="11" t="str">
        <f t="shared" si="15"/>
        <v>Haslingden MB</v>
      </c>
      <c r="T481" s="11" t="s">
        <v>5211</v>
      </c>
      <c r="V481" s="11" t="str">
        <f>INDEX('Lookup 1961'!$A$2:$A$1300, MATCH(S481, 'Lookup 1961'!$B$2:$B$1300,0))</f>
        <v>J04000583</v>
      </c>
      <c r="W481" s="11" t="str">
        <f>INDEX('Lookup 1961'!$F$2:$F$1300, MATCH(S481, 'Lookup 1961'!$B$2:$B$1300,0))</f>
        <v>e200619</v>
      </c>
      <c r="X481" s="11" t="str">
        <f>INDEX('Lookup 1961'!$C$2:$C$1300, MATCH(V481, 'Lookup 1961'!$A$2:$A$1300,0))</f>
        <v>Lancashire</v>
      </c>
    </row>
    <row r="482" spans="1:24" ht="25.05" customHeight="1" x14ac:dyDescent="0.3">
      <c r="A482" s="2" t="s">
        <v>474</v>
      </c>
      <c r="B482" s="2" t="s">
        <v>474</v>
      </c>
      <c r="C482" s="1">
        <v>25</v>
      </c>
      <c r="D482" s="1">
        <v>0</v>
      </c>
      <c r="E482" s="1">
        <v>18</v>
      </c>
      <c r="F482" s="1">
        <v>6</v>
      </c>
      <c r="K482" s="1">
        <v>940</v>
      </c>
      <c r="L482" s="6">
        <v>240085</v>
      </c>
      <c r="M482" s="1">
        <v>48.5</v>
      </c>
      <c r="N482" s="1">
        <v>8</v>
      </c>
      <c r="O482" s="1">
        <v>8</v>
      </c>
      <c r="P482" s="1">
        <v>8.8000000000000007</v>
      </c>
      <c r="Q482" s="11">
        <f>'Table H'!$J$103</f>
        <v>0.89512174954973278</v>
      </c>
      <c r="R482" s="11">
        <f t="shared" si="14"/>
        <v>214905.30524064761</v>
      </c>
      <c r="S482" s="11" t="str">
        <f t="shared" si="15"/>
        <v>Heywood MB</v>
      </c>
      <c r="T482" s="11" t="s">
        <v>5211</v>
      </c>
      <c r="V482" s="11" t="str">
        <f>INDEX('Lookup 1961'!$A$2:$A$1300, MATCH(S482, 'Lookup 1961'!$B$2:$B$1300,0))</f>
        <v>J04000620</v>
      </c>
      <c r="W482" s="11" t="str">
        <f>INDEX('Lookup 1961'!$F$2:$F$1300, MATCH(S482, 'Lookup 1961'!$B$2:$B$1300,0))</f>
        <v>e200621</v>
      </c>
      <c r="X482" s="11" t="str">
        <f>INDEX('Lookup 1961'!$C$2:$C$1300, MATCH(V482, 'Lookup 1961'!$A$2:$A$1300,0))</f>
        <v>Greater Manchester</v>
      </c>
    </row>
    <row r="483" spans="1:24" ht="25.05" customHeight="1" x14ac:dyDescent="0.3">
      <c r="A483" s="2" t="s">
        <v>475</v>
      </c>
      <c r="B483" s="2" t="s">
        <v>5295</v>
      </c>
      <c r="C483" s="1">
        <v>24</v>
      </c>
      <c r="D483" s="1">
        <v>9</v>
      </c>
      <c r="E483" s="1">
        <v>18</v>
      </c>
      <c r="F483" s="1">
        <v>0</v>
      </c>
      <c r="K483" s="6">
        <v>2241</v>
      </c>
      <c r="L483" s="6">
        <v>563722</v>
      </c>
      <c r="M483" s="1">
        <v>64.3</v>
      </c>
      <c r="N483" s="1">
        <v>10</v>
      </c>
      <c r="O483" s="1">
        <v>0</v>
      </c>
      <c r="P483" s="1">
        <v>18.3</v>
      </c>
      <c r="Q483" s="11">
        <f>'Table H'!$J$103</f>
        <v>0.89512174954973278</v>
      </c>
      <c r="R483" s="11">
        <f t="shared" si="14"/>
        <v>504599.82289967447</v>
      </c>
      <c r="S483" s="11" t="str">
        <f t="shared" si="15"/>
        <v>Lancaster, city of MB</v>
      </c>
      <c r="T483" s="11" t="s">
        <v>5211</v>
      </c>
      <c r="V483" s="11" t="str">
        <f>INDEX('Lookup 1961'!$A$2:$A$1300, MATCH(S483, 'Lookup 1961'!$B$2:$B$1300,0))</f>
        <v>J04000719</v>
      </c>
      <c r="W483" s="11" t="str">
        <f>INDEX('Lookup 1961'!$F$2:$F$1300, MATCH(S483, 'Lookup 1961'!$B$2:$B$1300,0))</f>
        <v>e200630</v>
      </c>
      <c r="X483" s="11" t="str">
        <f>INDEX('Lookup 1961'!$C$2:$C$1300, MATCH(V483, 'Lookup 1961'!$A$2:$A$1300,0))</f>
        <v>Lancashire</v>
      </c>
    </row>
    <row r="484" spans="1:24" ht="25.05" customHeight="1" x14ac:dyDescent="0.3">
      <c r="A484" s="2" t="s">
        <v>476</v>
      </c>
      <c r="B484" s="2" t="s">
        <v>476</v>
      </c>
      <c r="C484" s="1">
        <v>24</v>
      </c>
      <c r="D484" s="1">
        <v>0</v>
      </c>
      <c r="E484" s="1">
        <v>17</v>
      </c>
      <c r="F484" s="1">
        <v>0</v>
      </c>
      <c r="K484" s="6">
        <v>1789</v>
      </c>
      <c r="L484" s="6">
        <v>460686</v>
      </c>
      <c r="M484" s="1">
        <v>68.5</v>
      </c>
      <c r="N484" s="1">
        <v>7</v>
      </c>
      <c r="O484" s="1">
        <v>14</v>
      </c>
      <c r="P484" s="1">
        <v>16.899999999999999</v>
      </c>
      <c r="Q484" s="11">
        <f>'Table H'!$J$103</f>
        <v>0.89512174954973278</v>
      </c>
      <c r="R484" s="11">
        <f t="shared" si="14"/>
        <v>412370.05831306818</v>
      </c>
      <c r="S484" s="11" t="str">
        <f t="shared" si="15"/>
        <v>Leigh MB</v>
      </c>
      <c r="T484" s="11" t="s">
        <v>5211</v>
      </c>
      <c r="V484" s="11" t="str">
        <f>INDEX('Lookup 1961'!$A$2:$A$1300, MATCH(S484, 'Lookup 1961'!$B$2:$B$1300,0))</f>
        <v>J04000732</v>
      </c>
      <c r="W484" s="11" t="str">
        <f>INDEX('Lookup 1961'!$F$2:$F$1300, MATCH(S484, 'Lookup 1961'!$B$2:$B$1300,0))</f>
        <v>e200632</v>
      </c>
      <c r="X484" s="11" t="str">
        <f>INDEX('Lookup 1961'!$C$2:$C$1300, MATCH(V484, 'Lookup 1961'!$A$2:$A$1300,0))</f>
        <v>Greater Manchester</v>
      </c>
    </row>
    <row r="485" spans="1:24" ht="25.05" customHeight="1" x14ac:dyDescent="0.3">
      <c r="A485" s="2" t="s">
        <v>477</v>
      </c>
      <c r="B485" s="2" t="s">
        <v>5296</v>
      </c>
      <c r="C485" s="1">
        <v>22</v>
      </c>
      <c r="D485" s="1">
        <v>0</v>
      </c>
      <c r="E485" s="1">
        <v>16</v>
      </c>
      <c r="F485" s="1">
        <v>6</v>
      </c>
      <c r="K485" s="6">
        <v>2299</v>
      </c>
      <c r="L485" s="6">
        <v>582555</v>
      </c>
      <c r="M485" s="1">
        <v>51.5</v>
      </c>
      <c r="N485" s="1">
        <v>14</v>
      </c>
      <c r="O485" s="1">
        <v>19</v>
      </c>
      <c r="P485" s="1">
        <v>8.6</v>
      </c>
      <c r="Q485" s="11">
        <f>'Table H'!$J$103</f>
        <v>0.89512174954973278</v>
      </c>
      <c r="R485" s="11">
        <f t="shared" si="14"/>
        <v>521457.6508089446</v>
      </c>
      <c r="S485" s="11" t="str">
        <f t="shared" si="15"/>
        <v>Lytham St. Annes MB</v>
      </c>
      <c r="T485" s="11" t="s">
        <v>5211</v>
      </c>
      <c r="V485" s="11" t="str">
        <f>INDEX('Lookup 1961'!$A$2:$A$1300, MATCH(S485, 'Lookup 1961'!$B$2:$B$1300,0))</f>
        <v>J04000799</v>
      </c>
      <c r="W485" s="11" t="str">
        <f>INDEX('Lookup 1961'!$F$2:$F$1300, MATCH(S485, 'Lookup 1961'!$B$2:$B$1300,0))</f>
        <v>e200639</v>
      </c>
      <c r="X485" s="11" t="str">
        <f>INDEX('Lookup 1961'!$C$2:$C$1300, MATCH(V485, 'Lookup 1961'!$A$2:$A$1300,0))</f>
        <v>Lancashire</v>
      </c>
    </row>
    <row r="486" spans="1:24" ht="25.05" customHeight="1" x14ac:dyDescent="0.3">
      <c r="A486" s="2" t="s">
        <v>478</v>
      </c>
      <c r="B486" s="2" t="s">
        <v>478</v>
      </c>
      <c r="C486" s="1">
        <v>24</v>
      </c>
      <c r="D486" s="1">
        <v>0</v>
      </c>
      <c r="E486" s="1">
        <v>16</v>
      </c>
      <c r="F486" s="1">
        <v>0</v>
      </c>
      <c r="K486" s="6">
        <v>1680</v>
      </c>
      <c r="L486" s="6">
        <v>433015</v>
      </c>
      <c r="M486" s="1">
        <v>89.4</v>
      </c>
      <c r="N486" s="1">
        <v>7</v>
      </c>
      <c r="O486" s="1">
        <v>0</v>
      </c>
      <c r="P486" s="1">
        <v>5.8</v>
      </c>
      <c r="Q486" s="11">
        <f>'Table H'!$J$103</f>
        <v>0.89512174954973278</v>
      </c>
      <c r="R486" s="11">
        <f t="shared" si="14"/>
        <v>387601.14438127755</v>
      </c>
      <c r="S486" s="11" t="str">
        <f t="shared" si="15"/>
        <v>Middleton MB</v>
      </c>
      <c r="T486" s="11" t="s">
        <v>5211</v>
      </c>
      <c r="V486" s="11" t="str">
        <f>INDEX('Lookup 1961'!$A$2:$A$1300, MATCH(S486, 'Lookup 1961'!$B$2:$B$1300,0))</f>
        <v>J04000853</v>
      </c>
      <c r="W486" s="11" t="str">
        <f>INDEX('Lookup 1961'!$F$2:$F$1300, MATCH(S486, 'Lookup 1961'!$B$2:$B$1300,0))</f>
        <v>e200640</v>
      </c>
      <c r="X486" s="11" t="str">
        <f>INDEX('Lookup 1961'!$C$2:$C$1300, MATCH(V486, 'Lookup 1961'!$A$2:$A$1300,0))</f>
        <v>Greater Manchester</v>
      </c>
    </row>
    <row r="487" spans="1:24" ht="25.05" customHeight="1" x14ac:dyDescent="0.3">
      <c r="A487" s="2" t="s">
        <v>479</v>
      </c>
      <c r="B487" s="2" t="s">
        <v>479</v>
      </c>
      <c r="C487" s="1">
        <v>27</v>
      </c>
      <c r="D487" s="1">
        <v>6</v>
      </c>
      <c r="E487" s="1">
        <v>18</v>
      </c>
      <c r="F487" s="1">
        <v>0</v>
      </c>
      <c r="K487" s="6">
        <v>2718</v>
      </c>
      <c r="L487" s="6">
        <v>696582</v>
      </c>
      <c r="M487" s="1">
        <v>104.1</v>
      </c>
      <c r="N487" s="1">
        <v>16</v>
      </c>
      <c r="O487" s="1">
        <v>9</v>
      </c>
      <c r="P487" s="1">
        <v>28.7</v>
      </c>
      <c r="Q487" s="11">
        <f>'Table H'!$J$103</f>
        <v>0.89512174954973278</v>
      </c>
      <c r="R487" s="11">
        <f t="shared" si="14"/>
        <v>623525.69854485197</v>
      </c>
      <c r="S487" s="11" t="str">
        <f t="shared" si="15"/>
        <v>Morecambe and Heysham MB</v>
      </c>
      <c r="T487" s="11" t="s">
        <v>5211</v>
      </c>
      <c r="V487" s="11" t="str">
        <f>INDEX('Lookup 1961'!$A$2:$A$1300, MATCH(S487, 'Lookup 1961'!$B$2:$B$1300,0))</f>
        <v>J04000868</v>
      </c>
      <c r="W487" s="11" t="str">
        <f>INDEX('Lookup 1961'!$F$2:$F$1300, MATCH(S487, 'Lookup 1961'!$B$2:$B$1300,0))</f>
        <v>e200642</v>
      </c>
      <c r="X487" s="11" t="str">
        <f>INDEX('Lookup 1961'!$C$2:$C$1300, MATCH(V487, 'Lookup 1961'!$A$2:$A$1300,0))</f>
        <v>Lancashire</v>
      </c>
    </row>
    <row r="488" spans="1:24" ht="25.05" customHeight="1" x14ac:dyDescent="0.3">
      <c r="A488" s="2" t="s">
        <v>480</v>
      </c>
      <c r="B488" s="2" t="s">
        <v>480</v>
      </c>
      <c r="C488" s="1">
        <v>26</v>
      </c>
      <c r="D488" s="1">
        <v>6</v>
      </c>
      <c r="E488" s="1">
        <v>19</v>
      </c>
      <c r="F488" s="1">
        <v>6</v>
      </c>
      <c r="K488" s="1">
        <v>325</v>
      </c>
      <c r="L488" s="6">
        <v>88361</v>
      </c>
      <c r="M488" s="1">
        <v>80.7</v>
      </c>
      <c r="N488" s="1">
        <v>7</v>
      </c>
      <c r="O488" s="1">
        <v>9</v>
      </c>
      <c r="P488" s="1">
        <v>27.6</v>
      </c>
      <c r="Q488" s="11">
        <f>'Table H'!$J$103</f>
        <v>0.89512174954973278</v>
      </c>
      <c r="R488" s="11">
        <f t="shared" si="14"/>
        <v>79093.852911963942</v>
      </c>
      <c r="S488" s="11" t="str">
        <f t="shared" si="15"/>
        <v>Mossley MB</v>
      </c>
      <c r="T488" s="11" t="s">
        <v>5211</v>
      </c>
      <c r="V488" s="11" t="str">
        <f>INDEX('Lookup 1961'!$A$2:$A$1300, MATCH(S488, 'Lookup 1961'!$B$2:$B$1300,0))</f>
        <v>J04000872</v>
      </c>
      <c r="W488" s="11" t="str">
        <f>INDEX('Lookup 1961'!$F$2:$F$1300, MATCH(S488, 'Lookup 1961'!$B$2:$B$1300,0))</f>
        <v>e200643</v>
      </c>
      <c r="X488" s="11" t="str">
        <f>INDEX('Lookup 1961'!$C$2:$C$1300, MATCH(V488, 'Lookup 1961'!$A$2:$A$1300,0))</f>
        <v>Greater Manchester</v>
      </c>
    </row>
    <row r="489" spans="1:24" ht="25.05" customHeight="1" x14ac:dyDescent="0.3">
      <c r="A489" s="2" t="s">
        <v>481</v>
      </c>
      <c r="B489" s="2" t="s">
        <v>481</v>
      </c>
      <c r="C489" s="1">
        <v>23</v>
      </c>
      <c r="D489" s="1">
        <v>0</v>
      </c>
      <c r="E489" s="1">
        <v>17</v>
      </c>
      <c r="F489" s="1">
        <v>9</v>
      </c>
      <c r="K489" s="6">
        <v>1440</v>
      </c>
      <c r="L489" s="6">
        <v>373139</v>
      </c>
      <c r="M489" s="1">
        <v>48</v>
      </c>
      <c r="N489" s="1">
        <v>9</v>
      </c>
      <c r="O489" s="1">
        <v>8</v>
      </c>
      <c r="P489" s="1">
        <v>12.1</v>
      </c>
      <c r="Q489" s="11">
        <f>'Table H'!$J$103</f>
        <v>0.89512174954973278</v>
      </c>
      <c r="R489" s="11">
        <f t="shared" si="14"/>
        <v>334004.83450523776</v>
      </c>
      <c r="S489" s="11" t="str">
        <f t="shared" si="15"/>
        <v>Nelson MB</v>
      </c>
      <c r="T489" s="11" t="s">
        <v>5211</v>
      </c>
      <c r="V489" s="11" t="str">
        <f>INDEX('Lookup 1961'!$A$2:$A$1300, MATCH(S489, 'Lookup 1961'!$B$2:$B$1300,0))</f>
        <v>J04000884</v>
      </c>
      <c r="W489" s="11" t="str">
        <f>INDEX('Lookup 1961'!$F$2:$F$1300, MATCH(S489, 'Lookup 1961'!$B$2:$B$1300,0))</f>
        <v>e200644</v>
      </c>
      <c r="X489" s="11" t="str">
        <f>INDEX('Lookup 1961'!$C$2:$C$1300, MATCH(V489, 'Lookup 1961'!$A$2:$A$1300,0))</f>
        <v>Lancashire</v>
      </c>
    </row>
    <row r="490" spans="1:24" ht="25.05" customHeight="1" x14ac:dyDescent="0.3">
      <c r="A490" s="2" t="s">
        <v>482</v>
      </c>
      <c r="B490" s="2" t="s">
        <v>482</v>
      </c>
      <c r="C490" s="1">
        <v>21</v>
      </c>
      <c r="D490" s="1">
        <v>9</v>
      </c>
      <c r="E490" s="1">
        <v>16</v>
      </c>
      <c r="F490" s="1">
        <v>6</v>
      </c>
      <c r="K490" s="6">
        <v>1446</v>
      </c>
      <c r="L490" s="6">
        <v>360975</v>
      </c>
      <c r="M490" s="1">
        <v>42</v>
      </c>
      <c r="N490" s="1">
        <v>8</v>
      </c>
      <c r="O490" s="1">
        <v>10</v>
      </c>
      <c r="P490" s="1">
        <v>8</v>
      </c>
      <c r="Q490" s="11">
        <f>'Table H'!$J$103</f>
        <v>0.89512174954973278</v>
      </c>
      <c r="R490" s="11">
        <f t="shared" si="14"/>
        <v>323116.57354371477</v>
      </c>
      <c r="S490" s="11" t="str">
        <f t="shared" si="15"/>
        <v>Prestwich MB</v>
      </c>
      <c r="T490" s="11" t="s">
        <v>5211</v>
      </c>
      <c r="V490" s="11" t="str">
        <f>INDEX('Lookup 1961'!$A$2:$A$1300, MATCH(S490, 'Lookup 1961'!$B$2:$B$1300,0))</f>
        <v>J04001021</v>
      </c>
      <c r="W490" s="11" t="str">
        <f>INDEX('Lookup 1961'!$F$2:$F$1300, MATCH(S490, 'Lookup 1961'!$B$2:$B$1300,0))</f>
        <v>e200653</v>
      </c>
      <c r="X490" s="11" t="str">
        <f>INDEX('Lookup 1961'!$C$2:$C$1300, MATCH(V490, 'Lookup 1961'!$A$2:$A$1300,0))</f>
        <v>Greater Manchester</v>
      </c>
    </row>
    <row r="491" spans="1:24" ht="25.05" customHeight="1" x14ac:dyDescent="0.3">
      <c r="A491" s="2" t="s">
        <v>483</v>
      </c>
      <c r="B491" s="2" t="s">
        <v>483</v>
      </c>
      <c r="C491" s="1">
        <v>22</v>
      </c>
      <c r="D491" s="1">
        <v>9</v>
      </c>
      <c r="E491" s="1">
        <v>16</v>
      </c>
      <c r="F491" s="1">
        <v>6</v>
      </c>
      <c r="K491" s="6">
        <v>1065</v>
      </c>
      <c r="L491" s="6">
        <v>237718</v>
      </c>
      <c r="M491" s="1">
        <v>36.5</v>
      </c>
      <c r="N491" s="1">
        <v>7</v>
      </c>
      <c r="O491" s="1">
        <v>19</v>
      </c>
      <c r="P491" s="1">
        <v>14.3</v>
      </c>
      <c r="Q491" s="11">
        <f>'Table H'!$J$103</f>
        <v>0.89512174954973278</v>
      </c>
      <c r="R491" s="11">
        <f t="shared" si="14"/>
        <v>212786.55205946337</v>
      </c>
      <c r="S491" s="11" t="str">
        <f t="shared" si="15"/>
        <v>Radcliffe MB</v>
      </c>
      <c r="T491" s="11" t="s">
        <v>5211</v>
      </c>
      <c r="V491" s="11" t="str">
        <f>INDEX('Lookup 1961'!$A$2:$A$1300, MATCH(S491, 'Lookup 1961'!$B$2:$B$1300,0))</f>
        <v>J04001027</v>
      </c>
      <c r="W491" s="11" t="str">
        <f>INDEX('Lookup 1961'!$F$2:$F$1300, MATCH(S491, 'Lookup 1961'!$B$2:$B$1300,0))</f>
        <v>e200654</v>
      </c>
      <c r="X491" s="11" t="str">
        <f>INDEX('Lookup 1961'!$C$2:$C$1300, MATCH(V491, 'Lookup 1961'!$A$2:$A$1300,0))</f>
        <v>Greater Manchester</v>
      </c>
    </row>
    <row r="492" spans="1:24" ht="25.05" customHeight="1" x14ac:dyDescent="0.3">
      <c r="A492" s="2" t="s">
        <v>484</v>
      </c>
      <c r="B492" s="2" t="s">
        <v>484</v>
      </c>
      <c r="C492" s="1">
        <v>24</v>
      </c>
      <c r="D492" s="1">
        <v>0</v>
      </c>
      <c r="E492" s="1">
        <v>19</v>
      </c>
      <c r="F492" s="1">
        <v>6</v>
      </c>
      <c r="K492" s="1">
        <v>890</v>
      </c>
      <c r="L492" s="6">
        <v>237909</v>
      </c>
      <c r="M492" s="1">
        <v>46.9</v>
      </c>
      <c r="N492" s="1">
        <v>8</v>
      </c>
      <c r="O492" s="1">
        <v>14</v>
      </c>
      <c r="P492" s="1">
        <v>18.600000000000001</v>
      </c>
      <c r="Q492" s="11">
        <f>'Table H'!$J$103</f>
        <v>0.89512174954973278</v>
      </c>
      <c r="R492" s="11">
        <f t="shared" si="14"/>
        <v>212957.52031362738</v>
      </c>
      <c r="S492" s="11" t="str">
        <f t="shared" si="15"/>
        <v>Rawtenstall MB</v>
      </c>
      <c r="T492" s="11" t="s">
        <v>5211</v>
      </c>
      <c r="V492" s="11" t="str">
        <f>INDEX('Lookup 1961'!$A$2:$A$1300, MATCH(S492, 'Lookup 1961'!$B$2:$B$1300,0))</f>
        <v>J04001034</v>
      </c>
      <c r="W492" s="11" t="str">
        <f>INDEX('Lookup 1961'!$F$2:$F$1300, MATCH(S492, 'Lookup 1961'!$B$2:$B$1300,0))</f>
        <v>e200657</v>
      </c>
      <c r="X492" s="11" t="str">
        <f>INDEX('Lookup 1961'!$C$2:$C$1300, MATCH(V492, 'Lookup 1961'!$A$2:$A$1300,0))</f>
        <v>Lancashire</v>
      </c>
    </row>
    <row r="493" spans="1:24" ht="25.05" customHeight="1" x14ac:dyDescent="0.3">
      <c r="A493" s="2" t="s">
        <v>485</v>
      </c>
      <c r="B493" s="2" t="s">
        <v>485</v>
      </c>
      <c r="C493" s="1">
        <v>23</v>
      </c>
      <c r="D493" s="1">
        <v>3</v>
      </c>
      <c r="E493" s="1">
        <v>17</v>
      </c>
      <c r="F493" s="1">
        <v>0</v>
      </c>
      <c r="K493" s="6">
        <v>3800</v>
      </c>
      <c r="L493" s="6">
        <v>954319</v>
      </c>
      <c r="M493" s="1">
        <v>68.400000000000006</v>
      </c>
      <c r="N493" s="1">
        <v>12</v>
      </c>
      <c r="O493" s="1">
        <v>10</v>
      </c>
      <c r="P493" s="1">
        <v>20.9</v>
      </c>
      <c r="Q493" s="11">
        <f>'Table H'!$J$103</f>
        <v>0.89512174954973278</v>
      </c>
      <c r="R493" s="11">
        <f t="shared" si="14"/>
        <v>854231.69290855143</v>
      </c>
      <c r="S493" s="11" t="str">
        <f t="shared" si="15"/>
        <v>Stretford MB</v>
      </c>
      <c r="T493" s="11" t="s">
        <v>5211</v>
      </c>
      <c r="V493" s="11" t="str">
        <f>INDEX('Lookup 1961'!$A$2:$A$1300, MATCH(S493, 'Lookup 1961'!$B$2:$B$1300,0))</f>
        <v>J04001224</v>
      </c>
      <c r="W493" s="11" t="str">
        <f>INDEX('Lookup 1961'!$F$2:$F$1300, MATCH(S493, 'Lookup 1961'!$B$2:$B$1300,0))</f>
        <v>e200663</v>
      </c>
      <c r="X493" s="11" t="str">
        <f>INDEX('Lookup 1961'!$C$2:$C$1300, MATCH(V493, 'Lookup 1961'!$A$2:$A$1300,0))</f>
        <v>Greater Manchester</v>
      </c>
    </row>
    <row r="494" spans="1:24" ht="25.05" customHeight="1" x14ac:dyDescent="0.3">
      <c r="A494" s="2" t="s">
        <v>486</v>
      </c>
      <c r="B494" s="2" t="s">
        <v>486</v>
      </c>
      <c r="C494" s="1">
        <v>24</v>
      </c>
      <c r="D494" s="1">
        <v>6</v>
      </c>
      <c r="E494" s="1">
        <v>18</v>
      </c>
      <c r="F494" s="1">
        <v>0</v>
      </c>
      <c r="K494" s="6">
        <v>1415</v>
      </c>
      <c r="L494" s="6">
        <v>367141</v>
      </c>
      <c r="M494" s="1">
        <v>55</v>
      </c>
      <c r="N494" s="1">
        <v>8</v>
      </c>
      <c r="O494" s="1">
        <v>4</v>
      </c>
      <c r="P494" s="1">
        <v>15.6</v>
      </c>
      <c r="Q494" s="11">
        <f>'Table H'!$J$103</f>
        <v>0.89512174954973278</v>
      </c>
      <c r="R494" s="11">
        <f t="shared" si="14"/>
        <v>328635.89425143844</v>
      </c>
      <c r="S494" s="11" t="str">
        <f t="shared" si="15"/>
        <v>Swinton and Pendlebury MB</v>
      </c>
      <c r="T494" s="11" t="s">
        <v>5211</v>
      </c>
      <c r="V494" s="11" t="str">
        <f>INDEX('Lookup 1961'!$A$2:$A$1300, MATCH(S494, 'Lookup 1961'!$B$2:$B$1300,0))</f>
        <v>J04001245</v>
      </c>
      <c r="W494" s="11" t="str">
        <f>INDEX('Lookup 1961'!$F$2:$F$1300, MATCH(S494, 'Lookup 1961'!$B$2:$B$1300,0))</f>
        <v>e200664</v>
      </c>
      <c r="X494" s="11" t="str">
        <f>INDEX('Lookup 1961'!$C$2:$C$1300, MATCH(V494, 'Lookup 1961'!$A$2:$A$1300,0))</f>
        <v>Greater Manchester</v>
      </c>
    </row>
    <row r="495" spans="1:24" ht="25.05" customHeight="1" x14ac:dyDescent="0.3">
      <c r="A495" s="2" t="s">
        <v>487</v>
      </c>
      <c r="B495" s="2" t="s">
        <v>487</v>
      </c>
      <c r="C495" s="1">
        <v>25</v>
      </c>
      <c r="D495" s="1">
        <v>6</v>
      </c>
      <c r="E495" s="1">
        <v>19</v>
      </c>
      <c r="F495" s="1">
        <v>0</v>
      </c>
      <c r="K495" s="6">
        <v>1700</v>
      </c>
      <c r="L495" s="6">
        <v>439519</v>
      </c>
      <c r="M495" s="1">
        <v>54.5</v>
      </c>
      <c r="N495" s="1">
        <v>8</v>
      </c>
      <c r="O495" s="1">
        <v>2</v>
      </c>
      <c r="P495" s="1">
        <v>14.5</v>
      </c>
      <c r="Q495" s="11">
        <f>'Table H'!$J$103</f>
        <v>0.89512174954973278</v>
      </c>
      <c r="R495" s="11">
        <f t="shared" si="14"/>
        <v>393423.01624034898</v>
      </c>
      <c r="S495" s="11" t="str">
        <f t="shared" si="15"/>
        <v>Widnes MB</v>
      </c>
      <c r="T495" s="11" t="s">
        <v>5211</v>
      </c>
      <c r="V495" s="11" t="str">
        <f>INDEX('Lookup 1961'!$A$2:$A$1300, MATCH(S495, 'Lookup 1961'!$B$2:$B$1300,0))</f>
        <v>J04001408</v>
      </c>
      <c r="W495" s="11" t="str">
        <f>INDEX('Lookup 1961'!$F$2:$F$1300, MATCH(S495, 'Lookup 1961'!$B$2:$B$1300,0))</f>
        <v>e200678</v>
      </c>
      <c r="X495" s="11" t="str">
        <f>INDEX('Lookup 1961'!$C$2:$C$1300, MATCH(V495, 'Lookup 1961'!$A$2:$A$1300,0))</f>
        <v>Cheshire</v>
      </c>
    </row>
    <row r="496" spans="1:24" ht="25.05" customHeight="1" x14ac:dyDescent="0.3">
      <c r="A496" s="2" t="s">
        <v>150</v>
      </c>
      <c r="B496" s="2" t="s">
        <v>1221</v>
      </c>
      <c r="S496" s="11" t="str">
        <f t="shared" si="15"/>
        <v xml:space="preserve">Urban Districts  </v>
      </c>
      <c r="V496" s="11" t="e">
        <f>INDEX('Lookup 1961'!$A$2:$A$1300, MATCH(S496, 'Lookup 1961'!$B$2:$B$1300,0))</f>
        <v>#N/A</v>
      </c>
      <c r="W496" s="11" t="e">
        <f>INDEX('Lookup 1961'!$F$2:$F$1300, MATCH(S496, 'Lookup 1961'!$B$2:$B$1300,0))</f>
        <v>#N/A</v>
      </c>
      <c r="X496" s="11" t="e">
        <f>INDEX('Lookup 1961'!$C$2:$C$1300, MATCH(V496, 'Lookup 1961'!$A$2:$A$1300,0))</f>
        <v>#N/A</v>
      </c>
    </row>
    <row r="497" spans="1:24" ht="25.05" customHeight="1" x14ac:dyDescent="0.3">
      <c r="A497" s="2" t="s">
        <v>488</v>
      </c>
      <c r="B497" s="2" t="s">
        <v>488</v>
      </c>
      <c r="C497" s="1">
        <v>23</v>
      </c>
      <c r="D497" s="1">
        <v>0</v>
      </c>
      <c r="E497" s="1">
        <v>17</v>
      </c>
      <c r="F497" s="1">
        <v>6</v>
      </c>
      <c r="K497" s="1">
        <v>148</v>
      </c>
      <c r="L497" s="6">
        <v>38143</v>
      </c>
      <c r="M497" s="1">
        <v>44.9</v>
      </c>
      <c r="N497" s="1">
        <v>5</v>
      </c>
      <c r="O497" s="1">
        <v>2</v>
      </c>
      <c r="P497" s="1">
        <v>10</v>
      </c>
      <c r="Q497" s="11">
        <f>'Table H'!$J$104</f>
        <v>0.86262827640744255</v>
      </c>
      <c r="R497" s="11">
        <f t="shared" si="14"/>
        <v>32903.230347009085</v>
      </c>
      <c r="S497" s="11" t="str">
        <f t="shared" si="15"/>
        <v>Abram UD</v>
      </c>
      <c r="T497" s="11" t="s">
        <v>5214</v>
      </c>
      <c r="V497" s="11" t="str">
        <f>INDEX('Lookup 1961'!$A$2:$A$1300, MATCH(S497, 'Lookup 1961'!$B$2:$B$1300,0))</f>
        <v>J04000013</v>
      </c>
      <c r="W497" s="11" t="str">
        <f>INDEX('Lookup 1961'!$F$2:$F$1300, MATCH(S497, 'Lookup 1961'!$B$2:$B$1300,0))</f>
        <v>e200579</v>
      </c>
      <c r="X497" s="11" t="str">
        <f>INDEX('Lookup 1961'!$C$2:$C$1300, MATCH(V497, 'Lookup 1961'!$A$2:$A$1300,0))</f>
        <v>Greater Manchester</v>
      </c>
    </row>
    <row r="498" spans="1:24" ht="25.05" customHeight="1" x14ac:dyDescent="0.3">
      <c r="A498" s="2" t="s">
        <v>489</v>
      </c>
      <c r="B498" s="2" t="s">
        <v>489</v>
      </c>
      <c r="C498" s="1">
        <v>19</v>
      </c>
      <c r="D498" s="1">
        <v>6</v>
      </c>
      <c r="E498" s="1">
        <v>14</v>
      </c>
      <c r="F498" s="1">
        <v>6</v>
      </c>
      <c r="K498" s="1">
        <v>113</v>
      </c>
      <c r="L498" s="6">
        <v>29251</v>
      </c>
      <c r="M498" s="1">
        <v>45.2</v>
      </c>
      <c r="N498" s="1">
        <v>4</v>
      </c>
      <c r="O498" s="1">
        <v>19</v>
      </c>
      <c r="P498" s="1">
        <v>5.6</v>
      </c>
      <c r="Q498" s="11">
        <f>'Table H'!$J$104</f>
        <v>0.86262827640744255</v>
      </c>
      <c r="R498" s="11">
        <f t="shared" si="14"/>
        <v>25232.739713194103</v>
      </c>
      <c r="S498" s="11" t="str">
        <f t="shared" si="15"/>
        <v>Adlington UD</v>
      </c>
      <c r="T498" s="11" t="s">
        <v>5214</v>
      </c>
      <c r="V498" s="11" t="str">
        <f>INDEX('Lookup 1961'!$A$2:$A$1300, MATCH(S498, 'Lookup 1961'!$B$2:$B$1300,0))</f>
        <v>J04000016</v>
      </c>
      <c r="W498" s="11" t="str">
        <f>INDEX('Lookup 1961'!$F$2:$F$1300, MATCH(S498, 'Lookup 1961'!$B$2:$B$1300,0))</f>
        <v>e200581</v>
      </c>
      <c r="X498" s="11" t="str">
        <f>INDEX('Lookup 1961'!$C$2:$C$1300, MATCH(V498, 'Lookup 1961'!$A$2:$A$1300,0))</f>
        <v>Lancashire</v>
      </c>
    </row>
    <row r="499" spans="1:24" ht="25.05" customHeight="1" x14ac:dyDescent="0.3">
      <c r="A499" s="2" t="s">
        <v>490</v>
      </c>
      <c r="B499" s="2" t="s">
        <v>5262</v>
      </c>
      <c r="C499" s="1">
        <v>24</v>
      </c>
      <c r="D499" s="1">
        <v>9</v>
      </c>
      <c r="E499" s="1">
        <v>18</v>
      </c>
      <c r="F499" s="1">
        <v>4</v>
      </c>
      <c r="K499" s="1">
        <v>527</v>
      </c>
      <c r="L499" s="6">
        <v>142318</v>
      </c>
      <c r="M499" s="1">
        <v>56.4</v>
      </c>
      <c r="N499" s="1">
        <v>6</v>
      </c>
      <c r="O499" s="1">
        <v>3</v>
      </c>
      <c r="P499" s="1">
        <v>8.1999999999999993</v>
      </c>
      <c r="Q499" s="11">
        <f>'Table H'!$J$104</f>
        <v>0.86262827640744255</v>
      </c>
      <c r="R499" s="11">
        <f t="shared" si="14"/>
        <v>122767.53104175441</v>
      </c>
      <c r="S499" s="11" t="str">
        <f t="shared" si="15"/>
        <v>Ashton in Makerfield UD</v>
      </c>
      <c r="T499" s="11" t="s">
        <v>5214</v>
      </c>
      <c r="V499" s="11" t="str">
        <f>INDEX('Lookup 1961'!$A$2:$A$1300, MATCH(S499, 'Lookup 1961'!$B$2:$B$1300,0))</f>
        <v>J04000056</v>
      </c>
      <c r="W499" s="11" t="str">
        <f>INDEX('Lookup 1961'!$F$2:$F$1300, MATCH(S499, 'Lookup 1961'!$B$2:$B$1300,0))</f>
        <v>e200582</v>
      </c>
      <c r="X499" s="11" t="str">
        <f>INDEX('Lookup 1961'!$C$2:$C$1300, MATCH(V499, 'Lookup 1961'!$A$2:$A$1300,0))</f>
        <v>Greater Manchester</v>
      </c>
    </row>
    <row r="500" spans="1:24" ht="25.05" customHeight="1" x14ac:dyDescent="0.3">
      <c r="A500" s="2" t="s">
        <v>491</v>
      </c>
      <c r="B500" s="2" t="s">
        <v>491</v>
      </c>
      <c r="C500" s="1">
        <v>22</v>
      </c>
      <c r="D500" s="1">
        <v>6</v>
      </c>
      <c r="E500" s="1">
        <v>17</v>
      </c>
      <c r="F500" s="1">
        <v>6</v>
      </c>
      <c r="K500" s="1">
        <v>127</v>
      </c>
      <c r="L500" s="6">
        <v>33375</v>
      </c>
      <c r="M500" s="1">
        <v>54.2</v>
      </c>
      <c r="N500" s="1">
        <v>4</v>
      </c>
      <c r="O500" s="1">
        <v>3</v>
      </c>
      <c r="P500" s="1">
        <v>16</v>
      </c>
      <c r="Q500" s="11">
        <f>'Table H'!$J$104</f>
        <v>0.86262827640744255</v>
      </c>
      <c r="R500" s="11">
        <f t="shared" si="14"/>
        <v>28790.218725098395</v>
      </c>
      <c r="S500" s="11" t="str">
        <f t="shared" si="15"/>
        <v>Aspull UD</v>
      </c>
      <c r="T500" s="11" t="s">
        <v>5214</v>
      </c>
      <c r="V500" s="11" t="str">
        <f>INDEX('Lookup 1961'!$A$2:$A$1300, MATCH(S500, 'Lookup 1961'!$B$2:$B$1300,0))</f>
        <v>J04000058</v>
      </c>
      <c r="W500" s="11" t="str">
        <f>INDEX('Lookup 1961'!$F$2:$F$1300, MATCH(S500, 'Lookup 1961'!$B$2:$B$1300,0))</f>
        <v>e200585</v>
      </c>
      <c r="X500" s="11" t="str">
        <f>INDEX('Lookup 1961'!$C$2:$C$1300, MATCH(V500, 'Lookup 1961'!$A$2:$A$1300,0))</f>
        <v>Greater Manchester</v>
      </c>
    </row>
    <row r="501" spans="1:24" ht="25.05" customHeight="1" x14ac:dyDescent="0.3">
      <c r="A501" s="2" t="s">
        <v>492</v>
      </c>
      <c r="B501" s="2" t="s">
        <v>492</v>
      </c>
      <c r="C501" s="1">
        <v>24</v>
      </c>
      <c r="D501" s="1">
        <v>3</v>
      </c>
      <c r="E501" s="1">
        <v>18</v>
      </c>
      <c r="F501" s="1">
        <v>9</v>
      </c>
      <c r="K501" s="1">
        <v>618</v>
      </c>
      <c r="L501" s="6">
        <v>158975</v>
      </c>
      <c r="M501" s="1">
        <v>43.7</v>
      </c>
      <c r="N501" s="1">
        <v>7</v>
      </c>
      <c r="O501" s="1">
        <v>2</v>
      </c>
      <c r="P501" s="1">
        <v>10.8</v>
      </c>
      <c r="Q501" s="11">
        <f>'Table H'!$J$104</f>
        <v>0.86262827640744255</v>
      </c>
      <c r="R501" s="11">
        <f t="shared" si="14"/>
        <v>137136.33024187319</v>
      </c>
      <c r="S501" s="11" t="str">
        <f t="shared" si="15"/>
        <v>Atherton UD</v>
      </c>
      <c r="T501" s="11" t="s">
        <v>5214</v>
      </c>
      <c r="V501" s="11" t="str">
        <f>INDEX('Lookup 1961'!$A$2:$A$1300, MATCH(S501, 'Lookup 1961'!$B$2:$B$1300,0))</f>
        <v>J04000061</v>
      </c>
      <c r="W501" s="11" t="str">
        <f>INDEX('Lookup 1961'!$F$2:$F$1300, MATCH(S501, 'Lookup 1961'!$B$2:$B$1300,0))</f>
        <v>e200586</v>
      </c>
      <c r="X501" s="11" t="str">
        <f>INDEX('Lookup 1961'!$C$2:$C$1300, MATCH(V501, 'Lookup 1961'!$A$2:$A$1300,0))</f>
        <v>Greater Manchester</v>
      </c>
    </row>
    <row r="502" spans="1:24" ht="25.05" customHeight="1" x14ac:dyDescent="0.3">
      <c r="A502" s="2" t="s">
        <v>493</v>
      </c>
      <c r="B502" s="2" t="s">
        <v>493</v>
      </c>
      <c r="C502" s="1">
        <v>25</v>
      </c>
      <c r="D502" s="1">
        <v>6</v>
      </c>
      <c r="E502" s="1">
        <v>18</v>
      </c>
      <c r="F502" s="1">
        <v>0</v>
      </c>
      <c r="K502" s="1">
        <v>620</v>
      </c>
      <c r="L502" s="6">
        <v>154155</v>
      </c>
      <c r="M502" s="1">
        <v>86</v>
      </c>
      <c r="N502" s="1">
        <v>10</v>
      </c>
      <c r="O502" s="1">
        <v>11</v>
      </c>
      <c r="P502" s="1">
        <v>28.6</v>
      </c>
      <c r="Q502" s="11">
        <f>'Table H'!$J$104</f>
        <v>0.86262827640744255</v>
      </c>
      <c r="R502" s="11">
        <f t="shared" si="14"/>
        <v>132978.46194958931</v>
      </c>
      <c r="S502" s="11" t="str">
        <f t="shared" si="15"/>
        <v>Audenshaw UD</v>
      </c>
      <c r="T502" s="11" t="s">
        <v>5214</v>
      </c>
      <c r="V502" s="11" t="str">
        <f>INDEX('Lookup 1961'!$A$2:$A$1300, MATCH(S502, 'Lookup 1961'!$B$2:$B$1300,0))</f>
        <v>J04000062</v>
      </c>
      <c r="W502" s="11" t="str">
        <f>INDEX('Lookup 1961'!$F$2:$F$1300, MATCH(S502, 'Lookup 1961'!$B$2:$B$1300,0))</f>
        <v>e200587</v>
      </c>
      <c r="X502" s="11" t="str">
        <f>INDEX('Lookup 1961'!$C$2:$C$1300, MATCH(V502, 'Lookup 1961'!$A$2:$A$1300,0))</f>
        <v>Greater Manchester</v>
      </c>
    </row>
    <row r="503" spans="1:24" ht="25.05" customHeight="1" x14ac:dyDescent="0.3">
      <c r="A503" s="2" t="s">
        <v>494</v>
      </c>
      <c r="B503" s="2" t="s">
        <v>494</v>
      </c>
      <c r="C503" s="1">
        <v>22</v>
      </c>
      <c r="D503" s="1">
        <v>6</v>
      </c>
      <c r="E503" s="1">
        <v>17</v>
      </c>
      <c r="F503" s="1">
        <v>6</v>
      </c>
      <c r="K503" s="1">
        <v>168</v>
      </c>
      <c r="L503" s="6">
        <v>45486</v>
      </c>
      <c r="M503" s="1">
        <v>46.1</v>
      </c>
      <c r="N503" s="1">
        <v>7</v>
      </c>
      <c r="O503" s="1">
        <v>13</v>
      </c>
      <c r="P503" s="1">
        <v>3.7</v>
      </c>
      <c r="Q503" s="11">
        <f>'Table H'!$J$104</f>
        <v>0.86262827640744255</v>
      </c>
      <c r="R503" s="11">
        <f t="shared" si="14"/>
        <v>39237.50978066893</v>
      </c>
      <c r="S503" s="11" t="str">
        <f t="shared" si="15"/>
        <v>Barrowford UD</v>
      </c>
      <c r="T503" s="11" t="s">
        <v>5214</v>
      </c>
      <c r="V503" s="11" t="str">
        <f>INDEX('Lookup 1961'!$A$2:$A$1300, MATCH(S503, 'Lookup 1961'!$B$2:$B$1300,0))</f>
        <v>J04000091</v>
      </c>
      <c r="W503" s="11" t="str">
        <f>INDEX('Lookup 1961'!$F$2:$F$1300, MATCH(S503, 'Lookup 1961'!$B$2:$B$1300,0))</f>
        <v>e200589</v>
      </c>
      <c r="X503" s="11" t="str">
        <f>INDEX('Lookup 1961'!$C$2:$C$1300, MATCH(V503, 'Lookup 1961'!$A$2:$A$1300,0))</f>
        <v>Lancashire</v>
      </c>
    </row>
    <row r="504" spans="1:24" ht="25.05" customHeight="1" x14ac:dyDescent="0.3">
      <c r="A504" s="2" t="s">
        <v>495</v>
      </c>
      <c r="B504" s="2" t="s">
        <v>495</v>
      </c>
      <c r="C504" s="1">
        <v>21</v>
      </c>
      <c r="D504" s="1">
        <v>8</v>
      </c>
      <c r="E504" s="1">
        <v>17</v>
      </c>
      <c r="F504" s="1">
        <v>0</v>
      </c>
      <c r="K504" s="1">
        <v>184</v>
      </c>
      <c r="L504" s="6">
        <v>47448</v>
      </c>
      <c r="M504" s="1">
        <v>56</v>
      </c>
      <c r="N504" s="1">
        <v>6</v>
      </c>
      <c r="O504" s="1">
        <v>10</v>
      </c>
      <c r="P504" s="1">
        <v>24.2</v>
      </c>
      <c r="Q504" s="11">
        <f>'Table H'!$J$104</f>
        <v>0.86262827640744255</v>
      </c>
      <c r="R504" s="11">
        <f t="shared" si="14"/>
        <v>40929.986458980333</v>
      </c>
      <c r="S504" s="11" t="str">
        <f t="shared" si="15"/>
        <v>Billinge and Winstanley UD</v>
      </c>
      <c r="T504" s="11" t="s">
        <v>5214</v>
      </c>
      <c r="V504" s="11" t="str">
        <f>INDEX('Lookup 1961'!$A$2:$A$1300, MATCH(S504, 'Lookup 1961'!$B$2:$B$1300,0))</f>
        <v>J04000144</v>
      </c>
      <c r="W504" s="11" t="str">
        <f>INDEX('Lookup 1961'!$F$2:$F$1300, MATCH(S504, 'Lookup 1961'!$B$2:$B$1300,0))</f>
        <v>e200590</v>
      </c>
      <c r="X504" s="11" t="str">
        <f>INDEX('Lookup 1961'!$C$2:$C$1300, MATCH(V504, 'Lookup 1961'!$A$2:$A$1300,0))</f>
        <v>Greater Manchester</v>
      </c>
    </row>
    <row r="505" spans="1:24" ht="25.05" customHeight="1" x14ac:dyDescent="0.3">
      <c r="A505" s="2" t="s">
        <v>496</v>
      </c>
      <c r="B505" s="2" t="s">
        <v>496</v>
      </c>
      <c r="C505" s="1">
        <v>22</v>
      </c>
      <c r="D505" s="1">
        <v>9</v>
      </c>
      <c r="E505" s="1">
        <v>16</v>
      </c>
      <c r="F505" s="1">
        <v>0</v>
      </c>
      <c r="K505" s="1">
        <v>92</v>
      </c>
      <c r="L505" s="6">
        <v>24013</v>
      </c>
      <c r="M505" s="1">
        <v>63.5</v>
      </c>
      <c r="N505" s="1">
        <v>5</v>
      </c>
      <c r="O505" s="1">
        <v>14</v>
      </c>
      <c r="P505" s="1">
        <v>9.6999999999999993</v>
      </c>
      <c r="Q505" s="11">
        <f>'Table H'!$J$104</f>
        <v>0.86262827640744255</v>
      </c>
      <c r="R505" s="11">
        <f t="shared" si="14"/>
        <v>20714.292801371917</v>
      </c>
      <c r="S505" s="11" t="str">
        <f t="shared" si="15"/>
        <v>Blackrod UD</v>
      </c>
      <c r="T505" s="11" t="s">
        <v>5214</v>
      </c>
      <c r="V505" s="11" t="str">
        <f>INDEX('Lookup 1961'!$A$2:$A$1300, MATCH(S505, 'Lookup 1961'!$B$2:$B$1300,0))</f>
        <v>J04000158</v>
      </c>
      <c r="W505" s="11" t="str">
        <f>INDEX('Lookup 1961'!$F$2:$F$1300, MATCH(S505, 'Lookup 1961'!$B$2:$B$1300,0))</f>
        <v>e200592</v>
      </c>
      <c r="X505" s="11" t="str">
        <f>INDEX('Lookup 1961'!$C$2:$C$1300, MATCH(V505, 'Lookup 1961'!$A$2:$A$1300,0))</f>
        <v>Greater Manchester</v>
      </c>
    </row>
    <row r="506" spans="1:24" ht="25.05" customHeight="1" x14ac:dyDescent="0.3">
      <c r="A506" s="2" t="s">
        <v>497</v>
      </c>
      <c r="B506" s="2" t="s">
        <v>497</v>
      </c>
      <c r="C506" s="1">
        <v>23</v>
      </c>
      <c r="D506" s="1">
        <v>6</v>
      </c>
      <c r="E506" s="1">
        <v>17</v>
      </c>
      <c r="F506" s="1">
        <v>6</v>
      </c>
      <c r="K506" s="1">
        <v>260</v>
      </c>
      <c r="L506" s="6">
        <v>67621</v>
      </c>
      <c r="M506" s="1">
        <v>49.7</v>
      </c>
      <c r="N506" s="1">
        <v>8</v>
      </c>
      <c r="O506" s="1">
        <v>4</v>
      </c>
      <c r="P506" s="1">
        <v>21.1</v>
      </c>
      <c r="Q506" s="11">
        <f>'Table H'!$J$104</f>
        <v>0.86262827640744255</v>
      </c>
      <c r="R506" s="11">
        <f t="shared" si="14"/>
        <v>58331.786678947676</v>
      </c>
      <c r="S506" s="11" t="str">
        <f t="shared" si="15"/>
        <v>Brierfield UD</v>
      </c>
      <c r="T506" s="11" t="s">
        <v>5214</v>
      </c>
      <c r="V506" s="11" t="str">
        <f>INDEX('Lookup 1961'!$A$2:$A$1300, MATCH(S506, 'Lookup 1961'!$B$2:$B$1300,0))</f>
        <v>J04000207</v>
      </c>
      <c r="W506" s="11" t="str">
        <f>INDEX('Lookup 1961'!$F$2:$F$1300, MATCH(S506, 'Lookup 1961'!$B$2:$B$1300,0))</f>
        <v>e200593</v>
      </c>
      <c r="X506" s="11" t="str">
        <f>INDEX('Lookup 1961'!$C$2:$C$1300, MATCH(V506, 'Lookup 1961'!$A$2:$A$1300,0))</f>
        <v>Lancashire</v>
      </c>
    </row>
    <row r="507" spans="1:24" ht="25.05" customHeight="1" x14ac:dyDescent="0.3">
      <c r="A507" s="2" t="s">
        <v>498</v>
      </c>
      <c r="B507" s="2" t="s">
        <v>498</v>
      </c>
      <c r="C507" s="1">
        <v>24</v>
      </c>
      <c r="D507" s="1">
        <v>4</v>
      </c>
      <c r="E507" s="1">
        <v>17</v>
      </c>
      <c r="F507" s="1">
        <v>0</v>
      </c>
      <c r="K507" s="1">
        <v>149</v>
      </c>
      <c r="L507" s="6">
        <v>38423</v>
      </c>
      <c r="M507" s="1">
        <v>50.8</v>
      </c>
      <c r="N507" s="1">
        <v>8</v>
      </c>
      <c r="O507" s="1">
        <v>2</v>
      </c>
      <c r="P507" s="1">
        <v>0.7</v>
      </c>
      <c r="Q507" s="11">
        <f>'Table H'!$J$104</f>
        <v>0.86262827640744255</v>
      </c>
      <c r="R507" s="11">
        <f t="shared" si="14"/>
        <v>33144.766264403166</v>
      </c>
      <c r="S507" s="11" t="str">
        <f t="shared" si="15"/>
        <v>Carnforth UD</v>
      </c>
      <c r="T507" s="11" t="s">
        <v>5214</v>
      </c>
      <c r="V507" s="11" t="str">
        <f>INDEX('Lookup 1961'!$A$2:$A$1300, MATCH(S507, 'Lookup 1961'!$B$2:$B$1300,0))</f>
        <v>J04000269</v>
      </c>
      <c r="W507" s="11" t="str">
        <f>INDEX('Lookup 1961'!$F$2:$F$1300, MATCH(S507, 'Lookup 1961'!$B$2:$B$1300,0))</f>
        <v>e200594</v>
      </c>
      <c r="X507" s="11" t="str">
        <f>INDEX('Lookup 1961'!$C$2:$C$1300, MATCH(V507, 'Lookup 1961'!$A$2:$A$1300,0))</f>
        <v>Lancashire</v>
      </c>
    </row>
    <row r="508" spans="1:24" ht="25.05" customHeight="1" x14ac:dyDescent="0.3">
      <c r="A508" s="2" t="s">
        <v>499</v>
      </c>
      <c r="B508" s="2" t="s">
        <v>499</v>
      </c>
      <c r="C508" s="1">
        <v>21</v>
      </c>
      <c r="D508" s="1">
        <v>0</v>
      </c>
      <c r="E508" s="1">
        <v>14</v>
      </c>
      <c r="F508" s="1">
        <v>9</v>
      </c>
      <c r="K508" s="6">
        <v>1465</v>
      </c>
      <c r="L508" s="6">
        <v>396581</v>
      </c>
      <c r="M508" s="1">
        <v>103.7</v>
      </c>
      <c r="N508" s="1">
        <v>8</v>
      </c>
      <c r="O508" s="1">
        <v>19</v>
      </c>
      <c r="P508" s="1">
        <v>34.4</v>
      </c>
      <c r="Q508" s="11">
        <f>'Table H'!$J$104</f>
        <v>0.86262827640744255</v>
      </c>
      <c r="R508" s="11">
        <f t="shared" si="14"/>
        <v>342101.98448593996</v>
      </c>
      <c r="S508" s="11" t="str">
        <f t="shared" si="15"/>
        <v>Chadderton UD</v>
      </c>
      <c r="T508" s="11" t="s">
        <v>5214</v>
      </c>
      <c r="V508" s="11" t="str">
        <f>INDEX('Lookup 1961'!$A$2:$A$1300, MATCH(S508, 'Lookup 1961'!$B$2:$B$1300,0))</f>
        <v>J04000277</v>
      </c>
      <c r="W508" s="11" t="str">
        <f>INDEX('Lookup 1961'!$F$2:$F$1300, MATCH(S508, 'Lookup 1961'!$B$2:$B$1300,0))</f>
        <v>e200595</v>
      </c>
      <c r="X508" s="11" t="str">
        <f>INDEX('Lookup 1961'!$C$2:$C$1300, MATCH(V508, 'Lookup 1961'!$A$2:$A$1300,0))</f>
        <v>Greater Manchester</v>
      </c>
    </row>
    <row r="509" spans="1:24" ht="25.05" customHeight="1" x14ac:dyDescent="0.3">
      <c r="A509" s="2" t="s">
        <v>500</v>
      </c>
      <c r="B509" s="2" t="s">
        <v>500</v>
      </c>
      <c r="C509" s="1">
        <v>24</v>
      </c>
      <c r="D509" s="1">
        <v>0</v>
      </c>
      <c r="E509" s="1">
        <v>18</v>
      </c>
      <c r="F509" s="1">
        <v>0</v>
      </c>
      <c r="K509" s="1">
        <v>170</v>
      </c>
      <c r="L509" s="6">
        <v>46516</v>
      </c>
      <c r="M509" s="1">
        <v>31.2</v>
      </c>
      <c r="N509" s="1">
        <v>7</v>
      </c>
      <c r="O509" s="1">
        <v>1</v>
      </c>
      <c r="P509" s="1">
        <v>-2.2000000000000002</v>
      </c>
      <c r="Q509" s="11">
        <f>'Table H'!$J$104</f>
        <v>0.86262827640744255</v>
      </c>
      <c r="R509" s="11">
        <f t="shared" si="14"/>
        <v>40126.016905368597</v>
      </c>
      <c r="S509" s="11" t="str">
        <f t="shared" si="15"/>
        <v>Church UD</v>
      </c>
      <c r="T509" s="11" t="s">
        <v>5214</v>
      </c>
      <c r="V509" s="11" t="str">
        <f>INDEX('Lookup 1961'!$A$2:$A$1300, MATCH(S509, 'Lookup 1961'!$B$2:$B$1300,0))</f>
        <v>J04000318</v>
      </c>
      <c r="W509" s="11" t="str">
        <f>INDEX('Lookup 1961'!$F$2:$F$1300, MATCH(S509, 'Lookup 1961'!$B$2:$B$1300,0))</f>
        <v>e200598</v>
      </c>
      <c r="X509" s="11" t="str">
        <f>INDEX('Lookup 1961'!$C$2:$C$1300, MATCH(V509, 'Lookup 1961'!$A$2:$A$1300,0))</f>
        <v>Lancashire</v>
      </c>
    </row>
    <row r="510" spans="1:24" ht="25.05" customHeight="1" x14ac:dyDescent="0.3">
      <c r="A510" s="2" t="s">
        <v>501</v>
      </c>
      <c r="B510" s="2" t="s">
        <v>5263</v>
      </c>
      <c r="C510" s="1">
        <v>21</v>
      </c>
      <c r="D510" s="1">
        <v>6</v>
      </c>
      <c r="E510" s="1">
        <v>16</v>
      </c>
      <c r="F510" s="1">
        <v>6</v>
      </c>
      <c r="K510" s="1">
        <v>237</v>
      </c>
      <c r="L510" s="6">
        <v>62672</v>
      </c>
      <c r="M510" s="1">
        <v>39.9</v>
      </c>
      <c r="N510" s="1">
        <v>7</v>
      </c>
      <c r="O510" s="1">
        <v>1</v>
      </c>
      <c r="P510" s="1">
        <v>7.3</v>
      </c>
      <c r="Q510" s="11">
        <f>'Table H'!$J$104</f>
        <v>0.86262827640744255</v>
      </c>
      <c r="R510" s="11">
        <f t="shared" si="14"/>
        <v>54062.639339007241</v>
      </c>
      <c r="S510" s="11" t="str">
        <f t="shared" si="15"/>
        <v>Clayton le Moors UD</v>
      </c>
      <c r="T510" s="11" t="s">
        <v>5214</v>
      </c>
      <c r="V510" s="11" t="str">
        <f>INDEX('Lookup 1961'!$A$2:$A$1300, MATCH(S510, 'Lookup 1961'!$B$2:$B$1300,0))</f>
        <v>J04000325</v>
      </c>
      <c r="W510" s="11" t="str">
        <f>INDEX('Lookup 1961'!$F$2:$F$1300, MATCH(S510, 'Lookup 1961'!$B$2:$B$1300,0))</f>
        <v>e200599</v>
      </c>
      <c r="X510" s="11" t="str">
        <f>INDEX('Lookup 1961'!$C$2:$C$1300, MATCH(V510, 'Lookup 1961'!$A$2:$A$1300,0))</f>
        <v>Lancashire</v>
      </c>
    </row>
    <row r="511" spans="1:24" ht="25.05" customHeight="1" x14ac:dyDescent="0.3">
      <c r="A511" s="2" t="s">
        <v>502</v>
      </c>
      <c r="B511" s="2" t="s">
        <v>502</v>
      </c>
      <c r="C511" s="1">
        <v>24</v>
      </c>
      <c r="D511" s="1">
        <v>9</v>
      </c>
      <c r="E511" s="1">
        <v>19</v>
      </c>
      <c r="F511" s="1">
        <v>0</v>
      </c>
      <c r="K511" s="1">
        <v>496</v>
      </c>
      <c r="L511" s="6">
        <v>131832</v>
      </c>
      <c r="M511" s="1">
        <v>63.9</v>
      </c>
      <c r="N511" s="1">
        <v>9</v>
      </c>
      <c r="O511" s="1">
        <v>12</v>
      </c>
      <c r="P511" s="1">
        <v>25.2</v>
      </c>
      <c r="Q511" s="11">
        <f>'Table H'!$J$104</f>
        <v>0.86262827640744255</v>
      </c>
      <c r="R511" s="11">
        <f t="shared" si="14"/>
        <v>113722.01093534597</v>
      </c>
      <c r="S511" s="11" t="str">
        <f t="shared" si="15"/>
        <v>Crompton UD</v>
      </c>
      <c r="T511" s="11" t="s">
        <v>5214</v>
      </c>
      <c r="V511" s="11" t="str">
        <f>INDEX('Lookup 1961'!$A$2:$A$1300, MATCH(S511, 'Lookup 1961'!$B$2:$B$1300,0))</f>
        <v>J04000368</v>
      </c>
      <c r="W511" s="11" t="str">
        <f>INDEX('Lookup 1961'!$F$2:$F$1300, MATCH(S511, 'Lookup 1961'!$B$2:$B$1300,0))</f>
        <v>e200602</v>
      </c>
      <c r="X511" s="11" t="str">
        <f>INDEX('Lookup 1961'!$C$2:$C$1300, MATCH(V511, 'Lookup 1961'!$A$2:$A$1300,0))</f>
        <v>Greater Manchester</v>
      </c>
    </row>
    <row r="512" spans="1:24" ht="25.05" customHeight="1" x14ac:dyDescent="0.3">
      <c r="A512" s="2" t="s">
        <v>503</v>
      </c>
      <c r="B512" s="2" t="s">
        <v>5264</v>
      </c>
      <c r="C512" s="1">
        <v>25</v>
      </c>
      <c r="D512" s="1">
        <v>2</v>
      </c>
      <c r="E512" s="1">
        <v>18</v>
      </c>
      <c r="F512" s="1">
        <v>6</v>
      </c>
      <c r="K512" s="1">
        <v>255</v>
      </c>
      <c r="L512" s="6">
        <v>68556</v>
      </c>
      <c r="M512" s="1">
        <v>50.2</v>
      </c>
      <c r="N512" s="1">
        <v>5</v>
      </c>
      <c r="O512" s="1">
        <v>18</v>
      </c>
      <c r="P512" s="1">
        <v>8.6</v>
      </c>
      <c r="Q512" s="11">
        <f>'Table H'!$J$104</f>
        <v>0.86262827640744255</v>
      </c>
      <c r="R512" s="11">
        <f t="shared" si="14"/>
        <v>59138.344117388631</v>
      </c>
      <c r="S512" s="11" t="str">
        <f t="shared" si="15"/>
        <v>Dalton in Furness UD</v>
      </c>
      <c r="T512" s="11" t="s">
        <v>5214</v>
      </c>
      <c r="V512" s="11" t="str">
        <f>INDEX('Lookup 1961'!$A$2:$A$1300, MATCH(S512, 'Lookup 1961'!$B$2:$B$1300,0))</f>
        <v>J04000378</v>
      </c>
      <c r="W512" s="11" t="str">
        <f>INDEX('Lookup 1961'!$F$2:$F$1300, MATCH(S512, 'Lookup 1961'!$B$2:$B$1300,0))</f>
        <v>e200604</v>
      </c>
      <c r="X512" s="11" t="str">
        <f>INDEX('Lookup 1961'!$C$2:$C$1300, MATCH(V512, 'Lookup 1961'!$A$2:$A$1300,0))</f>
        <v>Cumbria</v>
      </c>
    </row>
    <row r="513" spans="1:24" ht="25.05" customHeight="1" x14ac:dyDescent="0.3">
      <c r="A513" s="2" t="s">
        <v>504</v>
      </c>
      <c r="B513" s="2" t="s">
        <v>504</v>
      </c>
      <c r="C513" s="1">
        <v>26</v>
      </c>
      <c r="D513" s="1">
        <v>0</v>
      </c>
      <c r="E513" s="1">
        <v>18</v>
      </c>
      <c r="F513" s="1">
        <v>6</v>
      </c>
      <c r="K513" s="6">
        <v>1020</v>
      </c>
      <c r="L513" s="6">
        <v>257332</v>
      </c>
      <c r="M513" s="1">
        <v>76.400000000000006</v>
      </c>
      <c r="N513" s="1">
        <v>8</v>
      </c>
      <c r="O513" s="1">
        <v>16</v>
      </c>
      <c r="P513" s="1">
        <v>22.2</v>
      </c>
      <c r="Q513" s="11">
        <f>'Table H'!$J$104</f>
        <v>0.86262827640744255</v>
      </c>
      <c r="R513" s="11">
        <f t="shared" si="14"/>
        <v>221981.85962448001</v>
      </c>
      <c r="S513" s="11" t="str">
        <f t="shared" si="15"/>
        <v>Denton UD</v>
      </c>
      <c r="T513" s="11" t="s">
        <v>5214</v>
      </c>
      <c r="V513" s="11" t="str">
        <f>INDEX('Lookup 1961'!$A$2:$A$1300, MATCH(S513, 'Lookup 1961'!$B$2:$B$1300,0))</f>
        <v>J04000398</v>
      </c>
      <c r="W513" s="11" t="str">
        <f>INDEX('Lookup 1961'!$F$2:$F$1300, MATCH(S513, 'Lookup 1961'!$B$2:$B$1300,0))</f>
        <v>e200606</v>
      </c>
      <c r="X513" s="11" t="str">
        <f>INDEX('Lookup 1961'!$C$2:$C$1300, MATCH(V513, 'Lookup 1961'!$A$2:$A$1300,0))</f>
        <v>Greater Manchester</v>
      </c>
    </row>
    <row r="514" spans="1:24" ht="25.05" customHeight="1" x14ac:dyDescent="0.3">
      <c r="A514" s="2" t="s">
        <v>505</v>
      </c>
      <c r="B514" s="2" t="s">
        <v>505</v>
      </c>
      <c r="C514" s="1">
        <v>22</v>
      </c>
      <c r="D514" s="1">
        <v>9</v>
      </c>
      <c r="E514" s="1">
        <v>16</v>
      </c>
      <c r="F514" s="1">
        <v>9</v>
      </c>
      <c r="K514" s="1">
        <v>860</v>
      </c>
      <c r="L514" s="6">
        <v>223105</v>
      </c>
      <c r="M514" s="1">
        <v>80.099999999999994</v>
      </c>
      <c r="N514" s="1">
        <v>6</v>
      </c>
      <c r="O514" s="1">
        <v>19</v>
      </c>
      <c r="P514" s="1">
        <v>34.799999999999997</v>
      </c>
      <c r="Q514" s="11">
        <f>'Table H'!$J$104</f>
        <v>0.86262827640744255</v>
      </c>
      <c r="R514" s="11">
        <f t="shared" si="14"/>
        <v>192456.68160788246</v>
      </c>
      <c r="S514" s="11" t="str">
        <f t="shared" si="15"/>
        <v>Droylsden UD</v>
      </c>
      <c r="T514" s="11" t="s">
        <v>5214</v>
      </c>
      <c r="V514" s="11" t="str">
        <f>INDEX('Lookup 1961'!$A$2:$A$1300, MATCH(S514, 'Lookup 1961'!$B$2:$B$1300,0))</f>
        <v>J04000432</v>
      </c>
      <c r="W514" s="11" t="str">
        <f>INDEX('Lookup 1961'!$F$2:$F$1300, MATCH(S514, 'Lookup 1961'!$B$2:$B$1300,0))</f>
        <v>e200607</v>
      </c>
      <c r="X514" s="11" t="str">
        <f>INDEX('Lookup 1961'!$C$2:$C$1300, MATCH(V514, 'Lookup 1961'!$A$2:$A$1300,0))</f>
        <v>Greater Manchester</v>
      </c>
    </row>
    <row r="515" spans="1:24" ht="25.05" customHeight="1" x14ac:dyDescent="0.3">
      <c r="A515" s="2" t="s">
        <v>506</v>
      </c>
      <c r="B515" s="2" t="s">
        <v>506</v>
      </c>
      <c r="C515" s="1">
        <v>24</v>
      </c>
      <c r="D515" s="1">
        <v>6</v>
      </c>
      <c r="E515" s="1">
        <v>18</v>
      </c>
      <c r="F515" s="1">
        <v>0</v>
      </c>
      <c r="K515" s="1">
        <v>700</v>
      </c>
      <c r="L515" s="6">
        <v>188055</v>
      </c>
      <c r="M515" s="1">
        <v>60.1</v>
      </c>
      <c r="N515" s="1">
        <v>8</v>
      </c>
      <c r="O515" s="1">
        <v>18</v>
      </c>
      <c r="P515" s="1">
        <v>19.399999999999999</v>
      </c>
      <c r="Q515" s="11">
        <f>'Table H'!$J$104</f>
        <v>0.86262827640744255</v>
      </c>
      <c r="R515" s="11">
        <f t="shared" si="14"/>
        <v>162221.5605198016</v>
      </c>
      <c r="S515" s="11" t="str">
        <f t="shared" si="15"/>
        <v>Failsworth UD</v>
      </c>
      <c r="T515" s="11" t="s">
        <v>5214</v>
      </c>
      <c r="V515" s="11" t="str">
        <f>INDEX('Lookup 1961'!$A$2:$A$1300, MATCH(S515, 'Lookup 1961'!$B$2:$B$1300,0))</f>
        <v>J04000489</v>
      </c>
      <c r="W515" s="11" t="str">
        <f>INDEX('Lookup 1961'!$F$2:$F$1300, MATCH(S515, 'Lookup 1961'!$B$2:$B$1300,0))</f>
        <v>e200609</v>
      </c>
      <c r="X515" s="11" t="str">
        <f>INDEX('Lookup 1961'!$C$2:$C$1300, MATCH(V515, 'Lookup 1961'!$A$2:$A$1300,0))</f>
        <v>Greater Manchester</v>
      </c>
    </row>
    <row r="516" spans="1:24" ht="25.05" customHeight="1" x14ac:dyDescent="0.3">
      <c r="A516" s="2" t="s">
        <v>507</v>
      </c>
      <c r="B516" s="2" t="s">
        <v>507</v>
      </c>
      <c r="C516" s="1">
        <v>20</v>
      </c>
      <c r="D516" s="1">
        <v>8</v>
      </c>
      <c r="E516" s="1">
        <v>14</v>
      </c>
      <c r="F516" s="1">
        <v>9</v>
      </c>
      <c r="K516" s="1">
        <v>515</v>
      </c>
      <c r="L516" s="6">
        <v>132587</v>
      </c>
      <c r="M516" s="1">
        <v>46.2</v>
      </c>
      <c r="N516" s="1">
        <v>9</v>
      </c>
      <c r="O516" s="1">
        <v>5</v>
      </c>
      <c r="P516" s="1">
        <v>11.1</v>
      </c>
      <c r="Q516" s="11">
        <f>'Table H'!$J$104</f>
        <v>0.86262827640744255</v>
      </c>
      <c r="R516" s="11">
        <f t="shared" ref="R516:R577" si="16">Q516*L516</f>
        <v>114373.29528403358</v>
      </c>
      <c r="S516" s="11" t="str">
        <f t="shared" si="15"/>
        <v>Formby UD</v>
      </c>
      <c r="T516" s="11" t="s">
        <v>5214</v>
      </c>
      <c r="V516" s="11" t="str">
        <f>INDEX('Lookup 1961'!$A$2:$A$1300, MATCH(S516, 'Lookup 1961'!$B$2:$B$1300,0))</f>
        <v>J04000513</v>
      </c>
      <c r="W516" s="11" t="str">
        <f>INDEX('Lookup 1961'!$F$2:$F$1300, MATCH(S516, 'Lookup 1961'!$B$2:$B$1300,0))</f>
        <v>e200612</v>
      </c>
      <c r="X516" s="11" t="str">
        <f>INDEX('Lookup 1961'!$C$2:$C$1300, MATCH(V516, 'Lookup 1961'!$A$2:$A$1300,0))</f>
        <v>Merseyside</v>
      </c>
    </row>
    <row r="517" spans="1:24" ht="25.05" customHeight="1" x14ac:dyDescent="0.3">
      <c r="A517" s="2" t="s">
        <v>508</v>
      </c>
      <c r="B517" s="2" t="s">
        <v>508</v>
      </c>
      <c r="C517" s="1">
        <v>20</v>
      </c>
      <c r="D517" s="1">
        <v>3</v>
      </c>
      <c r="E517" s="1">
        <v>15</v>
      </c>
      <c r="F517" s="1">
        <v>0</v>
      </c>
      <c r="K517" s="1">
        <v>620</v>
      </c>
      <c r="L517" s="6">
        <v>154039</v>
      </c>
      <c r="M517" s="1">
        <v>62.7</v>
      </c>
      <c r="N517" s="1">
        <v>8</v>
      </c>
      <c r="O517" s="1">
        <v>9</v>
      </c>
      <c r="P517" s="1">
        <v>18</v>
      </c>
      <c r="Q517" s="11">
        <f>'Table H'!$J$104</f>
        <v>0.86262827640744255</v>
      </c>
      <c r="R517" s="11">
        <f t="shared" si="16"/>
        <v>132878.39706952605</v>
      </c>
      <c r="S517" s="11" t="str">
        <f t="shared" ref="S517:S580" si="17">_xlfn.CONCAT(B517," ",T517)</f>
        <v>Fulwood UD</v>
      </c>
      <c r="T517" s="11" t="s">
        <v>5214</v>
      </c>
      <c r="V517" s="11" t="str">
        <f>INDEX('Lookup 1961'!$A$2:$A$1300, MATCH(S517, 'Lookup 1961'!$B$2:$B$1300,0))</f>
        <v>J04000522</v>
      </c>
      <c r="W517" s="11" t="str">
        <f>INDEX('Lookup 1961'!$F$2:$F$1300, MATCH(S517, 'Lookup 1961'!$B$2:$B$1300,0))</f>
        <v>e200613</v>
      </c>
      <c r="X517" s="11" t="str">
        <f>INDEX('Lookup 1961'!$C$2:$C$1300, MATCH(V517, 'Lookup 1961'!$A$2:$A$1300,0))</f>
        <v>Lancashire</v>
      </c>
    </row>
    <row r="518" spans="1:24" ht="25.05" customHeight="1" x14ac:dyDescent="0.3">
      <c r="A518" s="2" t="s">
        <v>509</v>
      </c>
      <c r="B518" s="2" t="s">
        <v>509</v>
      </c>
      <c r="C518" s="1">
        <v>23</v>
      </c>
      <c r="D518" s="1">
        <v>6</v>
      </c>
      <c r="E518" s="1">
        <v>16</v>
      </c>
      <c r="F518" s="1">
        <v>6</v>
      </c>
      <c r="K518" s="1">
        <v>515</v>
      </c>
      <c r="L518" s="6">
        <v>134703</v>
      </c>
      <c r="M518" s="1">
        <v>49.2</v>
      </c>
      <c r="N518" s="1">
        <v>5</v>
      </c>
      <c r="O518" s="1">
        <v>12</v>
      </c>
      <c r="P518" s="1">
        <v>2</v>
      </c>
      <c r="Q518" s="11">
        <f>'Table H'!$J$104</f>
        <v>0.86262827640744255</v>
      </c>
      <c r="R518" s="11">
        <f t="shared" si="16"/>
        <v>116198.61671691174</v>
      </c>
      <c r="S518" s="11" t="str">
        <f t="shared" si="17"/>
        <v>Golborne UD</v>
      </c>
      <c r="T518" s="11" t="s">
        <v>5214</v>
      </c>
      <c r="V518" s="11" t="str">
        <f>INDEX('Lookup 1961'!$A$2:$A$1300, MATCH(S518, 'Lookup 1961'!$B$2:$B$1300,0))</f>
        <v>J04000541</v>
      </c>
      <c r="W518" s="11" t="str">
        <f>INDEX('Lookup 1961'!$F$2:$F$1300, MATCH(S518, 'Lookup 1961'!$B$2:$B$1300,0))</f>
        <v>e200615</v>
      </c>
      <c r="X518" s="11" t="str">
        <f>INDEX('Lookup 1961'!$C$2:$C$1300, MATCH(V518, 'Lookup 1961'!$A$2:$A$1300,0))</f>
        <v>Greater Manchester</v>
      </c>
    </row>
    <row r="519" spans="1:24" ht="25.05" customHeight="1" x14ac:dyDescent="0.3">
      <c r="A519" s="2" t="s">
        <v>510</v>
      </c>
      <c r="B519" s="2" t="s">
        <v>510</v>
      </c>
      <c r="C519" s="1">
        <v>23</v>
      </c>
      <c r="D519" s="1">
        <v>3</v>
      </c>
      <c r="E519" s="1">
        <v>17</v>
      </c>
      <c r="F519" s="1">
        <v>2</v>
      </c>
      <c r="K519" s="1">
        <v>235</v>
      </c>
      <c r="L519" s="6">
        <v>61565</v>
      </c>
      <c r="M519" s="1">
        <v>84</v>
      </c>
      <c r="N519" s="1">
        <v>17</v>
      </c>
      <c r="O519" s="1">
        <v>17</v>
      </c>
      <c r="P519" s="1">
        <v>30.3</v>
      </c>
      <c r="Q519" s="11">
        <f>'Table H'!$J$104</f>
        <v>0.86262827640744255</v>
      </c>
      <c r="R519" s="11">
        <f t="shared" si="16"/>
        <v>53107.709837024202</v>
      </c>
      <c r="S519" s="11" t="str">
        <f t="shared" si="17"/>
        <v>Grange UD</v>
      </c>
      <c r="T519" s="11" t="s">
        <v>5214</v>
      </c>
      <c r="V519" s="11" t="str">
        <f>INDEX('Lookup 1961'!$A$2:$A$1300, MATCH(S519, 'Lookup 1961'!$B$2:$B$1300,0))</f>
        <v>J04000547</v>
      </c>
      <c r="W519" s="11" t="str">
        <f>INDEX('Lookup 1961'!$F$2:$F$1300, MATCH(S519, 'Lookup 1961'!$B$2:$B$1300,0))</f>
        <v>e200617</v>
      </c>
      <c r="X519" s="11" t="str">
        <f>INDEX('Lookup 1961'!$C$2:$C$1300, MATCH(V519, 'Lookup 1961'!$A$2:$A$1300,0))</f>
        <v>Cumbria</v>
      </c>
    </row>
    <row r="520" spans="1:24" ht="25.05" customHeight="1" x14ac:dyDescent="0.3">
      <c r="A520" s="2" t="s">
        <v>511</v>
      </c>
      <c r="B520" s="2" t="s">
        <v>511</v>
      </c>
      <c r="C520" s="1">
        <v>23</v>
      </c>
      <c r="D520" s="1">
        <v>4</v>
      </c>
      <c r="E520" s="1">
        <v>18</v>
      </c>
      <c r="F520" s="1">
        <v>2</v>
      </c>
      <c r="K520" s="1">
        <v>318</v>
      </c>
      <c r="L520" s="6">
        <v>90800</v>
      </c>
      <c r="M520" s="1">
        <v>32.9</v>
      </c>
      <c r="N520" s="1">
        <v>7</v>
      </c>
      <c r="O520" s="1">
        <v>12</v>
      </c>
      <c r="P520" s="1">
        <v>8.5</v>
      </c>
      <c r="Q520" s="11">
        <f>'Table H'!$J$104</f>
        <v>0.86262827640744255</v>
      </c>
      <c r="R520" s="11">
        <f t="shared" si="16"/>
        <v>78326.647497795784</v>
      </c>
      <c r="S520" s="11" t="str">
        <f t="shared" si="17"/>
        <v>Great Harwood UD</v>
      </c>
      <c r="T520" s="11" t="s">
        <v>5214</v>
      </c>
      <c r="V520" s="11" t="str">
        <f>INDEX('Lookup 1961'!$A$2:$A$1300, MATCH(S520, 'Lookup 1961'!$B$2:$B$1300,0))</f>
        <v>J04000550</v>
      </c>
      <c r="W520" s="11" t="str">
        <f>INDEX('Lookup 1961'!$F$2:$F$1300, MATCH(S520, 'Lookup 1961'!$B$2:$B$1300,0))</f>
        <v>e200618</v>
      </c>
      <c r="X520" s="11" t="str">
        <f>INDEX('Lookup 1961'!$C$2:$C$1300, MATCH(V520, 'Lookup 1961'!$A$2:$A$1300,0))</f>
        <v>Lancashire</v>
      </c>
    </row>
    <row r="521" spans="1:24" ht="25.05" customHeight="1" x14ac:dyDescent="0.3">
      <c r="A521" s="2" t="s">
        <v>512</v>
      </c>
      <c r="B521" s="2" t="s">
        <v>512</v>
      </c>
      <c r="C521" s="1">
        <v>21</v>
      </c>
      <c r="D521" s="1">
        <v>6</v>
      </c>
      <c r="E521" s="1">
        <v>16</v>
      </c>
      <c r="F521" s="1">
        <v>11</v>
      </c>
      <c r="K521" s="1">
        <v>310</v>
      </c>
      <c r="L521" s="6">
        <v>84778</v>
      </c>
      <c r="M521" s="1">
        <v>60.1</v>
      </c>
      <c r="N521" s="1">
        <v>5</v>
      </c>
      <c r="O521" s="1">
        <v>10</v>
      </c>
      <c r="P521" s="1">
        <v>22.6</v>
      </c>
      <c r="Q521" s="11">
        <f>'Table H'!$J$104</f>
        <v>0.86262827640744255</v>
      </c>
      <c r="R521" s="11">
        <f t="shared" si="16"/>
        <v>73131.900017270164</v>
      </c>
      <c r="S521" s="11" t="str">
        <f t="shared" si="17"/>
        <v>Haydock UD</v>
      </c>
      <c r="T521" s="11" t="s">
        <v>5214</v>
      </c>
      <c r="V521" s="11" t="str">
        <f>INDEX('Lookup 1961'!$A$2:$A$1300, MATCH(S521, 'Lookup 1961'!$B$2:$B$1300,0))</f>
        <v>J04000593</v>
      </c>
      <c r="W521" s="11" t="str">
        <f>INDEX('Lookup 1961'!$F$2:$F$1300, MATCH(S521, 'Lookup 1961'!$B$2:$B$1300,0))</f>
        <v>e200620</v>
      </c>
      <c r="X521" s="11" t="str">
        <f>INDEX('Lookup 1961'!$C$2:$C$1300, MATCH(V521, 'Lookup 1961'!$A$2:$A$1300,0))</f>
        <v>Merseyside</v>
      </c>
    </row>
    <row r="522" spans="1:24" ht="25.05" customHeight="1" x14ac:dyDescent="0.3">
      <c r="A522" s="2" t="s">
        <v>513</v>
      </c>
      <c r="B522" s="2" t="s">
        <v>513</v>
      </c>
      <c r="C522" s="1">
        <v>23</v>
      </c>
      <c r="D522" s="1">
        <v>1</v>
      </c>
      <c r="E522" s="1">
        <v>18</v>
      </c>
      <c r="F522" s="1">
        <v>0</v>
      </c>
      <c r="K522" s="1">
        <v>450</v>
      </c>
      <c r="L522" s="6">
        <v>120753</v>
      </c>
      <c r="M522" s="1">
        <v>47.8</v>
      </c>
      <c r="N522" s="1">
        <v>5</v>
      </c>
      <c r="O522" s="1">
        <v>7</v>
      </c>
      <c r="P522" s="1">
        <v>15.9</v>
      </c>
      <c r="Q522" s="11">
        <f>'Table H'!$J$104</f>
        <v>0.86262827640744255</v>
      </c>
      <c r="R522" s="11">
        <f t="shared" si="16"/>
        <v>104164.95226102791</v>
      </c>
      <c r="S522" s="11" t="str">
        <f t="shared" si="17"/>
        <v>Hindley UD</v>
      </c>
      <c r="T522" s="11" t="s">
        <v>5214</v>
      </c>
      <c r="V522" s="11" t="str">
        <f>INDEX('Lookup 1961'!$A$2:$A$1300, MATCH(S522, 'Lookup 1961'!$B$2:$B$1300,0))</f>
        <v>J04000625</v>
      </c>
      <c r="W522" s="11" t="str">
        <f>INDEX('Lookup 1961'!$F$2:$F$1300, MATCH(S522, 'Lookup 1961'!$B$2:$B$1300,0))</f>
        <v>e200622</v>
      </c>
      <c r="X522" s="11" t="str">
        <f>INDEX('Lookup 1961'!$C$2:$C$1300, MATCH(V522, 'Lookup 1961'!$A$2:$A$1300,0))</f>
        <v>Greater Manchester</v>
      </c>
    </row>
    <row r="523" spans="1:24" ht="25.05" customHeight="1" x14ac:dyDescent="0.3">
      <c r="A523" s="2" t="s">
        <v>514</v>
      </c>
      <c r="B523" s="2" t="s">
        <v>514</v>
      </c>
      <c r="C523" s="1">
        <v>22</v>
      </c>
      <c r="D523" s="1">
        <v>3</v>
      </c>
      <c r="E523" s="1">
        <v>17</v>
      </c>
      <c r="F523" s="1">
        <v>6</v>
      </c>
      <c r="K523" s="1">
        <v>495</v>
      </c>
      <c r="L523" s="6">
        <v>127238</v>
      </c>
      <c r="M523" s="1">
        <v>46.5</v>
      </c>
      <c r="N523" s="1">
        <v>6</v>
      </c>
      <c r="O523" s="1">
        <v>17</v>
      </c>
      <c r="P523" s="1">
        <v>14.2</v>
      </c>
      <c r="Q523" s="11">
        <f>'Table H'!$J$104</f>
        <v>0.86262827640744255</v>
      </c>
      <c r="R523" s="11">
        <f t="shared" si="16"/>
        <v>109759.09663353018</v>
      </c>
      <c r="S523" s="11" t="str">
        <f t="shared" si="17"/>
        <v>Horwich UD</v>
      </c>
      <c r="T523" s="11" t="s">
        <v>5214</v>
      </c>
      <c r="V523" s="11" t="str">
        <f>INDEX('Lookup 1961'!$A$2:$A$1300, MATCH(S523, 'Lookup 1961'!$B$2:$B$1300,0))</f>
        <v>J04000650</v>
      </c>
      <c r="W523" s="11" t="str">
        <f>INDEX('Lookup 1961'!$F$2:$F$1300, MATCH(S523, 'Lookup 1961'!$B$2:$B$1300,0))</f>
        <v>e200623</v>
      </c>
      <c r="X523" s="11" t="str">
        <f>INDEX('Lookup 1961'!$C$2:$C$1300, MATCH(V523, 'Lookup 1961'!$A$2:$A$1300,0))</f>
        <v>Greater Manchester</v>
      </c>
    </row>
    <row r="524" spans="1:24" ht="25.05" customHeight="1" x14ac:dyDescent="0.3">
      <c r="A524" s="2" t="s">
        <v>515</v>
      </c>
      <c r="B524" s="2" t="s">
        <v>5265</v>
      </c>
      <c r="C524" s="1">
        <v>25</v>
      </c>
      <c r="D524" s="1">
        <v>0</v>
      </c>
      <c r="E524" s="1">
        <v>17</v>
      </c>
      <c r="F524" s="1">
        <v>4</v>
      </c>
      <c r="K524" s="6">
        <v>1880</v>
      </c>
      <c r="L524" s="6">
        <v>480282</v>
      </c>
      <c r="M524" s="1">
        <v>72.099999999999994</v>
      </c>
      <c r="N524" s="1">
        <v>6</v>
      </c>
      <c r="O524" s="1">
        <v>14</v>
      </c>
      <c r="P524" s="1">
        <v>16.5</v>
      </c>
      <c r="Q524" s="11">
        <f>'Table H'!$J$104</f>
        <v>0.86262827640744255</v>
      </c>
      <c r="R524" s="11">
        <f t="shared" si="16"/>
        <v>414304.83384951932</v>
      </c>
      <c r="S524" s="11" t="str">
        <f t="shared" si="17"/>
        <v>Huyton with Roby UD</v>
      </c>
      <c r="T524" s="11" t="s">
        <v>5214</v>
      </c>
      <c r="V524" s="11" t="str">
        <f>INDEX('Lookup 1961'!$A$2:$A$1300, MATCH(S524, 'Lookup 1961'!$B$2:$B$1300,0))</f>
        <v>J04000662</v>
      </c>
      <c r="W524" s="11" t="str">
        <f>INDEX('Lookup 1961'!$F$2:$F$1300, MATCH(S524, 'Lookup 1961'!$B$2:$B$1300,0))</f>
        <v>e200624</v>
      </c>
      <c r="X524" s="11" t="str">
        <f>INDEX('Lookup 1961'!$C$2:$C$1300, MATCH(V524, 'Lookup 1961'!$A$2:$A$1300,0))</f>
        <v>Merseyside</v>
      </c>
    </row>
    <row r="525" spans="1:24" ht="25.05" customHeight="1" x14ac:dyDescent="0.3">
      <c r="A525" s="2" t="s">
        <v>516</v>
      </c>
      <c r="B525" s="2" t="s">
        <v>5266</v>
      </c>
      <c r="C525" s="1">
        <v>22</v>
      </c>
      <c r="D525" s="1">
        <v>0</v>
      </c>
      <c r="E525" s="1">
        <v>17</v>
      </c>
      <c r="F525" s="1">
        <v>0</v>
      </c>
      <c r="K525" s="1">
        <v>405</v>
      </c>
      <c r="L525" s="6">
        <v>108163</v>
      </c>
      <c r="M525" s="1">
        <v>53.4</v>
      </c>
      <c r="N525" s="1">
        <v>4</v>
      </c>
      <c r="O525" s="1">
        <v>5</v>
      </c>
      <c r="P525" s="1">
        <v>14.9</v>
      </c>
      <c r="Q525" s="11">
        <f>'Table H'!$J$104</f>
        <v>0.86262827640744255</v>
      </c>
      <c r="R525" s="11">
        <f t="shared" si="16"/>
        <v>93304.462261058216</v>
      </c>
      <c r="S525" s="11" t="str">
        <f t="shared" si="17"/>
        <v>Ince in Makerfield UD</v>
      </c>
      <c r="T525" s="11" t="s">
        <v>5214</v>
      </c>
      <c r="V525" s="11" t="str">
        <f>INDEX('Lookup 1961'!$A$2:$A$1300, MATCH(S525, 'Lookup 1961'!$B$2:$B$1300,0))</f>
        <v>J04000670</v>
      </c>
      <c r="W525" s="11" t="str">
        <f>INDEX('Lookup 1961'!$F$2:$F$1300, MATCH(S525, 'Lookup 1961'!$B$2:$B$1300,0))</f>
        <v>e200625</v>
      </c>
      <c r="X525" s="11" t="str">
        <f>INDEX('Lookup 1961'!$C$2:$C$1300, MATCH(V525, 'Lookup 1961'!$A$2:$A$1300,0))</f>
        <v>Greater Manchester</v>
      </c>
    </row>
    <row r="526" spans="1:24" ht="25.05" customHeight="1" x14ac:dyDescent="0.3">
      <c r="A526" s="2" t="s">
        <v>517</v>
      </c>
      <c r="B526" s="2" t="s">
        <v>517</v>
      </c>
      <c r="C526" s="1">
        <v>23</v>
      </c>
      <c r="D526" s="1">
        <v>6</v>
      </c>
      <c r="E526" s="1">
        <v>17</v>
      </c>
      <c r="F526" s="1">
        <v>0</v>
      </c>
      <c r="K526" s="1">
        <v>615</v>
      </c>
      <c r="L526" s="6">
        <v>172412</v>
      </c>
      <c r="M526" s="1">
        <v>81.2</v>
      </c>
      <c r="N526" s="1">
        <v>9</v>
      </c>
      <c r="O526" s="1">
        <v>5</v>
      </c>
      <c r="P526" s="1">
        <v>24</v>
      </c>
      <c r="Q526" s="11">
        <f>'Table H'!$J$104</f>
        <v>0.86262827640744255</v>
      </c>
      <c r="R526" s="11">
        <f t="shared" si="16"/>
        <v>148727.46639195998</v>
      </c>
      <c r="S526" s="11" t="str">
        <f t="shared" si="17"/>
        <v>Irlam UD</v>
      </c>
      <c r="T526" s="11" t="s">
        <v>5214</v>
      </c>
      <c r="V526" s="11" t="str">
        <f>INDEX('Lookup 1961'!$A$2:$A$1300, MATCH(S526, 'Lookup 1961'!$B$2:$B$1300,0))</f>
        <v>J04000672</v>
      </c>
      <c r="W526" s="11" t="str">
        <f>INDEX('Lookup 1961'!$F$2:$F$1300, MATCH(S526, 'Lookup 1961'!$B$2:$B$1300,0))</f>
        <v>e200626</v>
      </c>
      <c r="X526" s="11" t="str">
        <f>INDEX('Lookup 1961'!$C$2:$C$1300, MATCH(V526, 'Lookup 1961'!$A$2:$A$1300,0))</f>
        <v>Greater Manchester</v>
      </c>
    </row>
    <row r="527" spans="1:24" ht="25.05" customHeight="1" x14ac:dyDescent="0.3">
      <c r="A527" s="2" t="s">
        <v>518</v>
      </c>
      <c r="B527" s="2" t="s">
        <v>518</v>
      </c>
      <c r="C527" s="1">
        <v>22</v>
      </c>
      <c r="D527" s="1">
        <v>0</v>
      </c>
      <c r="E527" s="1">
        <v>17</v>
      </c>
      <c r="F527" s="1">
        <v>6</v>
      </c>
      <c r="K527" s="1">
        <v>320</v>
      </c>
      <c r="L527" s="6">
        <v>83824</v>
      </c>
      <c r="M527" s="1">
        <v>59.1</v>
      </c>
      <c r="N527" s="1">
        <v>6</v>
      </c>
      <c r="O527" s="1">
        <v>16</v>
      </c>
      <c r="P527" s="1">
        <v>26.2</v>
      </c>
      <c r="Q527" s="11">
        <f>'Table H'!$J$104</f>
        <v>0.86262827640744255</v>
      </c>
      <c r="R527" s="11">
        <f t="shared" si="16"/>
        <v>72308.95264157746</v>
      </c>
      <c r="S527" s="11" t="str">
        <f t="shared" si="17"/>
        <v>Kearsley UD</v>
      </c>
      <c r="T527" s="11" t="s">
        <v>5214</v>
      </c>
      <c r="V527" s="11" t="str">
        <f>INDEX('Lookup 1961'!$A$2:$A$1300, MATCH(S527, 'Lookup 1961'!$B$2:$B$1300,0))</f>
        <v>J04000679</v>
      </c>
      <c r="W527" s="11" t="str">
        <f>INDEX('Lookup 1961'!$F$2:$F$1300, MATCH(S527, 'Lookup 1961'!$B$2:$B$1300,0))</f>
        <v>e200627</v>
      </c>
      <c r="X527" s="11" t="str">
        <f>INDEX('Lookup 1961'!$C$2:$C$1300, MATCH(V527, 'Lookup 1961'!$A$2:$A$1300,0))</f>
        <v>Greater Manchester</v>
      </c>
    </row>
    <row r="528" spans="1:24" ht="25.05" customHeight="1" x14ac:dyDescent="0.3">
      <c r="A528" s="2" t="s">
        <v>519</v>
      </c>
      <c r="B528" s="2" t="s">
        <v>519</v>
      </c>
      <c r="C528" s="1">
        <v>20</v>
      </c>
      <c r="D528" s="1">
        <v>10</v>
      </c>
      <c r="E528" s="1">
        <v>16</v>
      </c>
      <c r="F528" s="1">
        <v>0</v>
      </c>
      <c r="K528" s="1">
        <v>200</v>
      </c>
      <c r="L528" s="6">
        <v>49698</v>
      </c>
      <c r="M528" s="1">
        <v>51</v>
      </c>
      <c r="N528" s="1">
        <v>5</v>
      </c>
      <c r="O528" s="1">
        <v>10</v>
      </c>
      <c r="P528" s="1">
        <v>3</v>
      </c>
      <c r="Q528" s="11">
        <f>'Table H'!$J$104</f>
        <v>0.86262827640744255</v>
      </c>
      <c r="R528" s="11">
        <f t="shared" si="16"/>
        <v>42870.900080897081</v>
      </c>
      <c r="S528" s="11" t="str">
        <f t="shared" si="17"/>
        <v>Kirkham UD</v>
      </c>
      <c r="T528" s="11" t="s">
        <v>5214</v>
      </c>
      <c r="V528" s="11" t="str">
        <f>INDEX('Lookup 1961'!$A$2:$A$1300, MATCH(S528, 'Lookup 1961'!$B$2:$B$1300,0))</f>
        <v>J04000708</v>
      </c>
      <c r="W528" s="11" t="str">
        <f>INDEX('Lookup 1961'!$F$2:$F$1300, MATCH(S528, 'Lookup 1961'!$B$2:$B$1300,0))</f>
        <v>e200629</v>
      </c>
      <c r="X528" s="11" t="str">
        <f>INDEX('Lookup 1961'!$C$2:$C$1300, MATCH(V528, 'Lookup 1961'!$A$2:$A$1300,0))</f>
        <v>Lancashire</v>
      </c>
    </row>
    <row r="529" spans="1:24" ht="25.05" customHeight="1" x14ac:dyDescent="0.3">
      <c r="A529" s="2" t="s">
        <v>520</v>
      </c>
      <c r="B529" s="2" t="s">
        <v>520</v>
      </c>
      <c r="C529" s="1">
        <v>23</v>
      </c>
      <c r="D529" s="1">
        <v>6</v>
      </c>
      <c r="E529" s="1">
        <v>17</v>
      </c>
      <c r="F529" s="1">
        <v>0</v>
      </c>
      <c r="K529" s="1">
        <v>140</v>
      </c>
      <c r="L529" s="6">
        <v>38397</v>
      </c>
      <c r="M529" s="1">
        <v>66.8</v>
      </c>
      <c r="N529" s="1">
        <v>6</v>
      </c>
      <c r="O529" s="1">
        <v>19</v>
      </c>
      <c r="P529" s="1">
        <v>5.9</v>
      </c>
      <c r="Q529" s="11">
        <f>'Table H'!$J$104</f>
        <v>0.86262827640744255</v>
      </c>
      <c r="R529" s="11">
        <f t="shared" si="16"/>
        <v>33122.33792921657</v>
      </c>
      <c r="S529" s="11" t="str">
        <f t="shared" si="17"/>
        <v>Lees UD</v>
      </c>
      <c r="T529" s="11" t="s">
        <v>5214</v>
      </c>
      <c r="V529" s="11" t="str">
        <f>INDEX('Lookup 1961'!$A$2:$A$1300, MATCH(S529, 'Lookup 1961'!$B$2:$B$1300,0))</f>
        <v>J04000730</v>
      </c>
      <c r="W529" s="11" t="str">
        <f>INDEX('Lookup 1961'!$F$2:$F$1300, MATCH(S529, 'Lookup 1961'!$B$2:$B$1300,0))</f>
        <v>e200631</v>
      </c>
      <c r="X529" s="11" t="str">
        <f>INDEX('Lookup 1961'!$C$2:$C$1300, MATCH(V529, 'Lookup 1961'!$A$2:$A$1300,0))</f>
        <v>Greater Manchester</v>
      </c>
    </row>
    <row r="530" spans="1:24" ht="25.05" customHeight="1" x14ac:dyDescent="0.3">
      <c r="A530" s="2" t="s">
        <v>521</v>
      </c>
      <c r="B530" s="2" t="s">
        <v>521</v>
      </c>
      <c r="C530" s="1">
        <v>24</v>
      </c>
      <c r="D530" s="1">
        <v>0</v>
      </c>
      <c r="E530" s="1">
        <v>16</v>
      </c>
      <c r="F530" s="1">
        <v>6</v>
      </c>
      <c r="K530" s="1">
        <v>770</v>
      </c>
      <c r="L530" s="6">
        <v>187503</v>
      </c>
      <c r="M530" s="1">
        <v>68.3</v>
      </c>
      <c r="N530" s="1">
        <v>9</v>
      </c>
      <c r="O530" s="1">
        <v>3</v>
      </c>
      <c r="P530" s="1">
        <v>22.9</v>
      </c>
      <c r="Q530" s="11">
        <f>'Table H'!$J$104</f>
        <v>0.86262827640744255</v>
      </c>
      <c r="R530" s="11">
        <f t="shared" si="16"/>
        <v>161745.38971122471</v>
      </c>
      <c r="S530" s="11" t="str">
        <f t="shared" si="17"/>
        <v>Leyland UD</v>
      </c>
      <c r="T530" s="11" t="s">
        <v>5214</v>
      </c>
      <c r="V530" s="11" t="str">
        <f>INDEX('Lookup 1961'!$A$2:$A$1300, MATCH(S530, 'Lookup 1961'!$B$2:$B$1300,0))</f>
        <v>J04000742</v>
      </c>
      <c r="W530" s="11" t="str">
        <f>INDEX('Lookup 1961'!$F$2:$F$1300, MATCH(S530, 'Lookup 1961'!$B$2:$B$1300,0))</f>
        <v>e200633</v>
      </c>
      <c r="X530" s="11" t="str">
        <f>INDEX('Lookup 1961'!$C$2:$C$1300, MATCH(V530, 'Lookup 1961'!$A$2:$A$1300,0))</f>
        <v>Lancashire</v>
      </c>
    </row>
    <row r="531" spans="1:24" ht="25.05" customHeight="1" x14ac:dyDescent="0.3">
      <c r="A531" s="2" t="s">
        <v>522</v>
      </c>
      <c r="B531" s="2" t="s">
        <v>522</v>
      </c>
      <c r="C531" s="1">
        <v>23</v>
      </c>
      <c r="D531" s="1">
        <v>8</v>
      </c>
      <c r="E531" s="1">
        <v>17</v>
      </c>
      <c r="F531" s="1">
        <v>4</v>
      </c>
      <c r="K531" s="1">
        <v>854</v>
      </c>
      <c r="L531" s="6">
        <v>217525</v>
      </c>
      <c r="M531" s="1">
        <v>43.4</v>
      </c>
      <c r="N531" s="1">
        <v>7</v>
      </c>
      <c r="O531" s="1">
        <v>6</v>
      </c>
      <c r="P531" s="1">
        <v>1.3</v>
      </c>
      <c r="Q531" s="11">
        <f>'Table H'!$J$104</f>
        <v>0.86262827640744255</v>
      </c>
      <c r="R531" s="11">
        <f t="shared" si="16"/>
        <v>187643.21582552895</v>
      </c>
      <c r="S531" s="11" t="str">
        <f t="shared" si="17"/>
        <v>Litherland UD</v>
      </c>
      <c r="T531" s="11" t="s">
        <v>5214</v>
      </c>
      <c r="V531" s="11" t="str">
        <f>INDEX('Lookup 1961'!$A$2:$A$1300, MATCH(S531, 'Lookup 1961'!$B$2:$B$1300,0))</f>
        <v>J04000750</v>
      </c>
      <c r="W531" s="11" t="str">
        <f>INDEX('Lookup 1961'!$F$2:$F$1300, MATCH(S531, 'Lookup 1961'!$B$2:$B$1300,0))</f>
        <v>e200635</v>
      </c>
      <c r="X531" s="11" t="str">
        <f>INDEX('Lookup 1961'!$C$2:$C$1300, MATCH(V531, 'Lookup 1961'!$A$2:$A$1300,0))</f>
        <v>Merseyside</v>
      </c>
    </row>
    <row r="532" spans="1:24" ht="25.05" customHeight="1" x14ac:dyDescent="0.3">
      <c r="A532" s="2" t="s">
        <v>523</v>
      </c>
      <c r="B532" s="2" t="s">
        <v>523</v>
      </c>
      <c r="C532" s="1">
        <v>23</v>
      </c>
      <c r="D532" s="1">
        <v>0</v>
      </c>
      <c r="E532" s="1">
        <v>17</v>
      </c>
      <c r="F532" s="1">
        <v>0</v>
      </c>
      <c r="K532" s="1">
        <v>372</v>
      </c>
      <c r="L532" s="6">
        <v>103772</v>
      </c>
      <c r="M532" s="1">
        <v>53</v>
      </c>
      <c r="N532" s="1">
        <v>7</v>
      </c>
      <c r="O532" s="1">
        <v>5</v>
      </c>
      <c r="P532" s="1">
        <v>12.5</v>
      </c>
      <c r="Q532" s="11">
        <f>'Table H'!$J$104</f>
        <v>0.86262827640744255</v>
      </c>
      <c r="R532" s="11">
        <f t="shared" si="16"/>
        <v>89516.661499353126</v>
      </c>
      <c r="S532" s="11" t="str">
        <f t="shared" si="17"/>
        <v>Littleborough UD</v>
      </c>
      <c r="T532" s="11" t="s">
        <v>5214</v>
      </c>
      <c r="V532" s="11" t="str">
        <f>INDEX('Lookup 1961'!$A$2:$A$1300, MATCH(S532, 'Lookup 1961'!$B$2:$B$1300,0))</f>
        <v>J04000752</v>
      </c>
      <c r="W532" s="11" t="str">
        <f>INDEX('Lookup 1961'!$F$2:$F$1300, MATCH(S532, 'Lookup 1961'!$B$2:$B$1300,0))</f>
        <v>e200636</v>
      </c>
      <c r="X532" s="11" t="str">
        <f>INDEX('Lookup 1961'!$C$2:$C$1300, MATCH(V532, 'Lookup 1961'!$A$2:$A$1300,0))</f>
        <v>Greater Manchester</v>
      </c>
    </row>
    <row r="533" spans="1:24" ht="25.05" customHeight="1" x14ac:dyDescent="0.3">
      <c r="A533" s="2" t="s">
        <v>524</v>
      </c>
      <c r="B533" s="2" t="s">
        <v>524</v>
      </c>
      <c r="C533" s="1">
        <v>24</v>
      </c>
      <c r="D533" s="1">
        <v>6</v>
      </c>
      <c r="E533" s="1">
        <v>19</v>
      </c>
      <c r="F533" s="1">
        <v>3</v>
      </c>
      <c r="K533" s="1">
        <v>130</v>
      </c>
      <c r="L533" s="6">
        <v>36190</v>
      </c>
      <c r="M533" s="1">
        <v>54.2</v>
      </c>
      <c r="N533" s="1">
        <v>6</v>
      </c>
      <c r="O533" s="1">
        <v>16</v>
      </c>
      <c r="P533" s="1">
        <v>16.2</v>
      </c>
      <c r="Q533" s="11">
        <f>'Table H'!$J$104</f>
        <v>0.86262827640744255</v>
      </c>
      <c r="R533" s="11">
        <f t="shared" si="16"/>
        <v>31218.517323185344</v>
      </c>
      <c r="S533" s="11" t="str">
        <f t="shared" si="17"/>
        <v>Little Lever UD</v>
      </c>
      <c r="T533" s="11" t="s">
        <v>5214</v>
      </c>
      <c r="V533" s="11" t="str">
        <f>INDEX('Lookup 1961'!$A$2:$A$1300, MATCH(S533, 'Lookup 1961'!$B$2:$B$1300,0))</f>
        <v>J04000751</v>
      </c>
      <c r="W533" s="11" t="str">
        <f>INDEX('Lookup 1961'!$F$2:$F$1300, MATCH(S533, 'Lookup 1961'!$B$2:$B$1300,0))</f>
        <v>e200637</v>
      </c>
      <c r="X533" s="11" t="str">
        <f>INDEX('Lookup 1961'!$C$2:$C$1300, MATCH(V533, 'Lookup 1961'!$A$2:$A$1300,0))</f>
        <v>Greater Manchester</v>
      </c>
    </row>
    <row r="534" spans="1:24" ht="25.05" customHeight="1" x14ac:dyDescent="0.3">
      <c r="A534" s="2" t="s">
        <v>525</v>
      </c>
      <c r="B534" s="2" t="s">
        <v>525</v>
      </c>
      <c r="C534" s="1">
        <v>23</v>
      </c>
      <c r="D534" s="1">
        <v>0</v>
      </c>
      <c r="E534" s="1">
        <v>17</v>
      </c>
      <c r="F534" s="1">
        <v>6</v>
      </c>
      <c r="K534" s="1">
        <v>181</v>
      </c>
      <c r="L534" s="6">
        <v>42624</v>
      </c>
      <c r="M534" s="1">
        <v>52.5</v>
      </c>
      <c r="N534" s="1">
        <v>8</v>
      </c>
      <c r="O534" s="1">
        <v>1</v>
      </c>
      <c r="P534" s="1">
        <v>11.7</v>
      </c>
      <c r="Q534" s="11">
        <f>'Table H'!$J$104</f>
        <v>0.86262827640744255</v>
      </c>
      <c r="R534" s="11">
        <f t="shared" si="16"/>
        <v>36768.667653590834</v>
      </c>
      <c r="S534" s="11" t="str">
        <f t="shared" si="17"/>
        <v>Longridge UD</v>
      </c>
      <c r="T534" s="11" t="s">
        <v>5214</v>
      </c>
      <c r="V534" s="11" t="str">
        <f>INDEX('Lookup 1961'!$A$2:$A$1300, MATCH(S534, 'Lookup 1961'!$B$2:$B$1300,0))</f>
        <v>J04000779</v>
      </c>
      <c r="W534" s="11" t="str">
        <f>INDEX('Lookup 1961'!$F$2:$F$1300, MATCH(S534, 'Lookup 1961'!$B$2:$B$1300,0))</f>
        <v>e200638</v>
      </c>
      <c r="X534" s="11" t="str">
        <f>INDEX('Lookup 1961'!$C$2:$C$1300, MATCH(V534, 'Lookup 1961'!$A$2:$A$1300,0))</f>
        <v>Lancashire</v>
      </c>
    </row>
    <row r="535" spans="1:24" ht="25.05" customHeight="1" x14ac:dyDescent="0.3">
      <c r="A535" s="2" t="s">
        <v>526</v>
      </c>
      <c r="B535" s="2" t="s">
        <v>526</v>
      </c>
      <c r="C535" s="1">
        <v>21</v>
      </c>
      <c r="D535" s="1">
        <v>0</v>
      </c>
      <c r="E535" s="1">
        <v>15</v>
      </c>
      <c r="F535" s="1">
        <v>0</v>
      </c>
      <c r="K535" s="1">
        <v>300</v>
      </c>
      <c r="L535" s="6">
        <v>79108</v>
      </c>
      <c r="M535" s="1">
        <v>46.4</v>
      </c>
      <c r="N535" s="1">
        <v>6</v>
      </c>
      <c r="O535" s="1">
        <v>9</v>
      </c>
      <c r="P535" s="1">
        <v>0.1</v>
      </c>
      <c r="Q535" s="11">
        <f>'Table H'!$J$104</f>
        <v>0.86262827640744255</v>
      </c>
      <c r="R535" s="11">
        <f t="shared" si="16"/>
        <v>68240.797690039966</v>
      </c>
      <c r="S535" s="11" t="str">
        <f t="shared" si="17"/>
        <v>Milnrow UD</v>
      </c>
      <c r="T535" s="11" t="s">
        <v>5214</v>
      </c>
      <c r="V535" s="11" t="str">
        <f>INDEX('Lookup 1961'!$A$2:$A$1300, MATCH(S535, 'Lookup 1961'!$B$2:$B$1300,0))</f>
        <v>J04000859</v>
      </c>
      <c r="W535" s="11" t="str">
        <f>INDEX('Lookup 1961'!$F$2:$F$1300, MATCH(S535, 'Lookup 1961'!$B$2:$B$1300,0))</f>
        <v>e200641</v>
      </c>
      <c r="X535" s="11" t="str">
        <f>INDEX('Lookup 1961'!$C$2:$C$1300, MATCH(V535, 'Lookup 1961'!$A$2:$A$1300,0))</f>
        <v>Greater Manchester</v>
      </c>
    </row>
    <row r="536" spans="1:24" ht="25.05" customHeight="1" x14ac:dyDescent="0.3">
      <c r="A536" s="2" t="s">
        <v>527</v>
      </c>
      <c r="B536" s="2" t="s">
        <v>527</v>
      </c>
      <c r="C536" s="1">
        <v>22</v>
      </c>
      <c r="D536" s="1">
        <v>6</v>
      </c>
      <c r="E536" s="1">
        <v>17</v>
      </c>
      <c r="F536" s="1">
        <v>9</v>
      </c>
      <c r="K536" s="1">
        <v>604</v>
      </c>
      <c r="L536" s="6">
        <v>163940</v>
      </c>
      <c r="M536" s="1">
        <v>44.9</v>
      </c>
      <c r="N536" s="1">
        <v>6</v>
      </c>
      <c r="O536" s="1">
        <v>6</v>
      </c>
      <c r="P536" s="1">
        <v>11.7</v>
      </c>
      <c r="Q536" s="11">
        <f>'Table H'!$J$104</f>
        <v>0.86262827640744255</v>
      </c>
      <c r="R536" s="11">
        <f t="shared" si="16"/>
        <v>141419.27963423613</v>
      </c>
      <c r="S536" s="11" t="str">
        <f t="shared" si="17"/>
        <v>Newton-le-Willows UD</v>
      </c>
      <c r="T536" s="11" t="s">
        <v>5214</v>
      </c>
      <c r="V536" s="11" t="str">
        <f>INDEX('Lookup 1961'!$A$2:$A$1300, MATCH(S536, 'Lookup 1961'!$B$2:$B$1300,0))</f>
        <v>J04000915</v>
      </c>
      <c r="W536" s="11" t="str">
        <f>INDEX('Lookup 1961'!$F$2:$F$1300, MATCH(S536, 'Lookup 1961'!$B$2:$B$1300,0))</f>
        <v>e200645</v>
      </c>
      <c r="X536" s="11" t="str">
        <f>INDEX('Lookup 1961'!$C$2:$C$1300, MATCH(V536, 'Lookup 1961'!$A$2:$A$1300,0))</f>
        <v>Merseyside</v>
      </c>
    </row>
    <row r="537" spans="1:24" ht="25.05" customHeight="1" x14ac:dyDescent="0.3">
      <c r="A537" s="2" t="s">
        <v>528</v>
      </c>
      <c r="B537" s="2" t="s">
        <v>528</v>
      </c>
      <c r="C537" s="1">
        <v>21</v>
      </c>
      <c r="D537" s="1">
        <v>0</v>
      </c>
      <c r="E537" s="1">
        <v>15</v>
      </c>
      <c r="F537" s="1">
        <v>3</v>
      </c>
      <c r="K537" s="1">
        <v>880</v>
      </c>
      <c r="L537" s="6">
        <v>233382</v>
      </c>
      <c r="M537" s="1">
        <v>72.3</v>
      </c>
      <c r="N537" s="1">
        <v>8</v>
      </c>
      <c r="O537" s="1">
        <v>3</v>
      </c>
      <c r="P537" s="1">
        <v>32</v>
      </c>
      <c r="Q537" s="11">
        <f>'Table H'!$J$104</f>
        <v>0.86262827640744255</v>
      </c>
      <c r="R537" s="11">
        <f t="shared" si="16"/>
        <v>201321.91240452175</v>
      </c>
      <c r="S537" s="11" t="str">
        <f t="shared" si="17"/>
        <v>Ormskirk UD</v>
      </c>
      <c r="T537" s="11" t="s">
        <v>5214</v>
      </c>
      <c r="V537" s="11" t="str">
        <f>INDEX('Lookup 1961'!$A$2:$A$1300, MATCH(S537, 'Lookup 1961'!$B$2:$B$1300,0))</f>
        <v>J04000955</v>
      </c>
      <c r="W537" s="11" t="str">
        <f>INDEX('Lookup 1961'!$F$2:$F$1300, MATCH(S537, 'Lookup 1961'!$B$2:$B$1300,0))</f>
        <v>e200646</v>
      </c>
      <c r="X537" s="11" t="str">
        <f>INDEX('Lookup 1961'!$C$2:$C$1300, MATCH(V537, 'Lookup 1961'!$A$2:$A$1300,0))</f>
        <v>Lancashire</v>
      </c>
    </row>
    <row r="538" spans="1:24" ht="25.05" customHeight="1" x14ac:dyDescent="0.3">
      <c r="A538" s="2" t="s">
        <v>529</v>
      </c>
      <c r="B538" s="2" t="s">
        <v>529</v>
      </c>
      <c r="C538" s="1">
        <v>21</v>
      </c>
      <c r="D538" s="1">
        <v>0</v>
      </c>
      <c r="E538" s="1">
        <v>15</v>
      </c>
      <c r="F538" s="1">
        <v>3</v>
      </c>
      <c r="K538" s="1">
        <v>269</v>
      </c>
      <c r="L538" s="6">
        <v>67803</v>
      </c>
      <c r="M538" s="1">
        <v>57.8</v>
      </c>
      <c r="N538" s="1">
        <v>5</v>
      </c>
      <c r="O538" s="1">
        <v>4</v>
      </c>
      <c r="P538" s="1">
        <v>13.3</v>
      </c>
      <c r="Q538" s="11">
        <f>'Table H'!$J$104</f>
        <v>0.86262827640744255</v>
      </c>
      <c r="R538" s="11">
        <f t="shared" si="16"/>
        <v>58488.785025253826</v>
      </c>
      <c r="S538" s="11" t="str">
        <f t="shared" si="17"/>
        <v>Orrell UD</v>
      </c>
      <c r="T538" s="11" t="s">
        <v>5214</v>
      </c>
      <c r="V538" s="11" t="str">
        <f>INDEX('Lookup 1961'!$A$2:$A$1300, MATCH(S538, 'Lookup 1961'!$B$2:$B$1300,0))</f>
        <v>J04000957</v>
      </c>
      <c r="W538" s="11" t="str">
        <f>INDEX('Lookup 1961'!$F$2:$F$1300, MATCH(S538, 'Lookup 1961'!$B$2:$B$1300,0))</f>
        <v>e200647</v>
      </c>
      <c r="X538" s="11" t="str">
        <f>INDEX('Lookup 1961'!$C$2:$C$1300, MATCH(V538, 'Lookup 1961'!$A$2:$A$1300,0))</f>
        <v>Greater Manchester</v>
      </c>
    </row>
    <row r="539" spans="1:24" ht="25.05" customHeight="1" x14ac:dyDescent="0.3">
      <c r="A539" s="2" t="s">
        <v>530</v>
      </c>
      <c r="B539" s="2" t="s">
        <v>530</v>
      </c>
      <c r="C539" s="1">
        <v>24</v>
      </c>
      <c r="D539" s="1">
        <v>0</v>
      </c>
      <c r="E539" s="1">
        <v>18</v>
      </c>
      <c r="F539" s="1">
        <v>0</v>
      </c>
      <c r="K539" s="1">
        <v>380</v>
      </c>
      <c r="L539" s="6">
        <v>99841</v>
      </c>
      <c r="M539" s="1">
        <v>49.7</v>
      </c>
      <c r="N539" s="1">
        <v>7</v>
      </c>
      <c r="O539" s="1">
        <v>2</v>
      </c>
      <c r="P539" s="1">
        <v>9.3000000000000007</v>
      </c>
      <c r="Q539" s="11">
        <f>'Table H'!$J$104</f>
        <v>0.86262827640744255</v>
      </c>
      <c r="R539" s="11">
        <f t="shared" si="16"/>
        <v>86125.669744795465</v>
      </c>
      <c r="S539" s="11" t="str">
        <f t="shared" si="17"/>
        <v>Oswaldtwistle UD</v>
      </c>
      <c r="T539" s="11" t="s">
        <v>5214</v>
      </c>
      <c r="V539" s="11" t="str">
        <f>INDEX('Lookup 1961'!$A$2:$A$1300, MATCH(S539, 'Lookup 1961'!$B$2:$B$1300,0))</f>
        <v>J04000960</v>
      </c>
      <c r="W539" s="11" t="str">
        <f>INDEX('Lookup 1961'!$F$2:$F$1300, MATCH(S539, 'Lookup 1961'!$B$2:$B$1300,0))</f>
        <v>e200648</v>
      </c>
      <c r="X539" s="11" t="str">
        <f>INDEX('Lookup 1961'!$C$2:$C$1300, MATCH(V539, 'Lookup 1961'!$A$2:$A$1300,0))</f>
        <v>Lancashire</v>
      </c>
    </row>
    <row r="540" spans="1:24" ht="25.05" customHeight="1" x14ac:dyDescent="0.3">
      <c r="A540" s="2" t="s">
        <v>531</v>
      </c>
      <c r="B540" s="2" t="s">
        <v>531</v>
      </c>
      <c r="C540" s="1">
        <v>26</v>
      </c>
      <c r="D540" s="1">
        <v>0</v>
      </c>
      <c r="E540" s="1">
        <v>20</v>
      </c>
      <c r="F540" s="1">
        <v>0</v>
      </c>
      <c r="K540" s="1">
        <v>304</v>
      </c>
      <c r="L540" s="6">
        <v>80560</v>
      </c>
      <c r="M540" s="1">
        <v>46.2</v>
      </c>
      <c r="N540" s="1">
        <v>7</v>
      </c>
      <c r="O540" s="1">
        <v>9</v>
      </c>
      <c r="P540" s="1">
        <v>11</v>
      </c>
      <c r="Q540" s="11">
        <f>'Table H'!$J$104</f>
        <v>0.86262827640744255</v>
      </c>
      <c r="R540" s="11">
        <f t="shared" si="16"/>
        <v>69493.333947383566</v>
      </c>
      <c r="S540" s="11" t="str">
        <f t="shared" si="17"/>
        <v>Padiham UD</v>
      </c>
      <c r="T540" s="11" t="s">
        <v>5214</v>
      </c>
      <c r="V540" s="11" t="str">
        <f>INDEX('Lookup 1961'!$A$2:$A$1300, MATCH(S540, 'Lookup 1961'!$B$2:$B$1300,0))</f>
        <v>J04000969</v>
      </c>
      <c r="W540" s="11" t="str">
        <f>INDEX('Lookup 1961'!$F$2:$F$1300, MATCH(S540, 'Lookup 1961'!$B$2:$B$1300,0))</f>
        <v>e200649</v>
      </c>
      <c r="X540" s="11" t="str">
        <f>INDEX('Lookup 1961'!$C$2:$C$1300, MATCH(V540, 'Lookup 1961'!$A$2:$A$1300,0))</f>
        <v>Lancashire</v>
      </c>
    </row>
    <row r="541" spans="1:24" ht="25.05" customHeight="1" x14ac:dyDescent="0.3">
      <c r="A541" s="2" t="s">
        <v>532</v>
      </c>
      <c r="B541" s="2" t="s">
        <v>5267</v>
      </c>
      <c r="C541" s="1">
        <v>21</v>
      </c>
      <c r="D541" s="1">
        <v>7</v>
      </c>
      <c r="E541" s="1">
        <v>14</v>
      </c>
      <c r="F541" s="1">
        <v>10</v>
      </c>
      <c r="K541" s="1">
        <v>442</v>
      </c>
      <c r="L541" s="6">
        <v>114068</v>
      </c>
      <c r="M541" s="1">
        <v>82.5</v>
      </c>
      <c r="N541" s="1">
        <v>9</v>
      </c>
      <c r="O541" s="1">
        <v>0</v>
      </c>
      <c r="P541" s="1">
        <v>9.4</v>
      </c>
      <c r="Q541" s="11">
        <f>'Table H'!$J$104</f>
        <v>0.86262827640744255</v>
      </c>
      <c r="R541" s="11">
        <f t="shared" si="16"/>
        <v>98398.282233244157</v>
      </c>
      <c r="S541" s="11" t="str">
        <f t="shared" si="17"/>
        <v>Poulton le Fylde UD</v>
      </c>
      <c r="T541" s="11" t="s">
        <v>5214</v>
      </c>
      <c r="V541" s="11" t="str">
        <f>INDEX('Lookup 1961'!$A$2:$A$1300, MATCH(S541, 'Lookup 1961'!$B$2:$B$1300,0))</f>
        <v>J04001014</v>
      </c>
      <c r="W541" s="11" t="str">
        <f>INDEX('Lookup 1961'!$F$2:$F$1300, MATCH(S541, 'Lookup 1961'!$B$2:$B$1300,0))</f>
        <v>e200650</v>
      </c>
      <c r="X541" s="11" t="str">
        <f>INDEX('Lookup 1961'!$C$2:$C$1300, MATCH(V541, 'Lookup 1961'!$A$2:$A$1300,0))</f>
        <v>Lancashire</v>
      </c>
    </row>
    <row r="542" spans="1:24" ht="25.05" customHeight="1" x14ac:dyDescent="0.3">
      <c r="A542" s="2" t="s">
        <v>533</v>
      </c>
      <c r="B542" s="2" t="s">
        <v>533</v>
      </c>
      <c r="C542" s="1">
        <v>22</v>
      </c>
      <c r="D542" s="1">
        <v>0</v>
      </c>
      <c r="E542" s="1">
        <v>14</v>
      </c>
      <c r="F542" s="1">
        <v>6</v>
      </c>
      <c r="K542" s="1">
        <v>93</v>
      </c>
      <c r="L542" s="6">
        <v>24997</v>
      </c>
      <c r="M542" s="1">
        <v>63.3</v>
      </c>
      <c r="N542" s="1">
        <v>7</v>
      </c>
      <c r="O542" s="1">
        <v>17</v>
      </c>
      <c r="P542" s="1">
        <v>5.9</v>
      </c>
      <c r="Q542" s="11">
        <f>'Table H'!$J$104</f>
        <v>0.86262827640744255</v>
      </c>
      <c r="R542" s="11">
        <f t="shared" si="16"/>
        <v>21563.119025356842</v>
      </c>
      <c r="S542" s="11" t="str">
        <f t="shared" si="17"/>
        <v>Preesall UD</v>
      </c>
      <c r="T542" s="11" t="s">
        <v>5214</v>
      </c>
      <c r="V542" s="11" t="str">
        <f>INDEX('Lookup 1961'!$A$2:$A$1300, MATCH(S542, 'Lookup 1961'!$B$2:$B$1300,0))</f>
        <v>J04001015</v>
      </c>
      <c r="W542" s="11" t="str">
        <f>INDEX('Lookup 1961'!$F$2:$F$1300, MATCH(S542, 'Lookup 1961'!$B$2:$B$1300,0))</f>
        <v>e200651</v>
      </c>
      <c r="X542" s="11" t="str">
        <f>INDEX('Lookup 1961'!$C$2:$C$1300, MATCH(V542, 'Lookup 1961'!$A$2:$A$1300,0))</f>
        <v>Lancashire</v>
      </c>
    </row>
    <row r="543" spans="1:24" ht="25.05" customHeight="1" x14ac:dyDescent="0.3">
      <c r="A543" s="2" t="s">
        <v>534</v>
      </c>
      <c r="B543" s="2" t="s">
        <v>534</v>
      </c>
      <c r="C543" s="1">
        <v>24</v>
      </c>
      <c r="D543" s="1">
        <v>10</v>
      </c>
      <c r="E543" s="1">
        <v>18</v>
      </c>
      <c r="F543" s="1">
        <v>4</v>
      </c>
      <c r="K543" s="1">
        <v>510</v>
      </c>
      <c r="L543" s="6">
        <v>134803</v>
      </c>
      <c r="M543" s="1">
        <v>60.6</v>
      </c>
      <c r="N543" s="1">
        <v>9</v>
      </c>
      <c r="O543" s="1">
        <v>6</v>
      </c>
      <c r="P543" s="1">
        <v>14.4</v>
      </c>
      <c r="Q543" s="11">
        <f>'Table H'!$J$104</f>
        <v>0.86262827640744255</v>
      </c>
      <c r="R543" s="11">
        <f t="shared" si="16"/>
        <v>116284.87954455247</v>
      </c>
      <c r="S543" s="11" t="str">
        <f t="shared" si="17"/>
        <v>Prescot UD</v>
      </c>
      <c r="T543" s="11" t="s">
        <v>5214</v>
      </c>
      <c r="V543" s="11" t="str">
        <f>INDEX('Lookup 1961'!$A$2:$A$1300, MATCH(S543, 'Lookup 1961'!$B$2:$B$1300,0))</f>
        <v>J04001016</v>
      </c>
      <c r="W543" s="11" t="str">
        <f>INDEX('Lookup 1961'!$F$2:$F$1300, MATCH(S543, 'Lookup 1961'!$B$2:$B$1300,0))</f>
        <v>e200652</v>
      </c>
      <c r="X543" s="11" t="str">
        <f>INDEX('Lookup 1961'!$C$2:$C$1300, MATCH(V543, 'Lookup 1961'!$A$2:$A$1300,0))</f>
        <v>Merseyside</v>
      </c>
    </row>
    <row r="544" spans="1:24" ht="25.05" customHeight="1" x14ac:dyDescent="0.3">
      <c r="A544" s="2" t="s">
        <v>535</v>
      </c>
      <c r="B544" s="2" t="s">
        <v>535</v>
      </c>
      <c r="C544" s="1">
        <v>20</v>
      </c>
      <c r="D544" s="1">
        <v>8</v>
      </c>
      <c r="E544" s="1">
        <v>15</v>
      </c>
      <c r="F544" s="1">
        <v>0</v>
      </c>
      <c r="K544" s="1">
        <v>138</v>
      </c>
      <c r="L544" s="6">
        <v>35970</v>
      </c>
      <c r="M544" s="1">
        <v>56.2</v>
      </c>
      <c r="N544" s="1">
        <v>6</v>
      </c>
      <c r="O544" s="1">
        <v>0</v>
      </c>
      <c r="P544" s="1">
        <v>10.5</v>
      </c>
      <c r="Q544" s="11">
        <f>'Table H'!$J$104</f>
        <v>0.86262827640744255</v>
      </c>
      <c r="R544" s="11">
        <f t="shared" si="16"/>
        <v>31028.739102375708</v>
      </c>
      <c r="S544" s="11" t="str">
        <f t="shared" si="17"/>
        <v>Rainford UD</v>
      </c>
      <c r="T544" s="11" t="s">
        <v>5214</v>
      </c>
      <c r="V544" s="11" t="str">
        <f>INDEX('Lookup 1961'!$A$2:$A$1300, MATCH(S544, 'Lookup 1961'!$B$2:$B$1300,0))</f>
        <v>J04001028</v>
      </c>
      <c r="W544" s="11" t="str">
        <f>INDEX('Lookup 1961'!$F$2:$F$1300, MATCH(S544, 'Lookup 1961'!$B$2:$B$1300,0))</f>
        <v>e200655</v>
      </c>
      <c r="X544" s="11" t="str">
        <f>INDEX('Lookup 1961'!$C$2:$C$1300, MATCH(V544, 'Lookup 1961'!$A$2:$A$1300,0))</f>
        <v>Merseyside</v>
      </c>
    </row>
    <row r="545" spans="1:24" ht="25.05" customHeight="1" x14ac:dyDescent="0.3">
      <c r="A545" s="2" t="s">
        <v>536</v>
      </c>
      <c r="B545" s="2" t="s">
        <v>536</v>
      </c>
      <c r="C545" s="1">
        <v>24</v>
      </c>
      <c r="D545" s="1">
        <v>9</v>
      </c>
      <c r="E545" s="1">
        <v>18</v>
      </c>
      <c r="F545" s="1">
        <v>0</v>
      </c>
      <c r="K545" s="1">
        <v>520</v>
      </c>
      <c r="L545" s="6">
        <v>132503</v>
      </c>
      <c r="M545" s="1">
        <v>55.4</v>
      </c>
      <c r="N545" s="1">
        <v>8</v>
      </c>
      <c r="O545" s="1">
        <v>6</v>
      </c>
      <c r="P545" s="1">
        <v>17</v>
      </c>
      <c r="Q545" s="11">
        <f>'Table H'!$J$104</f>
        <v>0.86262827640744255</v>
      </c>
      <c r="R545" s="11">
        <f t="shared" si="16"/>
        <v>114300.83450881536</v>
      </c>
      <c r="S545" s="11" t="str">
        <f t="shared" si="17"/>
        <v>Ramsbottom UD</v>
      </c>
      <c r="T545" s="11" t="s">
        <v>5214</v>
      </c>
      <c r="V545" s="11" t="str">
        <f>INDEX('Lookup 1961'!$A$2:$A$1300, MATCH(S545, 'Lookup 1961'!$B$2:$B$1300,0))</f>
        <v>J04001029</v>
      </c>
      <c r="W545" s="11" t="str">
        <f>INDEX('Lookup 1961'!$F$2:$F$1300, MATCH(S545, 'Lookup 1961'!$B$2:$B$1300,0))</f>
        <v>e200656</v>
      </c>
      <c r="X545" s="11" t="str">
        <f>INDEX('Lookup 1961'!$C$2:$C$1300, MATCH(V545, 'Lookup 1961'!$A$2:$A$1300,0))</f>
        <v>Greater Manchester</v>
      </c>
    </row>
    <row r="546" spans="1:24" ht="25.05" customHeight="1" x14ac:dyDescent="0.3">
      <c r="A546" s="2" t="s">
        <v>537</v>
      </c>
      <c r="B546" s="2" t="s">
        <v>537</v>
      </c>
      <c r="C546" s="1">
        <v>21</v>
      </c>
      <c r="D546" s="1">
        <v>3</v>
      </c>
      <c r="E546" s="1">
        <v>17</v>
      </c>
      <c r="F546" s="1">
        <v>6</v>
      </c>
      <c r="K546" s="1">
        <v>177</v>
      </c>
      <c r="L546" s="6">
        <v>45528</v>
      </c>
      <c r="M546" s="1">
        <v>31</v>
      </c>
      <c r="N546" s="1">
        <v>6</v>
      </c>
      <c r="O546" s="1">
        <v>13</v>
      </c>
      <c r="P546" s="1">
        <v>9.5</v>
      </c>
      <c r="Q546" s="11">
        <f>'Table H'!$J$104</f>
        <v>0.86262827640744255</v>
      </c>
      <c r="R546" s="11">
        <f t="shared" si="16"/>
        <v>39273.740168278047</v>
      </c>
      <c r="S546" s="11" t="str">
        <f t="shared" si="17"/>
        <v>Rishton UD</v>
      </c>
      <c r="T546" s="11" t="s">
        <v>5214</v>
      </c>
      <c r="V546" s="11" t="str">
        <f>INDEX('Lookup 1961'!$A$2:$A$1300, MATCH(S546, 'Lookup 1961'!$B$2:$B$1300,0))</f>
        <v>J04001056</v>
      </c>
      <c r="W546" s="11" t="str">
        <f>INDEX('Lookup 1961'!$F$2:$F$1300, MATCH(S546, 'Lookup 1961'!$B$2:$B$1300,0))</f>
        <v>e200658</v>
      </c>
      <c r="X546" s="11" t="str">
        <f>INDEX('Lookup 1961'!$C$2:$C$1300, MATCH(V546, 'Lookup 1961'!$A$2:$A$1300,0))</f>
        <v>Lancashire</v>
      </c>
    </row>
    <row r="547" spans="1:24" ht="25.05" customHeight="1" x14ac:dyDescent="0.3">
      <c r="A547" s="2" t="s">
        <v>538</v>
      </c>
      <c r="B547" s="2" t="s">
        <v>538</v>
      </c>
      <c r="C547" s="1">
        <v>23</v>
      </c>
      <c r="D547" s="1">
        <v>9</v>
      </c>
      <c r="E547" s="1">
        <v>17</v>
      </c>
      <c r="F547" s="1">
        <v>0</v>
      </c>
      <c r="K547" s="1">
        <v>600</v>
      </c>
      <c r="L547" s="6">
        <v>152283</v>
      </c>
      <c r="M547" s="1">
        <v>64</v>
      </c>
      <c r="N547" s="1">
        <v>8</v>
      </c>
      <c r="O547" s="1">
        <v>14</v>
      </c>
      <c r="P547" s="1">
        <v>9</v>
      </c>
      <c r="Q547" s="11">
        <f>'Table H'!$J$104</f>
        <v>0.86262827640744255</v>
      </c>
      <c r="R547" s="11">
        <f t="shared" si="16"/>
        <v>131363.62181615457</v>
      </c>
      <c r="S547" s="11" t="str">
        <f t="shared" si="17"/>
        <v>Royton UD</v>
      </c>
      <c r="T547" s="11" t="s">
        <v>5214</v>
      </c>
      <c r="V547" s="11" t="str">
        <f>INDEX('Lookup 1961'!$A$2:$A$1300, MATCH(S547, 'Lookup 1961'!$B$2:$B$1300,0))</f>
        <v>J04001076</v>
      </c>
      <c r="W547" s="11" t="str">
        <f>INDEX('Lookup 1961'!$F$2:$F$1300, MATCH(S547, 'Lookup 1961'!$B$2:$B$1300,0))</f>
        <v>e200659</v>
      </c>
      <c r="X547" s="11" t="str">
        <f>INDEX('Lookup 1961'!$C$2:$C$1300, MATCH(V547, 'Lookup 1961'!$A$2:$A$1300,0))</f>
        <v>Greater Manchester</v>
      </c>
    </row>
    <row r="548" spans="1:24" ht="25.05" customHeight="1" x14ac:dyDescent="0.3">
      <c r="A548" s="2" t="s">
        <v>539</v>
      </c>
      <c r="B548" s="2" t="s">
        <v>539</v>
      </c>
      <c r="C548" s="1">
        <v>22</v>
      </c>
      <c r="D548" s="1">
        <v>4</v>
      </c>
      <c r="E548" s="1">
        <v>16</v>
      </c>
      <c r="F548" s="1">
        <v>6</v>
      </c>
      <c r="K548" s="1">
        <v>140</v>
      </c>
      <c r="L548" s="6">
        <v>37785</v>
      </c>
      <c r="M548" s="1">
        <v>52.4</v>
      </c>
      <c r="N548" s="1">
        <v>4</v>
      </c>
      <c r="O548" s="1">
        <v>12</v>
      </c>
      <c r="P548" s="1">
        <v>12.6</v>
      </c>
      <c r="Q548" s="11">
        <f>'Table H'!$J$104</f>
        <v>0.86262827640744255</v>
      </c>
      <c r="R548" s="11">
        <f t="shared" si="16"/>
        <v>32594.409424055219</v>
      </c>
      <c r="S548" s="11" t="str">
        <f t="shared" si="17"/>
        <v>Skelmersdale UD</v>
      </c>
      <c r="T548" s="11" t="s">
        <v>5214</v>
      </c>
      <c r="V548" s="11" t="str">
        <f>INDEX('Lookup 1961'!$A$2:$A$1300, MATCH(S548, 'Lookup 1961'!$B$2:$B$1300,0))</f>
        <v>J04001145</v>
      </c>
      <c r="W548" s="11" t="str">
        <f>INDEX('Lookup 1961'!$F$2:$F$1300, MATCH(S548, 'Lookup 1961'!$B$2:$B$1300,0))</f>
        <v>e200660</v>
      </c>
      <c r="X548" s="11" t="str">
        <f>INDEX('Lookup 1961'!$C$2:$C$1300, MATCH(V548, 'Lookup 1961'!$A$2:$A$1300,0))</f>
        <v>Lancashire</v>
      </c>
    </row>
    <row r="549" spans="1:24" ht="25.05" customHeight="1" x14ac:dyDescent="0.3">
      <c r="A549" s="2" t="s">
        <v>540</v>
      </c>
      <c r="B549" s="2" t="s">
        <v>5268</v>
      </c>
      <c r="C549" s="1">
        <v>23</v>
      </c>
      <c r="D549" s="1">
        <v>6</v>
      </c>
      <c r="E549" s="1">
        <v>16</v>
      </c>
      <c r="F549" s="1">
        <v>9</v>
      </c>
      <c r="K549" s="1">
        <v>305</v>
      </c>
      <c r="L549" s="6">
        <v>78025</v>
      </c>
      <c r="M549" s="1">
        <v>56.5</v>
      </c>
      <c r="N549" s="1">
        <v>7</v>
      </c>
      <c r="O549" s="1">
        <v>4</v>
      </c>
      <c r="P549" s="1">
        <v>11</v>
      </c>
      <c r="Q549" s="11">
        <f>'Table H'!$J$104</f>
        <v>0.86262827640744255</v>
      </c>
      <c r="R549" s="11">
        <f t="shared" si="16"/>
        <v>67306.571266690706</v>
      </c>
      <c r="S549" s="11" t="str">
        <f t="shared" si="17"/>
        <v>Standish with Langtree UD</v>
      </c>
      <c r="T549" s="11" t="s">
        <v>5214</v>
      </c>
      <c r="V549" s="11" t="str">
        <f>INDEX('Lookup 1961'!$A$2:$A$1300, MATCH(S549, 'Lookup 1961'!$B$2:$B$1300,0))</f>
        <v>J04001201</v>
      </c>
      <c r="W549" s="11" t="str">
        <f>INDEX('Lookup 1961'!$F$2:$F$1300, MATCH(S549, 'Lookup 1961'!$B$2:$B$1300,0))</f>
        <v>e200662</v>
      </c>
      <c r="X549" s="11" t="str">
        <f>INDEX('Lookup 1961'!$C$2:$C$1300, MATCH(V549, 'Lookup 1961'!$A$2:$A$1300,0))</f>
        <v>Greater Manchester</v>
      </c>
    </row>
    <row r="550" spans="1:24" ht="25.05" customHeight="1" x14ac:dyDescent="0.3">
      <c r="A550" s="2" t="s">
        <v>541</v>
      </c>
      <c r="B550" s="2" t="s">
        <v>541</v>
      </c>
      <c r="C550" s="1">
        <v>21</v>
      </c>
      <c r="D550" s="1">
        <v>6</v>
      </c>
      <c r="E550" s="1">
        <v>15</v>
      </c>
      <c r="F550" s="1">
        <v>6</v>
      </c>
      <c r="K550" s="6">
        <v>1056</v>
      </c>
      <c r="L550" s="6">
        <v>264726</v>
      </c>
      <c r="M550" s="1">
        <v>77.900000000000006</v>
      </c>
      <c r="N550" s="1">
        <v>12</v>
      </c>
      <c r="O550" s="1">
        <v>11</v>
      </c>
      <c r="P550" s="1">
        <v>22.3</v>
      </c>
      <c r="Q550" s="11">
        <f>'Table H'!$J$104</f>
        <v>0.86262827640744255</v>
      </c>
      <c r="R550" s="11">
        <f t="shared" si="16"/>
        <v>228360.13310023665</v>
      </c>
      <c r="S550" s="11" t="str">
        <f t="shared" si="17"/>
        <v>Thornton Cleveleys UD</v>
      </c>
      <c r="T550" s="11" t="s">
        <v>5214</v>
      </c>
      <c r="V550" s="11" t="str">
        <f>INDEX('Lookup 1961'!$A$2:$A$1300, MATCH(S550, 'Lookup 1961'!$B$2:$B$1300,0))</f>
        <v>J04001274</v>
      </c>
      <c r="W550" s="11" t="str">
        <f>INDEX('Lookup 1961'!$F$2:$F$1300, MATCH(S550, 'Lookup 1961'!$B$2:$B$1300,0))</f>
        <v>e200665</v>
      </c>
      <c r="X550" s="11" t="str">
        <f>INDEX('Lookup 1961'!$C$2:$C$1300, MATCH(V550, 'Lookup 1961'!$A$2:$A$1300,0))</f>
        <v>Lancashire</v>
      </c>
    </row>
    <row r="551" spans="1:24" ht="25.05" customHeight="1" x14ac:dyDescent="0.3">
      <c r="A551" s="2" t="s">
        <v>542</v>
      </c>
      <c r="B551" s="2" t="s">
        <v>542</v>
      </c>
      <c r="C551" s="1">
        <v>21</v>
      </c>
      <c r="D551" s="1">
        <v>6</v>
      </c>
      <c r="E551" s="1">
        <v>15</v>
      </c>
      <c r="F551" s="1">
        <v>9</v>
      </c>
      <c r="K551" s="1">
        <v>204</v>
      </c>
      <c r="L551" s="6">
        <v>51550</v>
      </c>
      <c r="M551" s="1">
        <v>65.900000000000006</v>
      </c>
      <c r="N551" s="1">
        <v>6</v>
      </c>
      <c r="O551" s="1">
        <v>11</v>
      </c>
      <c r="P551" s="1">
        <v>16.100000000000001</v>
      </c>
      <c r="Q551" s="11">
        <f>'Table H'!$J$104</f>
        <v>0.86262827640744255</v>
      </c>
      <c r="R551" s="11">
        <f t="shared" si="16"/>
        <v>44468.487648803661</v>
      </c>
      <c r="S551" s="11" t="str">
        <f t="shared" si="17"/>
        <v>Tottington UD</v>
      </c>
      <c r="T551" s="11" t="s">
        <v>5214</v>
      </c>
      <c r="V551" s="11" t="str">
        <f>INDEX('Lookup 1961'!$A$2:$A$1300, MATCH(S551, 'Lookup 1961'!$B$2:$B$1300,0))</f>
        <v>J04001290</v>
      </c>
      <c r="W551" s="11" t="str">
        <f>INDEX('Lookup 1961'!$F$2:$F$1300, MATCH(S551, 'Lookup 1961'!$B$2:$B$1300,0))</f>
        <v>e200666</v>
      </c>
      <c r="X551" s="11" t="str">
        <f>INDEX('Lookup 1961'!$C$2:$C$1300, MATCH(V551, 'Lookup 1961'!$A$2:$A$1300,0))</f>
        <v>Greater Manchester</v>
      </c>
    </row>
    <row r="552" spans="1:24" ht="25.05" customHeight="1" x14ac:dyDescent="0.3">
      <c r="A552" s="2" t="s">
        <v>543</v>
      </c>
      <c r="B552" s="2" t="s">
        <v>543</v>
      </c>
      <c r="C552" s="1">
        <v>23</v>
      </c>
      <c r="D552" s="1">
        <v>0</v>
      </c>
      <c r="E552" s="1">
        <v>18</v>
      </c>
      <c r="F552" s="1">
        <v>0</v>
      </c>
      <c r="K552" s="1">
        <v>50</v>
      </c>
      <c r="L552" s="6">
        <v>14738</v>
      </c>
      <c r="M552" s="1">
        <v>44.4</v>
      </c>
      <c r="N552" s="1">
        <v>6</v>
      </c>
      <c r="O552" s="1">
        <v>3</v>
      </c>
      <c r="P552" s="1">
        <v>14.4</v>
      </c>
      <c r="Q552" s="11">
        <f>'Table H'!$J$104</f>
        <v>0.86262827640744255</v>
      </c>
      <c r="R552" s="11">
        <f t="shared" si="16"/>
        <v>12713.415537692888</v>
      </c>
      <c r="S552" s="11" t="str">
        <f t="shared" si="17"/>
        <v>Trawden UD</v>
      </c>
      <c r="T552" s="11" t="s">
        <v>5214</v>
      </c>
      <c r="V552" s="11" t="str">
        <f>INDEX('Lookup 1961'!$A$2:$A$1300, MATCH(S552, 'Lookup 1961'!$B$2:$B$1300,0))</f>
        <v>J04001294</v>
      </c>
      <c r="W552" s="11" t="str">
        <f>INDEX('Lookup 1961'!$F$2:$F$1300, MATCH(S552, 'Lookup 1961'!$B$2:$B$1300,0))</f>
        <v>e200667</v>
      </c>
      <c r="X552" s="11" t="str">
        <f>INDEX('Lookup 1961'!$C$2:$C$1300, MATCH(V552, 'Lookup 1961'!$A$2:$A$1300,0))</f>
        <v>Lancashire</v>
      </c>
    </row>
    <row r="553" spans="1:24" ht="25.05" customHeight="1" x14ac:dyDescent="0.3">
      <c r="A553" s="2" t="s">
        <v>544</v>
      </c>
      <c r="B553" s="2" t="s">
        <v>544</v>
      </c>
      <c r="C553" s="1">
        <v>24</v>
      </c>
      <c r="D553" s="1">
        <v>10</v>
      </c>
      <c r="E553" s="1">
        <v>18</v>
      </c>
      <c r="F553" s="1">
        <v>3</v>
      </c>
      <c r="K553" s="1">
        <v>411</v>
      </c>
      <c r="L553" s="6">
        <v>109560</v>
      </c>
      <c r="M553" s="1">
        <v>43.6</v>
      </c>
      <c r="N553" s="1">
        <v>8</v>
      </c>
      <c r="O553" s="1">
        <v>7</v>
      </c>
      <c r="P553" s="1">
        <v>-0.9</v>
      </c>
      <c r="Q553" s="11">
        <f>'Table H'!$J$104</f>
        <v>0.86262827640744255</v>
      </c>
      <c r="R553" s="11">
        <f t="shared" si="16"/>
        <v>94509.553963199403</v>
      </c>
      <c r="S553" s="11" t="str">
        <f t="shared" si="17"/>
        <v>Turton UD</v>
      </c>
      <c r="T553" s="11" t="s">
        <v>5214</v>
      </c>
      <c r="V553" s="11" t="str">
        <f>INDEX('Lookup 1961'!$A$2:$A$1300, MATCH(S553, 'Lookup 1961'!$B$2:$B$1300,0))</f>
        <v>J04001301</v>
      </c>
      <c r="W553" s="11" t="str">
        <f>INDEX('Lookup 1961'!$F$2:$F$1300, MATCH(S553, 'Lookup 1961'!$B$2:$B$1300,0))</f>
        <v>e200668</v>
      </c>
      <c r="X553" s="11" t="str">
        <f>INDEX('Lookup 1961'!$C$2:$C$1300, MATCH(V553, 'Lookup 1961'!$A$2:$A$1300,0))</f>
        <v>Greater Manchester</v>
      </c>
    </row>
    <row r="554" spans="1:24" ht="25.05" customHeight="1" x14ac:dyDescent="0.3">
      <c r="A554" s="2" t="s">
        <v>545</v>
      </c>
      <c r="B554" s="2" t="s">
        <v>545</v>
      </c>
      <c r="C554" s="1">
        <v>24</v>
      </c>
      <c r="D554" s="1">
        <v>0</v>
      </c>
      <c r="E554" s="1">
        <v>18</v>
      </c>
      <c r="F554" s="1">
        <v>0</v>
      </c>
      <c r="K554" s="1">
        <v>525</v>
      </c>
      <c r="L554" s="6">
        <v>137397</v>
      </c>
      <c r="M554" s="1">
        <v>52.8</v>
      </c>
      <c r="N554" s="1">
        <v>6</v>
      </c>
      <c r="O554" s="1">
        <v>13</v>
      </c>
      <c r="P554" s="1">
        <v>9.6</v>
      </c>
      <c r="Q554" s="11">
        <f>'Table H'!$J$104</f>
        <v>0.86262827640744255</v>
      </c>
      <c r="R554" s="11">
        <f t="shared" si="16"/>
        <v>118522.53729355338</v>
      </c>
      <c r="S554" s="11" t="str">
        <f t="shared" si="17"/>
        <v>Tyldesley UD</v>
      </c>
      <c r="T554" s="11" t="s">
        <v>5214</v>
      </c>
      <c r="V554" s="11" t="str">
        <f>INDEX('Lookup 1961'!$A$2:$A$1300, MATCH(S554, 'Lookup 1961'!$B$2:$B$1300,0))</f>
        <v>J04001305</v>
      </c>
      <c r="W554" s="11" t="str">
        <f>INDEX('Lookup 1961'!$F$2:$F$1300, MATCH(S554, 'Lookup 1961'!$B$2:$B$1300,0))</f>
        <v>e200669</v>
      </c>
      <c r="X554" s="11" t="str">
        <f>INDEX('Lookup 1961'!$C$2:$C$1300, MATCH(V554, 'Lookup 1961'!$A$2:$A$1300,0))</f>
        <v>Greater Manchester</v>
      </c>
    </row>
    <row r="555" spans="1:24" ht="25.05" customHeight="1" x14ac:dyDescent="0.3">
      <c r="A555" s="2" t="s">
        <v>546</v>
      </c>
      <c r="B555" s="2" t="s">
        <v>546</v>
      </c>
      <c r="C555" s="1">
        <v>23</v>
      </c>
      <c r="D555" s="1">
        <v>0</v>
      </c>
      <c r="E555" s="1">
        <v>17</v>
      </c>
      <c r="F555" s="1">
        <v>4</v>
      </c>
      <c r="K555" s="1">
        <v>450</v>
      </c>
      <c r="L555" s="6">
        <v>116183</v>
      </c>
      <c r="M555" s="1">
        <v>68.8</v>
      </c>
      <c r="N555" s="1">
        <v>9</v>
      </c>
      <c r="O555" s="1">
        <v>1</v>
      </c>
      <c r="P555" s="1">
        <v>22.1</v>
      </c>
      <c r="Q555" s="11">
        <f>'Table H'!$J$104</f>
        <v>0.86262827640744255</v>
      </c>
      <c r="R555" s="11">
        <f t="shared" si="16"/>
        <v>100222.7410378459</v>
      </c>
      <c r="S555" s="11" t="str">
        <f t="shared" si="17"/>
        <v>Ulverston UD</v>
      </c>
      <c r="T555" s="11" t="s">
        <v>5214</v>
      </c>
      <c r="V555" s="11" t="str">
        <f>INDEX('Lookup 1961'!$A$2:$A$1300, MATCH(S555, 'Lookup 1961'!$B$2:$B$1300,0))</f>
        <v>J04001308</v>
      </c>
      <c r="W555" s="11" t="str">
        <f>INDEX('Lookup 1961'!$F$2:$F$1300, MATCH(S555, 'Lookup 1961'!$B$2:$B$1300,0))</f>
        <v>e200670</v>
      </c>
      <c r="X555" s="11" t="str">
        <f>INDEX('Lookup 1961'!$C$2:$C$1300, MATCH(V555, 'Lookup 1961'!$A$2:$A$1300,0))</f>
        <v>Cumbria</v>
      </c>
    </row>
    <row r="556" spans="1:24" ht="25.05" customHeight="1" x14ac:dyDescent="0.3">
      <c r="A556" s="2" t="s">
        <v>547</v>
      </c>
      <c r="B556" s="2" t="s">
        <v>547</v>
      </c>
      <c r="C556" s="1">
        <v>22</v>
      </c>
      <c r="D556" s="1">
        <v>6</v>
      </c>
      <c r="E556" s="1">
        <v>16</v>
      </c>
      <c r="F556" s="1">
        <v>9</v>
      </c>
      <c r="K556" s="1">
        <v>154</v>
      </c>
      <c r="L556" s="6">
        <v>39285</v>
      </c>
      <c r="M556" s="1">
        <v>55.1</v>
      </c>
      <c r="N556" s="1">
        <v>5</v>
      </c>
      <c r="O556" s="1">
        <v>1</v>
      </c>
      <c r="P556" s="1">
        <v>18.8</v>
      </c>
      <c r="Q556" s="11">
        <f>'Table H'!$J$104</f>
        <v>0.86262827640744255</v>
      </c>
      <c r="R556" s="11">
        <f t="shared" si="16"/>
        <v>33888.351838666378</v>
      </c>
      <c r="S556" s="11" t="str">
        <f t="shared" si="17"/>
        <v>Upholland UD</v>
      </c>
      <c r="T556" s="11" t="s">
        <v>5214</v>
      </c>
      <c r="V556" s="11" t="str">
        <f>INDEX('Lookup 1961'!$A$2:$A$1300, MATCH(S556, 'Lookup 1961'!$B$2:$B$1300,0))</f>
        <v>J04001309</v>
      </c>
      <c r="W556" s="11" t="str">
        <f>INDEX('Lookup 1961'!$F$2:$F$1300, MATCH(S556, 'Lookup 1961'!$B$2:$B$1300,0))</f>
        <v>e200660</v>
      </c>
      <c r="X556" s="11" t="str">
        <f>INDEX('Lookup 1961'!$C$2:$C$1300, MATCH(V556, 'Lookup 1961'!$A$2:$A$1300,0))</f>
        <v>Lancashire</v>
      </c>
    </row>
    <row r="557" spans="1:24" ht="25.05" customHeight="1" x14ac:dyDescent="0.3">
      <c r="A557" s="2" t="s">
        <v>548</v>
      </c>
      <c r="B557" s="2" t="s">
        <v>548</v>
      </c>
      <c r="C557" s="1">
        <v>22</v>
      </c>
      <c r="D557" s="1">
        <v>6</v>
      </c>
      <c r="E557" s="1">
        <v>16</v>
      </c>
      <c r="F557" s="1">
        <v>0</v>
      </c>
      <c r="K557" s="6">
        <v>2340</v>
      </c>
      <c r="L557" s="6">
        <v>630967</v>
      </c>
      <c r="M557" s="1">
        <v>81.599999999999994</v>
      </c>
      <c r="N557" s="1">
        <v>12</v>
      </c>
      <c r="O557" s="1">
        <v>6</v>
      </c>
      <c r="P557" s="1">
        <v>25.4</v>
      </c>
      <c r="Q557" s="11">
        <f>'Table H'!$J$104</f>
        <v>0.86262827640744255</v>
      </c>
      <c r="R557" s="11">
        <f t="shared" si="16"/>
        <v>544289.97567997477</v>
      </c>
      <c r="S557" s="11" t="str">
        <f t="shared" si="17"/>
        <v>Urmston UD</v>
      </c>
      <c r="T557" s="11" t="s">
        <v>5214</v>
      </c>
      <c r="V557" s="11" t="str">
        <f>INDEX('Lookup 1961'!$A$2:$A$1300, MATCH(S557, 'Lookup 1961'!$B$2:$B$1300,0))</f>
        <v>J04001312</v>
      </c>
      <c r="W557" s="11" t="str">
        <f>INDEX('Lookup 1961'!$F$2:$F$1300, MATCH(S557, 'Lookup 1961'!$B$2:$B$1300,0))</f>
        <v>e200671</v>
      </c>
      <c r="X557" s="11" t="str">
        <f>INDEX('Lookup 1961'!$C$2:$C$1300, MATCH(V557, 'Lookup 1961'!$A$2:$A$1300,0))</f>
        <v>Greater Manchester</v>
      </c>
    </row>
    <row r="558" spans="1:24" ht="25.05" customHeight="1" x14ac:dyDescent="0.3">
      <c r="A558" s="2" t="s">
        <v>549</v>
      </c>
      <c r="B558" s="2" t="s">
        <v>5269</v>
      </c>
      <c r="C558" s="1">
        <v>22</v>
      </c>
      <c r="D558" s="1">
        <v>9</v>
      </c>
      <c r="E558" s="1">
        <v>16</v>
      </c>
      <c r="F558" s="1">
        <v>3</v>
      </c>
      <c r="K558" s="1">
        <v>550</v>
      </c>
      <c r="L558" s="6">
        <v>138631</v>
      </c>
      <c r="M558" s="1">
        <v>73.2</v>
      </c>
      <c r="N558" s="1">
        <v>6</v>
      </c>
      <c r="O558" s="1">
        <v>16</v>
      </c>
      <c r="P558" s="1">
        <v>11.1</v>
      </c>
      <c r="Q558" s="11">
        <f>'Table H'!$J$104</f>
        <v>0.86262827640744255</v>
      </c>
      <c r="R558" s="11">
        <f t="shared" si="16"/>
        <v>119587.02058664017</v>
      </c>
      <c r="S558" s="11" t="str">
        <f t="shared" si="17"/>
        <v>Walton le Dale UD</v>
      </c>
      <c r="T558" s="11" t="s">
        <v>5214</v>
      </c>
      <c r="V558" s="11" t="str">
        <f>INDEX('Lookup 1961'!$A$2:$A$1300, MATCH(S558, 'Lookup 1961'!$B$2:$B$1300,0))</f>
        <v>J04001333</v>
      </c>
      <c r="W558" s="11" t="str">
        <f>INDEX('Lookup 1961'!$F$2:$F$1300, MATCH(S558, 'Lookup 1961'!$B$2:$B$1300,0))</f>
        <v>e200672</v>
      </c>
      <c r="X558" s="11" t="str">
        <f>INDEX('Lookup 1961'!$C$2:$C$1300, MATCH(V558, 'Lookup 1961'!$A$2:$A$1300,0))</f>
        <v>Lancashire</v>
      </c>
    </row>
    <row r="559" spans="1:24" ht="25.05" customHeight="1" x14ac:dyDescent="0.3">
      <c r="A559" s="2" t="s">
        <v>550</v>
      </c>
      <c r="B559" s="2" t="s">
        <v>550</v>
      </c>
      <c r="C559" s="1">
        <v>19</v>
      </c>
      <c r="D559" s="1">
        <v>9</v>
      </c>
      <c r="E559" s="1">
        <v>14</v>
      </c>
      <c r="F559" s="1">
        <v>2</v>
      </c>
      <c r="K559" s="1">
        <v>185</v>
      </c>
      <c r="L559" s="6">
        <v>49677</v>
      </c>
      <c r="M559" s="1">
        <v>57</v>
      </c>
      <c r="N559" s="1">
        <v>8</v>
      </c>
      <c r="O559" s="1">
        <v>4</v>
      </c>
      <c r="P559" s="1">
        <v>25</v>
      </c>
      <c r="Q559" s="11">
        <f>'Table H'!$J$104</f>
        <v>0.86262827640744255</v>
      </c>
      <c r="R559" s="11">
        <f t="shared" si="16"/>
        <v>42852.784887092523</v>
      </c>
      <c r="S559" s="11" t="str">
        <f t="shared" si="17"/>
        <v>Wardle UD</v>
      </c>
      <c r="T559" s="11" t="s">
        <v>5214</v>
      </c>
      <c r="V559" s="11" t="str">
        <f>INDEX('Lookup 1961'!$A$2:$A$1300, MATCH(S559, 'Lookup 1961'!$B$2:$B$1300,0))</f>
        <v>J04001338</v>
      </c>
      <c r="W559" s="11" t="str">
        <f>INDEX('Lookup 1961'!$F$2:$F$1300, MATCH(S559, 'Lookup 1961'!$B$2:$B$1300,0))</f>
        <v>e200674</v>
      </c>
      <c r="X559" s="11" t="str">
        <f>INDEX('Lookup 1961'!$C$2:$C$1300, MATCH(V559, 'Lookup 1961'!$A$2:$A$1300,0))</f>
        <v>Greater Manchester</v>
      </c>
    </row>
    <row r="560" spans="1:24" ht="25.05" customHeight="1" x14ac:dyDescent="0.3">
      <c r="A560" s="2" t="s">
        <v>551</v>
      </c>
      <c r="B560" s="2" t="s">
        <v>551</v>
      </c>
      <c r="C560" s="1">
        <v>24</v>
      </c>
      <c r="D560" s="1">
        <v>3</v>
      </c>
      <c r="E560" s="1">
        <v>18</v>
      </c>
      <c r="F560" s="1">
        <v>6</v>
      </c>
      <c r="K560" s="1">
        <v>444</v>
      </c>
      <c r="L560" s="6">
        <v>109835</v>
      </c>
      <c r="M560" s="1">
        <v>48.1</v>
      </c>
      <c r="N560" s="1">
        <v>6</v>
      </c>
      <c r="O560" s="1">
        <v>12</v>
      </c>
      <c r="P560" s="1">
        <v>15.1</v>
      </c>
      <c r="Q560" s="11">
        <f>'Table H'!$J$104</f>
        <v>0.86262827640744255</v>
      </c>
      <c r="R560" s="11">
        <f t="shared" si="16"/>
        <v>94746.776739211447</v>
      </c>
      <c r="S560" s="11" t="str">
        <f t="shared" si="17"/>
        <v>Westhoughton UD</v>
      </c>
      <c r="T560" s="11" t="s">
        <v>5214</v>
      </c>
      <c r="V560" s="11" t="str">
        <f>INDEX('Lookup 1961'!$A$2:$A$1300, MATCH(S560, 'Lookup 1961'!$B$2:$B$1300,0))</f>
        <v>J04001390</v>
      </c>
      <c r="W560" s="11" t="str">
        <f>INDEX('Lookup 1961'!$F$2:$F$1300, MATCH(S560, 'Lookup 1961'!$B$2:$B$1300,0))</f>
        <v>e200675</v>
      </c>
      <c r="X560" s="11" t="str">
        <f>INDEX('Lookup 1961'!$C$2:$C$1300, MATCH(V560, 'Lookup 1961'!$A$2:$A$1300,0))</f>
        <v>Greater Manchester</v>
      </c>
    </row>
    <row r="561" spans="1:24" ht="25.05" customHeight="1" x14ac:dyDescent="0.3">
      <c r="A561" s="2" t="s">
        <v>552</v>
      </c>
      <c r="B561" s="2" t="s">
        <v>552</v>
      </c>
      <c r="C561" s="1">
        <v>23</v>
      </c>
      <c r="D561" s="1">
        <v>3</v>
      </c>
      <c r="E561" s="1">
        <v>16</v>
      </c>
      <c r="F561" s="1">
        <v>9</v>
      </c>
      <c r="K561" s="1">
        <v>564</v>
      </c>
      <c r="L561" s="6">
        <v>138872</v>
      </c>
      <c r="M561" s="1">
        <v>63.7</v>
      </c>
      <c r="N561" s="1">
        <v>8</v>
      </c>
      <c r="O561" s="1">
        <v>18</v>
      </c>
      <c r="P561" s="1">
        <v>18.7</v>
      </c>
      <c r="Q561" s="11">
        <f>'Table H'!$J$104</f>
        <v>0.86262827640744255</v>
      </c>
      <c r="R561" s="11">
        <f t="shared" si="16"/>
        <v>119794.91400125436</v>
      </c>
      <c r="S561" s="11" t="str">
        <f t="shared" si="17"/>
        <v>Whitefield UD</v>
      </c>
      <c r="T561" s="11" t="s">
        <v>5214</v>
      </c>
      <c r="V561" s="11" t="str">
        <f>INDEX('Lookup 1961'!$A$2:$A$1300, MATCH(S561, 'Lookup 1961'!$B$2:$B$1300,0))</f>
        <v>J04001402</v>
      </c>
      <c r="W561" s="11" t="str">
        <f>INDEX('Lookup 1961'!$F$2:$F$1300, MATCH(S561, 'Lookup 1961'!$B$2:$B$1300,0))</f>
        <v>e200676</v>
      </c>
      <c r="X561" s="11" t="str">
        <f>INDEX('Lookup 1961'!$C$2:$C$1300, MATCH(V561, 'Lookup 1961'!$A$2:$A$1300,0))</f>
        <v>Greater Manchester</v>
      </c>
    </row>
    <row r="562" spans="1:24" ht="25.05" customHeight="1" x14ac:dyDescent="0.3">
      <c r="A562" s="2" t="s">
        <v>553</v>
      </c>
      <c r="B562" s="2" t="s">
        <v>553</v>
      </c>
      <c r="C562" s="1">
        <v>22</v>
      </c>
      <c r="D562" s="1">
        <v>9</v>
      </c>
      <c r="E562" s="1">
        <v>18</v>
      </c>
      <c r="F562" s="1">
        <v>3</v>
      </c>
      <c r="K562" s="1">
        <v>210</v>
      </c>
      <c r="L562" s="6">
        <v>55500</v>
      </c>
      <c r="M562" s="1">
        <v>48.2</v>
      </c>
      <c r="N562" s="1">
        <v>6</v>
      </c>
      <c r="O562" s="1">
        <v>8</v>
      </c>
      <c r="P562" s="1">
        <v>13</v>
      </c>
      <c r="Q562" s="11">
        <f>'Table H'!$J$104</f>
        <v>0.86262827640744255</v>
      </c>
      <c r="R562" s="11">
        <f t="shared" si="16"/>
        <v>47875.869340613062</v>
      </c>
      <c r="S562" s="11" t="str">
        <f t="shared" si="17"/>
        <v>Whitworth UD</v>
      </c>
      <c r="T562" s="11" t="s">
        <v>5214</v>
      </c>
      <c r="V562" s="11" t="str">
        <f>INDEX('Lookup 1961'!$A$2:$A$1300, MATCH(S562, 'Lookup 1961'!$B$2:$B$1300,0))</f>
        <v>J04001407</v>
      </c>
      <c r="W562" s="11" t="str">
        <f>INDEX('Lookup 1961'!$F$2:$F$1300, MATCH(S562, 'Lookup 1961'!$B$2:$B$1300,0))</f>
        <v>e200677</v>
      </c>
      <c r="X562" s="11" t="str">
        <f>INDEX('Lookup 1961'!$C$2:$C$1300, MATCH(V562, 'Lookup 1961'!$A$2:$A$1300,0))</f>
        <v>Lancashire</v>
      </c>
    </row>
    <row r="563" spans="1:24" ht="25.05" customHeight="1" x14ac:dyDescent="0.3">
      <c r="A563" s="2" t="s">
        <v>554</v>
      </c>
      <c r="B563" s="2" t="s">
        <v>554</v>
      </c>
      <c r="C563" s="1">
        <v>21</v>
      </c>
      <c r="D563" s="1">
        <v>0</v>
      </c>
      <c r="E563" s="1">
        <v>15</v>
      </c>
      <c r="F563" s="1">
        <v>3</v>
      </c>
      <c r="K563" s="1">
        <v>72</v>
      </c>
      <c r="L563" s="6">
        <v>21911</v>
      </c>
      <c r="M563" s="1">
        <v>59.8</v>
      </c>
      <c r="N563" s="1">
        <v>5</v>
      </c>
      <c r="O563" s="1">
        <v>5</v>
      </c>
      <c r="P563" s="1">
        <v>7.1</v>
      </c>
      <c r="Q563" s="11">
        <f>'Table H'!$J$104</f>
        <v>0.86262827640744255</v>
      </c>
      <c r="R563" s="11">
        <f t="shared" si="16"/>
        <v>18901.048164363474</v>
      </c>
      <c r="S563" s="11" t="str">
        <f t="shared" si="17"/>
        <v>Withnell UD</v>
      </c>
      <c r="T563" s="11" t="s">
        <v>5214</v>
      </c>
      <c r="V563" s="11" t="str">
        <f>INDEX('Lookup 1961'!$A$2:$A$1300, MATCH(S563, 'Lookup 1961'!$B$2:$B$1300,0))</f>
        <v>J04001435</v>
      </c>
      <c r="W563" s="11" t="str">
        <f>INDEX('Lookup 1961'!$F$2:$F$1300, MATCH(S563, 'Lookup 1961'!$B$2:$B$1300,0))</f>
        <v>e200679</v>
      </c>
      <c r="X563" s="11" t="str">
        <f>INDEX('Lookup 1961'!$C$2:$C$1300, MATCH(V563, 'Lookup 1961'!$A$2:$A$1300,0))</f>
        <v>Lancashire</v>
      </c>
    </row>
    <row r="564" spans="1:24" ht="25.05" customHeight="1" x14ac:dyDescent="0.3">
      <c r="A564" s="2" t="s">
        <v>555</v>
      </c>
      <c r="B564" s="2" t="s">
        <v>555</v>
      </c>
      <c r="C564" s="1">
        <v>23</v>
      </c>
      <c r="D564" s="1">
        <v>9</v>
      </c>
      <c r="E564" s="1">
        <v>18</v>
      </c>
      <c r="F564" s="1">
        <v>0</v>
      </c>
      <c r="K564" s="6">
        <v>1150</v>
      </c>
      <c r="L564" s="6">
        <v>311087</v>
      </c>
      <c r="M564" s="1">
        <v>73.5</v>
      </c>
      <c r="N564" s="1">
        <v>8</v>
      </c>
      <c r="O564" s="1">
        <v>0</v>
      </c>
      <c r="P564" s="1">
        <v>24</v>
      </c>
      <c r="Q564" s="11">
        <f>'Table H'!$J$104</f>
        <v>0.86262827640744255</v>
      </c>
      <c r="R564" s="11">
        <f t="shared" si="16"/>
        <v>268352.44262276206</v>
      </c>
      <c r="S564" s="11" t="str">
        <f t="shared" si="17"/>
        <v>Worsley UD</v>
      </c>
      <c r="T564" s="11" t="s">
        <v>5214</v>
      </c>
      <c r="V564" s="11" t="str">
        <f>INDEX('Lookup 1961'!$A$2:$A$1300, MATCH(S564, 'Lookup 1961'!$B$2:$B$1300,0))</f>
        <v>J04001455</v>
      </c>
      <c r="W564" s="11" t="str">
        <f>INDEX('Lookup 1961'!$F$2:$F$1300, MATCH(S564, 'Lookup 1961'!$B$2:$B$1300,0))</f>
        <v>e200680</v>
      </c>
      <c r="X564" s="11" t="str">
        <f>INDEX('Lookup 1961'!$C$2:$C$1300, MATCH(V564, 'Lookup 1961'!$A$2:$A$1300,0))</f>
        <v>Greater Manchester</v>
      </c>
    </row>
    <row r="565" spans="1:24" ht="25.05" customHeight="1" x14ac:dyDescent="0.3">
      <c r="A565" s="2" t="s">
        <v>556</v>
      </c>
      <c r="B565" s="2" t="s">
        <v>556</v>
      </c>
      <c r="S565" s="11" t="str">
        <f t="shared" si="17"/>
        <v xml:space="preserve">LEICESTER: </v>
      </c>
      <c r="V565" s="11" t="e">
        <f>INDEX('Lookup 1961'!$A$2:$A$1300, MATCH(S565, 'Lookup 1961'!$B$2:$B$1300,0))</f>
        <v>#N/A</v>
      </c>
      <c r="W565" s="11" t="e">
        <f>INDEX('Lookup 1961'!$F$2:$F$1300, MATCH(S565, 'Lookup 1961'!$B$2:$B$1300,0))</f>
        <v>#N/A</v>
      </c>
      <c r="X565" s="11" t="e">
        <f>INDEX('Lookup 1961'!$C$2:$C$1300, MATCH(V565, 'Lookup 1961'!$A$2:$A$1300,0))</f>
        <v>#N/A</v>
      </c>
    </row>
    <row r="566" spans="1:24" ht="25.05" customHeight="1" x14ac:dyDescent="0.3">
      <c r="A566" s="2" t="s">
        <v>146</v>
      </c>
      <c r="B566" s="2" t="s">
        <v>5257</v>
      </c>
      <c r="S566" s="11" t="str">
        <f t="shared" si="17"/>
        <v xml:space="preserve">Non County Boroughs  </v>
      </c>
      <c r="V566" s="11" t="e">
        <f>INDEX('Lookup 1961'!$A$2:$A$1300, MATCH(S566, 'Lookup 1961'!$B$2:$B$1300,0))</f>
        <v>#N/A</v>
      </c>
      <c r="W566" s="11" t="e">
        <f>INDEX('Lookup 1961'!$F$2:$F$1300, MATCH(S566, 'Lookup 1961'!$B$2:$B$1300,0))</f>
        <v>#N/A</v>
      </c>
      <c r="X566" s="11" t="e">
        <f>INDEX('Lookup 1961'!$C$2:$C$1300, MATCH(V566, 'Lookup 1961'!$A$2:$A$1300,0))</f>
        <v>#N/A</v>
      </c>
    </row>
    <row r="567" spans="1:24" ht="25.05" customHeight="1" x14ac:dyDescent="0.3">
      <c r="A567" s="2" t="s">
        <v>557</v>
      </c>
      <c r="B567" s="2" t="s">
        <v>557</v>
      </c>
      <c r="C567" s="1">
        <v>24</v>
      </c>
      <c r="D567" s="1">
        <v>0</v>
      </c>
      <c r="E567" s="1">
        <v>15</v>
      </c>
      <c r="F567" s="1">
        <v>10</v>
      </c>
      <c r="K567" s="6">
        <v>2035</v>
      </c>
      <c r="L567" s="6">
        <v>498295</v>
      </c>
      <c r="M567" s="1">
        <v>107.5</v>
      </c>
      <c r="N567" s="1">
        <v>10</v>
      </c>
      <c r="O567" s="1">
        <v>18</v>
      </c>
      <c r="P567" s="1">
        <v>37.200000000000003</v>
      </c>
      <c r="Q567" s="11">
        <f>'Table H'!$J$108</f>
        <v>0.91533730019366033</v>
      </c>
      <c r="R567" s="11">
        <f t="shared" si="16"/>
        <v>456108</v>
      </c>
      <c r="S567" s="11" t="str">
        <f t="shared" si="17"/>
        <v>Loughborough MB</v>
      </c>
      <c r="T567" s="11" t="s">
        <v>5211</v>
      </c>
      <c r="V567" s="11" t="str">
        <f>INDEX('Lookup 1961'!$A$2:$A$1300, MATCH(S567, 'Lookup 1961'!$B$2:$B$1300,0))</f>
        <v>J04000783</v>
      </c>
      <c r="W567" s="11" t="str">
        <f>INDEX('Lookup 1961'!$F$2:$F$1300, MATCH(S567, 'Lookup 1961'!$B$2:$B$1300,0))</f>
        <v>e210707</v>
      </c>
      <c r="X567" s="11" t="str">
        <f>INDEX('Lookup 1961'!$C$2:$C$1300, MATCH(V567, 'Lookup 1961'!$A$2:$A$1300,0))</f>
        <v>Leicestershire</v>
      </c>
    </row>
    <row r="568" spans="1:24" ht="25.05" customHeight="1" x14ac:dyDescent="0.3">
      <c r="A568" s="2" t="s">
        <v>150</v>
      </c>
      <c r="B568" s="2" t="s">
        <v>1221</v>
      </c>
      <c r="S568" s="11" t="str">
        <f t="shared" si="17"/>
        <v xml:space="preserve">Urban Districts  </v>
      </c>
      <c r="V568" s="11" t="e">
        <f>INDEX('Lookup 1961'!$A$2:$A$1300, MATCH(S568, 'Lookup 1961'!$B$2:$B$1300,0))</f>
        <v>#N/A</v>
      </c>
      <c r="W568" s="11" t="e">
        <f>INDEX('Lookup 1961'!$F$2:$F$1300, MATCH(S568, 'Lookup 1961'!$B$2:$B$1300,0))</f>
        <v>#N/A</v>
      </c>
      <c r="X568" s="11" t="e">
        <f>INDEX('Lookup 1961'!$C$2:$C$1300, MATCH(V568, 'Lookup 1961'!$A$2:$A$1300,0))</f>
        <v>#N/A</v>
      </c>
    </row>
    <row r="569" spans="1:24" ht="25.05" customHeight="1" x14ac:dyDescent="0.3">
      <c r="A569" s="2" t="s">
        <v>558</v>
      </c>
      <c r="B569" s="2" t="s">
        <v>5270</v>
      </c>
      <c r="C569" s="1">
        <v>22</v>
      </c>
      <c r="D569" s="1">
        <v>8</v>
      </c>
      <c r="E569" s="1">
        <v>16</v>
      </c>
      <c r="F569" s="1">
        <v>8</v>
      </c>
      <c r="K569" s="1">
        <v>310</v>
      </c>
      <c r="L569" s="6">
        <v>79953</v>
      </c>
      <c r="M569" s="1">
        <v>93.4</v>
      </c>
      <c r="N569" s="1">
        <v>9</v>
      </c>
      <c r="O569" s="1">
        <v>13</v>
      </c>
      <c r="P569" s="1">
        <v>42.5</v>
      </c>
      <c r="Q569" s="11">
        <f>'Table H'!$J$109</f>
        <v>0.91590865597066085</v>
      </c>
      <c r="R569" s="11">
        <f t="shared" si="16"/>
        <v>73229.64477082224</v>
      </c>
      <c r="S569" s="11" t="str">
        <f t="shared" si="17"/>
        <v>Ashby de la Zouch UD</v>
      </c>
      <c r="T569" s="11" t="s">
        <v>5214</v>
      </c>
      <c r="V569" s="11" t="str">
        <f>INDEX('Lookup 1961'!$A$2:$A$1300, MATCH(S569, 'Lookup 1961'!$B$2:$B$1300,0))</f>
        <v>J04000052</v>
      </c>
      <c r="W569" s="11" t="str">
        <f>INDEX('Lookup 1961'!$F$2:$F$1300, MATCH(S569, 'Lookup 1961'!$B$2:$B$1300,0))</f>
        <v>e210703</v>
      </c>
      <c r="X569" s="11" t="str">
        <f>INDEX('Lookup 1961'!$C$2:$C$1300, MATCH(V569, 'Lookup 1961'!$A$2:$A$1300,0))</f>
        <v>Leicestershire</v>
      </c>
    </row>
    <row r="570" spans="1:24" ht="25.05" customHeight="1" x14ac:dyDescent="0.3">
      <c r="A570" s="2" t="s">
        <v>559</v>
      </c>
      <c r="B570" s="2" t="s">
        <v>559</v>
      </c>
      <c r="C570" s="1">
        <v>26</v>
      </c>
      <c r="D570" s="1">
        <v>6</v>
      </c>
      <c r="E570" s="1">
        <v>19</v>
      </c>
      <c r="F570" s="1">
        <v>1</v>
      </c>
      <c r="K570" s="1">
        <v>125</v>
      </c>
      <c r="L570" s="6">
        <v>33780</v>
      </c>
      <c r="M570" s="1">
        <v>86.2</v>
      </c>
      <c r="N570" s="1">
        <v>9</v>
      </c>
      <c r="O570" s="1">
        <v>4</v>
      </c>
      <c r="P570" s="1">
        <v>43.3</v>
      </c>
      <c r="Q570" s="11">
        <f>'Table H'!$J$109</f>
        <v>0.91590865597066085</v>
      </c>
      <c r="R570" s="11">
        <f t="shared" si="16"/>
        <v>30939.394398688924</v>
      </c>
      <c r="S570" s="11" t="str">
        <f t="shared" si="17"/>
        <v>Ashby Woulds UD</v>
      </c>
      <c r="T570" s="11" t="s">
        <v>5214</v>
      </c>
      <c r="V570" s="11" t="str">
        <f>INDEX('Lookup 1961'!$A$2:$A$1300, MATCH(S570, 'Lookup 1961'!$B$2:$B$1300,0))</f>
        <v>J04000053</v>
      </c>
      <c r="W570" s="11" t="str">
        <f>INDEX('Lookup 1961'!$F$2:$F$1300, MATCH(S570, 'Lookup 1961'!$B$2:$B$1300,0))</f>
        <v>e210704</v>
      </c>
      <c r="X570" s="11" t="str">
        <f>INDEX('Lookup 1961'!$C$2:$C$1300, MATCH(V570, 'Lookup 1961'!$A$2:$A$1300,0))</f>
        <v>Leicestershire</v>
      </c>
    </row>
    <row r="571" spans="1:24" ht="25.05" customHeight="1" x14ac:dyDescent="0.3">
      <c r="A571" s="2" t="s">
        <v>560</v>
      </c>
      <c r="B571" s="2" t="s">
        <v>560</v>
      </c>
      <c r="C571" s="1">
        <v>22</v>
      </c>
      <c r="D571" s="1">
        <v>6</v>
      </c>
      <c r="E571" s="1">
        <v>16</v>
      </c>
      <c r="F571" s="1">
        <v>0</v>
      </c>
      <c r="K571" s="1">
        <v>987</v>
      </c>
      <c r="L571" s="6">
        <v>244928</v>
      </c>
      <c r="M571" s="1">
        <v>94.4</v>
      </c>
      <c r="N571" s="1">
        <v>7</v>
      </c>
      <c r="O571" s="1">
        <v>8</v>
      </c>
      <c r="P571" s="1">
        <v>42.6</v>
      </c>
      <c r="Q571" s="11">
        <f>'Table H'!$J$109</f>
        <v>0.91590865597066085</v>
      </c>
      <c r="R571" s="11">
        <f t="shared" si="16"/>
        <v>224331.67528958202</v>
      </c>
      <c r="S571" s="11" t="str">
        <f t="shared" si="17"/>
        <v>Coalville UD</v>
      </c>
      <c r="T571" s="11" t="s">
        <v>5214</v>
      </c>
      <c r="V571" s="11" t="str">
        <f>INDEX('Lookup 1961'!$A$2:$A$1300, MATCH(S571, 'Lookup 1961'!$B$2:$B$1300,0))</f>
        <v>J04000333</v>
      </c>
      <c r="W571" s="11" t="str">
        <f>INDEX('Lookup 1961'!$F$2:$F$1300, MATCH(S571, 'Lookup 1961'!$B$2:$B$1300,0))</f>
        <v>e210705</v>
      </c>
      <c r="X571" s="11" t="str">
        <f>INDEX('Lookup 1961'!$C$2:$C$1300, MATCH(V571, 'Lookup 1961'!$A$2:$A$1300,0))</f>
        <v>Leicestershire</v>
      </c>
    </row>
    <row r="572" spans="1:24" ht="25.05" customHeight="1" x14ac:dyDescent="0.3">
      <c r="A572" s="2" t="s">
        <v>561</v>
      </c>
      <c r="B572" s="2" t="s">
        <v>561</v>
      </c>
      <c r="C572" s="1">
        <v>22</v>
      </c>
      <c r="D572" s="1">
        <v>0</v>
      </c>
      <c r="E572" s="1">
        <v>16</v>
      </c>
      <c r="F572" s="1">
        <v>2</v>
      </c>
      <c r="K572" s="6">
        <v>1641</v>
      </c>
      <c r="L572" s="6">
        <v>413128</v>
      </c>
      <c r="M572" s="1">
        <v>89.1</v>
      </c>
      <c r="N572" s="1">
        <v>8</v>
      </c>
      <c r="O572" s="1">
        <v>6</v>
      </c>
      <c r="P572" s="1">
        <v>38.4</v>
      </c>
      <c r="Q572" s="11">
        <f>'Table H'!$J$109</f>
        <v>0.91590865597066085</v>
      </c>
      <c r="R572" s="11">
        <f t="shared" si="16"/>
        <v>378387.51122384716</v>
      </c>
      <c r="S572" s="11" t="str">
        <f t="shared" si="17"/>
        <v>Hinckley UD</v>
      </c>
      <c r="T572" s="11" t="s">
        <v>5214</v>
      </c>
      <c r="V572" s="11" t="str">
        <f>INDEX('Lookup 1961'!$A$2:$A$1300, MATCH(S572, 'Lookup 1961'!$B$2:$B$1300,0))</f>
        <v>J04000624</v>
      </c>
      <c r="W572" s="11" t="str">
        <f>INDEX('Lookup 1961'!$F$2:$F$1300, MATCH(S572, 'Lookup 1961'!$B$2:$B$1300,0))</f>
        <v>e210706</v>
      </c>
      <c r="X572" s="11" t="str">
        <f>INDEX('Lookup 1961'!$C$2:$C$1300, MATCH(V572, 'Lookup 1961'!$A$2:$A$1300,0))</f>
        <v>Leicestershire</v>
      </c>
    </row>
    <row r="573" spans="1:24" ht="25.05" customHeight="1" x14ac:dyDescent="0.3">
      <c r="A573" s="2" t="s">
        <v>562</v>
      </c>
      <c r="B573" s="2" t="s">
        <v>562</v>
      </c>
      <c r="C573" s="1">
        <v>23</v>
      </c>
      <c r="D573" s="1">
        <v>4</v>
      </c>
      <c r="E573" s="1">
        <v>16</v>
      </c>
      <c r="F573" s="1">
        <v>6</v>
      </c>
      <c r="K573" s="1">
        <v>526</v>
      </c>
      <c r="L573" s="6">
        <v>132470</v>
      </c>
      <c r="M573" s="1">
        <v>84.3</v>
      </c>
      <c r="N573" s="1">
        <v>10</v>
      </c>
      <c r="O573" s="1">
        <v>10</v>
      </c>
      <c r="P573" s="1">
        <v>33</v>
      </c>
      <c r="Q573" s="11">
        <f>'Table H'!$J$109</f>
        <v>0.91590865597066085</v>
      </c>
      <c r="R573" s="11">
        <f t="shared" si="16"/>
        <v>121330.41965643344</v>
      </c>
      <c r="S573" s="11" t="str">
        <f t="shared" si="17"/>
        <v>Market Harborough UD</v>
      </c>
      <c r="T573" s="11" t="s">
        <v>5214</v>
      </c>
      <c r="V573" s="11" t="str">
        <f>INDEX('Lookup 1961'!$A$2:$A$1300, MATCH(S573, 'Lookup 1961'!$B$2:$B$1300,0))</f>
        <v>J04000830</v>
      </c>
      <c r="W573" s="11" t="str">
        <f>INDEX('Lookup 1961'!$F$2:$F$1300, MATCH(S573, 'Lookup 1961'!$B$2:$B$1300,0))</f>
        <v>e210708</v>
      </c>
      <c r="X573" s="11" t="str">
        <f>INDEX('Lookup 1961'!$C$2:$C$1300, MATCH(V573, 'Lookup 1961'!$A$2:$A$1300,0))</f>
        <v>Leicestershire</v>
      </c>
    </row>
    <row r="574" spans="1:24" ht="25.05" customHeight="1" x14ac:dyDescent="0.3">
      <c r="A574" s="2" t="s">
        <v>563</v>
      </c>
      <c r="B574" s="2" t="s">
        <v>563</v>
      </c>
      <c r="C574" s="1">
        <v>19</v>
      </c>
      <c r="D574" s="1">
        <v>0</v>
      </c>
      <c r="E574" s="1">
        <v>14</v>
      </c>
      <c r="F574" s="1">
        <v>6</v>
      </c>
      <c r="K574" s="1">
        <v>711</v>
      </c>
      <c r="L574" s="6">
        <v>180425</v>
      </c>
      <c r="M574" s="1">
        <v>100</v>
      </c>
      <c r="N574" s="1">
        <v>8</v>
      </c>
      <c r="O574" s="1">
        <v>10</v>
      </c>
      <c r="P574" s="1">
        <v>53.8</v>
      </c>
      <c r="Q574" s="11">
        <f>'Table H'!$J$109</f>
        <v>0.91590865597066085</v>
      </c>
      <c r="R574" s="11">
        <f t="shared" si="16"/>
        <v>165252.81925350649</v>
      </c>
      <c r="S574" s="11" t="str">
        <f t="shared" si="17"/>
        <v>Melton Mowbray UD</v>
      </c>
      <c r="T574" s="11" t="s">
        <v>5214</v>
      </c>
      <c r="V574" s="11" t="str">
        <f>INDEX('Lookup 1961'!$A$2:$A$1300, MATCH(S574, 'Lookup 1961'!$B$2:$B$1300,0))</f>
        <v>J04000845</v>
      </c>
      <c r="W574" s="11" t="str">
        <f>INDEX('Lookup 1961'!$F$2:$F$1300, MATCH(S574, 'Lookup 1961'!$B$2:$B$1300,0))</f>
        <v>e210709</v>
      </c>
      <c r="X574" s="11" t="str">
        <f>INDEX('Lookup 1961'!$C$2:$C$1300, MATCH(V574, 'Lookup 1961'!$A$2:$A$1300,0))</f>
        <v>Leicestershire</v>
      </c>
    </row>
    <row r="575" spans="1:24" ht="25.05" customHeight="1" x14ac:dyDescent="0.3">
      <c r="A575" s="2" t="s">
        <v>564</v>
      </c>
      <c r="B575" s="2" t="s">
        <v>564</v>
      </c>
      <c r="C575" s="1">
        <v>19</v>
      </c>
      <c r="D575" s="1">
        <v>8</v>
      </c>
      <c r="E575" s="1">
        <v>16</v>
      </c>
      <c r="F575" s="1">
        <v>4</v>
      </c>
      <c r="K575" s="1">
        <v>448</v>
      </c>
      <c r="L575" s="6">
        <v>115254</v>
      </c>
      <c r="M575" s="1">
        <v>103.4</v>
      </c>
      <c r="N575" s="1">
        <v>12</v>
      </c>
      <c r="O575" s="1">
        <v>5</v>
      </c>
      <c r="P575" s="1">
        <v>49.2</v>
      </c>
      <c r="Q575" s="11">
        <f>'Table H'!$J$109</f>
        <v>0.91590865597066085</v>
      </c>
      <c r="R575" s="11">
        <f t="shared" si="16"/>
        <v>105562.13623524255</v>
      </c>
      <c r="S575" s="11" t="str">
        <f t="shared" si="17"/>
        <v>Oadby UD</v>
      </c>
      <c r="T575" s="11" t="s">
        <v>5214</v>
      </c>
      <c r="V575" s="11" t="str">
        <f>INDEX('Lookup 1961'!$A$2:$A$1300, MATCH(S575, 'Lookup 1961'!$B$2:$B$1300,0))</f>
        <v>J04000944</v>
      </c>
      <c r="W575" s="11" t="str">
        <f>INDEX('Lookup 1961'!$F$2:$F$1300, MATCH(S575, 'Lookup 1961'!$B$2:$B$1300,0))</f>
        <v>e210710</v>
      </c>
      <c r="X575" s="11" t="str">
        <f>INDEX('Lookup 1961'!$C$2:$C$1300, MATCH(V575, 'Lookup 1961'!$A$2:$A$1300,0))</f>
        <v>Leicestershire</v>
      </c>
    </row>
    <row r="576" spans="1:24" ht="25.05" customHeight="1" x14ac:dyDescent="0.3">
      <c r="A576" s="2" t="s">
        <v>565</v>
      </c>
      <c r="B576" s="2" t="s">
        <v>565</v>
      </c>
      <c r="C576" s="1">
        <v>22</v>
      </c>
      <c r="D576" s="1">
        <v>0</v>
      </c>
      <c r="E576" s="1">
        <v>15</v>
      </c>
      <c r="F576" s="1">
        <v>10</v>
      </c>
      <c r="K576" s="1">
        <v>220</v>
      </c>
      <c r="L576" s="6">
        <v>55575</v>
      </c>
      <c r="M576" s="1">
        <v>80.099999999999994</v>
      </c>
      <c r="N576" s="1">
        <v>6</v>
      </c>
      <c r="O576" s="1">
        <v>11</v>
      </c>
      <c r="P576" s="1">
        <v>27.4</v>
      </c>
      <c r="Q576" s="11">
        <f>'Table H'!$J$109</f>
        <v>0.91590865597066085</v>
      </c>
      <c r="R576" s="11">
        <f t="shared" si="16"/>
        <v>50901.623555569473</v>
      </c>
      <c r="S576" s="11" t="str">
        <f t="shared" si="17"/>
        <v>Shepshed UD</v>
      </c>
      <c r="T576" s="11" t="s">
        <v>5214</v>
      </c>
      <c r="V576" s="11" t="str">
        <f>INDEX('Lookup 1961'!$A$2:$A$1300, MATCH(S576, 'Lookup 1961'!$B$2:$B$1300,0))</f>
        <v>J04001128</v>
      </c>
      <c r="W576" s="11" t="str">
        <f>INDEX('Lookup 1961'!$F$2:$F$1300, MATCH(S576, 'Lookup 1961'!$B$2:$B$1300,0))</f>
        <v>e210711</v>
      </c>
      <c r="X576" s="11" t="str">
        <f>INDEX('Lookup 1961'!$C$2:$C$1300, MATCH(V576, 'Lookup 1961'!$A$2:$A$1300,0))</f>
        <v>Leicestershire</v>
      </c>
    </row>
    <row r="577" spans="1:24" ht="25.05" customHeight="1" x14ac:dyDescent="0.3">
      <c r="A577" s="2" t="s">
        <v>566</v>
      </c>
      <c r="B577" s="2" t="s">
        <v>566</v>
      </c>
      <c r="C577" s="1">
        <v>22</v>
      </c>
      <c r="D577" s="1">
        <v>0</v>
      </c>
      <c r="E577" s="1">
        <v>16</v>
      </c>
      <c r="F577" s="1">
        <v>0</v>
      </c>
      <c r="K577" s="1">
        <v>720</v>
      </c>
      <c r="L577" s="6">
        <v>181472</v>
      </c>
      <c r="M577" s="1">
        <v>107.2</v>
      </c>
      <c r="N577" s="1">
        <v>8</v>
      </c>
      <c r="O577" s="1">
        <v>12</v>
      </c>
      <c r="P577" s="1">
        <v>50.7</v>
      </c>
      <c r="Q577" s="11">
        <f>'Table H'!$J$109</f>
        <v>0.91590865597066085</v>
      </c>
      <c r="R577" s="11">
        <f t="shared" si="16"/>
        <v>166211.77561630777</v>
      </c>
      <c r="S577" s="11" t="str">
        <f t="shared" si="17"/>
        <v>Wigston UD</v>
      </c>
      <c r="T577" s="11" t="s">
        <v>5214</v>
      </c>
      <c r="V577" s="11" t="str">
        <f>INDEX('Lookup 1961'!$A$2:$A$1300, MATCH(S577, 'Lookup 1961'!$B$2:$B$1300,0))</f>
        <v>J04001411</v>
      </c>
      <c r="W577" s="11" t="str">
        <f>INDEX('Lookup 1961'!$F$2:$F$1300, MATCH(S577, 'Lookup 1961'!$B$2:$B$1300,0))</f>
        <v>e210712</v>
      </c>
      <c r="X577" s="11" t="str">
        <f>INDEX('Lookup 1961'!$C$2:$C$1300, MATCH(V577, 'Lookup 1961'!$A$2:$A$1300,0))</f>
        <v>Leicestershire</v>
      </c>
    </row>
    <row r="578" spans="1:24" ht="25.05" customHeight="1" x14ac:dyDescent="0.3">
      <c r="A578" s="5" t="s">
        <v>567</v>
      </c>
      <c r="B578" s="5" t="s">
        <v>567</v>
      </c>
      <c r="S578" s="11" t="str">
        <f t="shared" si="17"/>
        <v xml:space="preserve">LINCOLN, PARTS OF HOLLAND: </v>
      </c>
      <c r="V578" s="11" t="e">
        <f>INDEX('Lookup 1961'!$A$2:$A$1300, MATCH(S578, 'Lookup 1961'!$B$2:$B$1300,0))</f>
        <v>#N/A</v>
      </c>
      <c r="W578" s="11" t="e">
        <f>INDEX('Lookup 1961'!$F$2:$F$1300, MATCH(S578, 'Lookup 1961'!$B$2:$B$1300,0))</f>
        <v>#N/A</v>
      </c>
      <c r="X578" s="11" t="e">
        <f>INDEX('Lookup 1961'!$C$2:$C$1300, MATCH(V578, 'Lookup 1961'!$A$2:$A$1300,0))</f>
        <v>#N/A</v>
      </c>
    </row>
    <row r="579" spans="1:24" ht="25.05" customHeight="1" x14ac:dyDescent="0.3">
      <c r="A579" s="2" t="s">
        <v>146</v>
      </c>
      <c r="B579" s="2" t="s">
        <v>5257</v>
      </c>
      <c r="S579" s="11" t="str">
        <f t="shared" si="17"/>
        <v xml:space="preserve">Non County Boroughs  </v>
      </c>
      <c r="V579" s="11" t="e">
        <f>INDEX('Lookup 1961'!$A$2:$A$1300, MATCH(S579, 'Lookup 1961'!$B$2:$B$1300,0))</f>
        <v>#N/A</v>
      </c>
      <c r="W579" s="11" t="e">
        <f>INDEX('Lookup 1961'!$F$2:$F$1300, MATCH(S579, 'Lookup 1961'!$B$2:$B$1300,0))</f>
        <v>#N/A</v>
      </c>
      <c r="X579" s="11" t="e">
        <f>INDEX('Lookup 1961'!$C$2:$C$1300, MATCH(V579, 'Lookup 1961'!$A$2:$A$1300,0))</f>
        <v>#N/A</v>
      </c>
    </row>
    <row r="580" spans="1:24" ht="25.05" customHeight="1" x14ac:dyDescent="0.3">
      <c r="A580" s="2" t="s">
        <v>568</v>
      </c>
      <c r="B580" s="2" t="s">
        <v>568</v>
      </c>
      <c r="C580" s="1">
        <v>25</v>
      </c>
      <c r="D580" s="1">
        <v>6</v>
      </c>
      <c r="E580" s="1">
        <v>15</v>
      </c>
      <c r="F580" s="1">
        <v>0</v>
      </c>
      <c r="K580" s="6">
        <v>1260</v>
      </c>
      <c r="L580" s="6">
        <v>325704</v>
      </c>
      <c r="M580" s="1">
        <v>123.9</v>
      </c>
      <c r="N580" s="1">
        <v>9</v>
      </c>
      <c r="O580" s="1">
        <v>14</v>
      </c>
      <c r="P580" s="1">
        <v>33.1</v>
      </c>
      <c r="Q580" s="11">
        <f>'Table H'!$J$113</f>
        <v>0.94228808979932699</v>
      </c>
      <c r="R580" s="11">
        <f t="shared" ref="R580:R643" si="18">Q580*L580</f>
        <v>306907</v>
      </c>
      <c r="S580" s="11" t="str">
        <f t="shared" si="17"/>
        <v>Boston MB</v>
      </c>
      <c r="T580" s="11" t="s">
        <v>5211</v>
      </c>
      <c r="V580" s="11" t="str">
        <f>INDEX('Lookup 1961'!$A$2:$A$1300, MATCH(S580, 'Lookup 1961'!$B$2:$B$1300,0))</f>
        <v>J04000176</v>
      </c>
      <c r="W580" s="11" t="str">
        <f>INDEX('Lookup 1961'!$F$2:$F$1300, MATCH(S580, 'Lookup 1961'!$B$2:$B$1300,0))</f>
        <v>e220722</v>
      </c>
      <c r="X580" s="11" t="str">
        <f>INDEX('Lookup 1961'!$C$2:$C$1300, MATCH(V580, 'Lookup 1961'!$A$2:$A$1300,0))</f>
        <v>Lincolnshire</v>
      </c>
    </row>
    <row r="581" spans="1:24" ht="25.05" customHeight="1" x14ac:dyDescent="0.3">
      <c r="A581" s="2" t="s">
        <v>150</v>
      </c>
      <c r="B581" s="2" t="s">
        <v>1221</v>
      </c>
      <c r="S581" s="11" t="str">
        <f t="shared" ref="S581:S644" si="19">_xlfn.CONCAT(B581," ",T581)</f>
        <v xml:space="preserve">Urban Districts  </v>
      </c>
      <c r="V581" s="11" t="e">
        <f>INDEX('Lookup 1961'!$A$2:$A$1300, MATCH(S581, 'Lookup 1961'!$B$2:$B$1300,0))</f>
        <v>#N/A</v>
      </c>
      <c r="W581" s="11" t="e">
        <f>INDEX('Lookup 1961'!$F$2:$F$1300, MATCH(S581, 'Lookup 1961'!$B$2:$B$1300,0))</f>
        <v>#N/A</v>
      </c>
      <c r="X581" s="11" t="e">
        <f>INDEX('Lookup 1961'!$C$2:$C$1300, MATCH(V581, 'Lookup 1961'!$A$2:$A$1300,0))</f>
        <v>#N/A</v>
      </c>
    </row>
    <row r="582" spans="1:24" ht="25.05" customHeight="1" x14ac:dyDescent="0.3">
      <c r="A582" s="2" t="s">
        <v>569</v>
      </c>
      <c r="B582" s="2" t="s">
        <v>569</v>
      </c>
      <c r="C582" s="1">
        <v>24</v>
      </c>
      <c r="D582" s="1">
        <v>6</v>
      </c>
      <c r="E582" s="1">
        <v>14</v>
      </c>
      <c r="F582" s="1">
        <v>10</v>
      </c>
      <c r="K582" s="1">
        <v>767</v>
      </c>
      <c r="L582" s="6">
        <v>197757</v>
      </c>
      <c r="M582" s="1">
        <v>143.9</v>
      </c>
      <c r="N582" s="1">
        <v>9</v>
      </c>
      <c r="O582" s="1">
        <v>15</v>
      </c>
      <c r="P582" s="1">
        <v>41.9</v>
      </c>
      <c r="Q582" s="11">
        <f>'Table H'!$J$114</f>
        <v>0.95058076325996044</v>
      </c>
      <c r="R582" s="11">
        <f t="shared" si="18"/>
        <v>187984</v>
      </c>
      <c r="S582" s="11" t="str">
        <f t="shared" si="19"/>
        <v>Spalding UD</v>
      </c>
      <c r="T582" s="11" t="s">
        <v>5214</v>
      </c>
      <c r="V582" s="11" t="str">
        <f>INDEX('Lookup 1961'!$A$2:$A$1300, MATCH(S582, 'Lookup 1961'!$B$2:$B$1300,0))</f>
        <v>J04001175</v>
      </c>
      <c r="W582" s="11" t="str">
        <f>INDEX('Lookup 1961'!$F$2:$F$1300, MATCH(S582, 'Lookup 1961'!$B$2:$B$1300,0))</f>
        <v>e220723</v>
      </c>
      <c r="X582" s="11" t="str">
        <f>INDEX('Lookup 1961'!$C$2:$C$1300, MATCH(V582, 'Lookup 1961'!$A$2:$A$1300,0))</f>
        <v>Lincolnshire</v>
      </c>
    </row>
    <row r="583" spans="1:24" ht="25.05" customHeight="1" x14ac:dyDescent="0.3">
      <c r="A583" s="5" t="s">
        <v>570</v>
      </c>
      <c r="B583" s="5" t="s">
        <v>570</v>
      </c>
      <c r="S583" s="11" t="str">
        <f t="shared" si="19"/>
        <v xml:space="preserve">LINCOLN, PARTS OF KESTEVEN: </v>
      </c>
      <c r="V583" s="11" t="e">
        <f>INDEX('Lookup 1961'!$A$2:$A$1300, MATCH(S583, 'Lookup 1961'!$B$2:$B$1300,0))</f>
        <v>#N/A</v>
      </c>
      <c r="W583" s="11" t="e">
        <f>INDEX('Lookup 1961'!$F$2:$F$1300, MATCH(S583, 'Lookup 1961'!$B$2:$B$1300,0))</f>
        <v>#N/A</v>
      </c>
      <c r="X583" s="11" t="e">
        <f>INDEX('Lookup 1961'!$C$2:$C$1300, MATCH(V583, 'Lookup 1961'!$A$2:$A$1300,0))</f>
        <v>#N/A</v>
      </c>
    </row>
    <row r="584" spans="1:24" ht="25.05" customHeight="1" x14ac:dyDescent="0.3">
      <c r="A584" s="2" t="s">
        <v>146</v>
      </c>
      <c r="B584" s="2" t="s">
        <v>5257</v>
      </c>
      <c r="S584" s="11" t="str">
        <f t="shared" si="19"/>
        <v xml:space="preserve">Non County Boroughs  </v>
      </c>
      <c r="V584" s="11" t="e">
        <f>INDEX('Lookup 1961'!$A$2:$A$1300, MATCH(S584, 'Lookup 1961'!$B$2:$B$1300,0))</f>
        <v>#N/A</v>
      </c>
      <c r="W584" s="11" t="e">
        <f>INDEX('Lookup 1961'!$F$2:$F$1300, MATCH(S584, 'Lookup 1961'!$B$2:$B$1300,0))</f>
        <v>#N/A</v>
      </c>
      <c r="X584" s="11" t="e">
        <f>INDEX('Lookup 1961'!$C$2:$C$1300, MATCH(V584, 'Lookup 1961'!$A$2:$A$1300,0))</f>
        <v>#N/A</v>
      </c>
    </row>
    <row r="585" spans="1:24" ht="25.05" customHeight="1" x14ac:dyDescent="0.3">
      <c r="A585" s="2" t="s">
        <v>571</v>
      </c>
      <c r="B585" s="2" t="s">
        <v>571</v>
      </c>
      <c r="C585" s="1">
        <v>24</v>
      </c>
      <c r="D585" s="1">
        <v>6</v>
      </c>
      <c r="E585" s="1">
        <v>17</v>
      </c>
      <c r="F585" s="1">
        <v>6</v>
      </c>
      <c r="K585" s="6">
        <v>1090</v>
      </c>
      <c r="L585" s="6">
        <v>276557</v>
      </c>
      <c r="M585" s="1">
        <v>71.400000000000006</v>
      </c>
      <c r="N585" s="1">
        <v>9</v>
      </c>
      <c r="O585" s="1">
        <v>17</v>
      </c>
      <c r="P585" s="1">
        <v>23.2</v>
      </c>
      <c r="Q585" s="11">
        <f>'Table H'!$J$118</f>
        <v>0.92125901103852215</v>
      </c>
      <c r="R585" s="11">
        <f t="shared" si="18"/>
        <v>254780.62831578057</v>
      </c>
      <c r="S585" s="11" t="str">
        <f t="shared" si="19"/>
        <v>Grantham MB</v>
      </c>
      <c r="T585" s="11" t="s">
        <v>5211</v>
      </c>
      <c r="V585" s="11" t="str">
        <f>INDEX('Lookup 1961'!$A$2:$A$1300, MATCH(S585, 'Lookup 1961'!$B$2:$B$1300,0))</f>
        <v>J04000548</v>
      </c>
      <c r="W585" s="11" t="str">
        <f>INDEX('Lookup 1961'!$F$2:$F$1300, MATCH(S585, 'Lookup 1961'!$B$2:$B$1300,0))</f>
        <v>e230729</v>
      </c>
      <c r="X585" s="11" t="str">
        <f>INDEX('Lookup 1961'!$C$2:$C$1300, MATCH(V585, 'Lookup 1961'!$A$2:$A$1300,0))</f>
        <v>Lincolnshire</v>
      </c>
    </row>
    <row r="586" spans="1:24" ht="25.05" customHeight="1" x14ac:dyDescent="0.3">
      <c r="A586" s="2" t="s">
        <v>572</v>
      </c>
      <c r="B586" s="2" t="s">
        <v>572</v>
      </c>
      <c r="C586" s="1">
        <v>25</v>
      </c>
      <c r="D586" s="1">
        <v>6</v>
      </c>
      <c r="E586" s="1">
        <v>17</v>
      </c>
      <c r="F586" s="1">
        <v>0</v>
      </c>
      <c r="K586" s="1">
        <v>560</v>
      </c>
      <c r="L586" s="6">
        <v>149587</v>
      </c>
      <c r="M586" s="1">
        <v>91.1</v>
      </c>
      <c r="N586" s="1">
        <v>10</v>
      </c>
      <c r="O586" s="1">
        <v>6</v>
      </c>
      <c r="P586" s="1">
        <v>20.5</v>
      </c>
      <c r="Q586" s="11">
        <f>'Table H'!$J$118</f>
        <v>0.92125901103852215</v>
      </c>
      <c r="R586" s="11">
        <f t="shared" si="18"/>
        <v>137808.37168421943</v>
      </c>
      <c r="S586" s="11" t="str">
        <f t="shared" si="19"/>
        <v>Stamford MB</v>
      </c>
      <c r="T586" s="11" t="s">
        <v>5211</v>
      </c>
      <c r="V586" s="11" t="str">
        <f>INDEX('Lookup 1961'!$A$2:$A$1300, MATCH(S586, 'Lookup 1961'!$B$2:$B$1300,0))</f>
        <v>J04001200</v>
      </c>
      <c r="W586" s="11" t="str">
        <f>INDEX('Lookup 1961'!$F$2:$F$1300, MATCH(S586, 'Lookup 1961'!$B$2:$B$1300,0))</f>
        <v>e230731</v>
      </c>
      <c r="X586" s="11" t="str">
        <f>INDEX('Lookup 1961'!$C$2:$C$1300, MATCH(V586, 'Lookup 1961'!$A$2:$A$1300,0))</f>
        <v>Lincolnshire</v>
      </c>
    </row>
    <row r="587" spans="1:24" ht="25.05" customHeight="1" x14ac:dyDescent="0.3">
      <c r="A587" s="2" t="s">
        <v>150</v>
      </c>
      <c r="B587" s="2" t="s">
        <v>1221</v>
      </c>
      <c r="S587" s="11" t="str">
        <f t="shared" si="19"/>
        <v xml:space="preserve">Urban Districts  </v>
      </c>
      <c r="V587" s="11" t="e">
        <f>INDEX('Lookup 1961'!$A$2:$A$1300, MATCH(S587, 'Lookup 1961'!$B$2:$B$1300,0))</f>
        <v>#N/A</v>
      </c>
      <c r="W587" s="11" t="e">
        <f>INDEX('Lookup 1961'!$F$2:$F$1300, MATCH(S587, 'Lookup 1961'!$B$2:$B$1300,0))</f>
        <v>#N/A</v>
      </c>
      <c r="X587" s="11" t="e">
        <f>INDEX('Lookup 1961'!$C$2:$C$1300, MATCH(V587, 'Lookup 1961'!$A$2:$A$1300,0))</f>
        <v>#N/A</v>
      </c>
    </row>
    <row r="588" spans="1:24" ht="25.05" customHeight="1" x14ac:dyDescent="0.3">
      <c r="A588" s="2" t="s">
        <v>573</v>
      </c>
      <c r="B588" s="2" t="s">
        <v>573</v>
      </c>
      <c r="C588" s="1">
        <v>25</v>
      </c>
      <c r="D588" s="1">
        <v>6</v>
      </c>
      <c r="E588" s="1">
        <v>18</v>
      </c>
      <c r="F588" s="1">
        <v>2</v>
      </c>
      <c r="K588" s="1">
        <v>200</v>
      </c>
      <c r="L588" s="6">
        <v>51468</v>
      </c>
      <c r="M588" s="1">
        <v>92</v>
      </c>
      <c r="N588" s="1">
        <v>9</v>
      </c>
      <c r="O588" s="1">
        <v>1</v>
      </c>
      <c r="P588" s="1">
        <v>36.799999999999997</v>
      </c>
      <c r="Q588" s="11">
        <f>'Table H'!$J$119</f>
        <v>0.91715101763636731</v>
      </c>
      <c r="R588" s="11">
        <f t="shared" si="18"/>
        <v>47203.928575708553</v>
      </c>
      <c r="S588" s="11" t="str">
        <f t="shared" si="19"/>
        <v>Bourne UD</v>
      </c>
      <c r="T588" s="11" t="s">
        <v>5214</v>
      </c>
      <c r="V588" s="11" t="str">
        <f>INDEX('Lookup 1961'!$A$2:$A$1300, MATCH(S588, 'Lookup 1961'!$B$2:$B$1300,0))</f>
        <v>J04000178</v>
      </c>
      <c r="W588" s="11" t="str">
        <f>INDEX('Lookup 1961'!$F$2:$F$1300, MATCH(S588, 'Lookup 1961'!$B$2:$B$1300,0))</f>
        <v>e230728</v>
      </c>
      <c r="X588" s="11" t="str">
        <f>INDEX('Lookup 1961'!$C$2:$C$1300, MATCH(V588, 'Lookup 1961'!$A$2:$A$1300,0))</f>
        <v>Lincolnshire</v>
      </c>
    </row>
    <row r="589" spans="1:24" ht="25.05" customHeight="1" x14ac:dyDescent="0.3">
      <c r="A589" s="2" t="s">
        <v>574</v>
      </c>
      <c r="B589" s="2" t="s">
        <v>574</v>
      </c>
      <c r="C589" s="1">
        <v>24</v>
      </c>
      <c r="D589" s="1">
        <v>4</v>
      </c>
      <c r="E589" s="1">
        <v>16</v>
      </c>
      <c r="F589" s="1">
        <v>2</v>
      </c>
      <c r="K589" s="1">
        <v>387</v>
      </c>
      <c r="L589" s="6">
        <v>98733</v>
      </c>
      <c r="M589" s="1">
        <v>81.900000000000006</v>
      </c>
      <c r="N589" s="1">
        <v>10</v>
      </c>
      <c r="O589" s="1">
        <v>11</v>
      </c>
      <c r="P589" s="1">
        <v>23.9</v>
      </c>
      <c r="Q589" s="11">
        <f>'Table H'!$J$119</f>
        <v>0.91715101763636731</v>
      </c>
      <c r="R589" s="11">
        <f t="shared" si="18"/>
        <v>90553.071424291455</v>
      </c>
      <c r="S589" s="11" t="str">
        <f t="shared" si="19"/>
        <v>Sleaford UD</v>
      </c>
      <c r="T589" s="11" t="s">
        <v>5214</v>
      </c>
      <c r="V589" s="11" t="str">
        <f>INDEX('Lookup 1961'!$A$2:$A$1300, MATCH(S589, 'Lookup 1961'!$B$2:$B$1300,0))</f>
        <v>J04001149</v>
      </c>
      <c r="W589" s="11" t="str">
        <f>INDEX('Lookup 1961'!$F$2:$F$1300, MATCH(S589, 'Lookup 1961'!$B$2:$B$1300,0))</f>
        <v>e230730</v>
      </c>
      <c r="X589" s="11" t="str">
        <f>INDEX('Lookup 1961'!$C$2:$C$1300, MATCH(V589, 'Lookup 1961'!$A$2:$A$1300,0))</f>
        <v>Lincolnshire</v>
      </c>
    </row>
    <row r="590" spans="1:24" ht="25.05" customHeight="1" x14ac:dyDescent="0.3">
      <c r="A590" s="2" t="s">
        <v>575</v>
      </c>
      <c r="B590" s="2" t="s">
        <v>575</v>
      </c>
      <c r="S590" s="11" t="str">
        <f t="shared" si="19"/>
        <v xml:space="preserve">LINCOLN, PARTS OF LINDSEY: </v>
      </c>
      <c r="V590" s="11" t="e">
        <f>INDEX('Lookup 1961'!$A$2:$A$1300, MATCH(S590, 'Lookup 1961'!$B$2:$B$1300,0))</f>
        <v>#N/A</v>
      </c>
      <c r="W590" s="11" t="e">
        <f>INDEX('Lookup 1961'!$F$2:$F$1300, MATCH(S590, 'Lookup 1961'!$B$2:$B$1300,0))</f>
        <v>#N/A</v>
      </c>
      <c r="X590" s="11" t="e">
        <f>INDEX('Lookup 1961'!$C$2:$C$1300, MATCH(V590, 'Lookup 1961'!$A$2:$A$1300,0))</f>
        <v>#N/A</v>
      </c>
    </row>
    <row r="591" spans="1:24" ht="25.05" customHeight="1" x14ac:dyDescent="0.3">
      <c r="A591" s="2" t="s">
        <v>146</v>
      </c>
      <c r="B591" s="2" t="s">
        <v>5257</v>
      </c>
      <c r="S591" s="11" t="str">
        <f t="shared" si="19"/>
        <v xml:space="preserve">Non County Boroughs  </v>
      </c>
      <c r="V591" s="11" t="e">
        <f>INDEX('Lookup 1961'!$A$2:$A$1300, MATCH(S591, 'Lookup 1961'!$B$2:$B$1300,0))</f>
        <v>#N/A</v>
      </c>
      <c r="W591" s="11" t="e">
        <f>INDEX('Lookup 1961'!$F$2:$F$1300, MATCH(S591, 'Lookup 1961'!$B$2:$B$1300,0))</f>
        <v>#N/A</v>
      </c>
      <c r="X591" s="11" t="e">
        <f>INDEX('Lookup 1961'!$C$2:$C$1300, MATCH(V591, 'Lookup 1961'!$A$2:$A$1300,0))</f>
        <v>#N/A</v>
      </c>
    </row>
    <row r="592" spans="1:24" ht="25.05" customHeight="1" x14ac:dyDescent="0.3">
      <c r="A592" s="2" t="s">
        <v>576</v>
      </c>
      <c r="B592" s="2" t="s">
        <v>576</v>
      </c>
      <c r="C592" s="1">
        <v>25</v>
      </c>
      <c r="D592" s="1">
        <v>0</v>
      </c>
      <c r="E592" s="1">
        <v>17</v>
      </c>
      <c r="F592" s="1">
        <v>9</v>
      </c>
      <c r="K592" s="6">
        <v>1314</v>
      </c>
      <c r="L592" s="6">
        <v>325825</v>
      </c>
      <c r="M592" s="1">
        <v>88.9</v>
      </c>
      <c r="N592" s="1">
        <v>9</v>
      </c>
      <c r="O592" s="1">
        <v>6</v>
      </c>
      <c r="P592" s="1">
        <v>32.700000000000003</v>
      </c>
      <c r="Q592" s="11">
        <f>'Table H'!$J$123</f>
        <v>0.68637178757443895</v>
      </c>
      <c r="R592" s="11">
        <f t="shared" si="18"/>
        <v>223637.08768644158</v>
      </c>
      <c r="S592" s="11" t="str">
        <f t="shared" si="19"/>
        <v>Cleethorpes MB</v>
      </c>
      <c r="T592" s="11" t="s">
        <v>5211</v>
      </c>
      <c r="V592" s="11" t="str">
        <f>INDEX('Lookup 1961'!$A$2:$A$1300, MATCH(S592, 'Lookup 1961'!$B$2:$B$1300,0))</f>
        <v>J04000326</v>
      </c>
      <c r="W592" s="11" t="str">
        <f>INDEX('Lookup 1961'!$F$2:$F$1300, MATCH(S592, 'Lookup 1961'!$B$2:$B$1300,0))</f>
        <v>e240740</v>
      </c>
      <c r="X592" s="11" t="str">
        <f>INDEX('Lookup 1961'!$C$2:$C$1300, MATCH(V592, 'Lookup 1961'!$A$2:$A$1300,0))</f>
        <v>Humberside</v>
      </c>
    </row>
    <row r="593" spans="1:24" ht="25.05" customHeight="1" x14ac:dyDescent="0.3">
      <c r="A593" s="2" t="s">
        <v>577</v>
      </c>
      <c r="B593" s="2" t="s">
        <v>577</v>
      </c>
      <c r="C593" s="1">
        <v>23</v>
      </c>
      <c r="D593" s="1">
        <v>9</v>
      </c>
      <c r="E593" s="1">
        <v>16</v>
      </c>
      <c r="F593" s="1">
        <v>0</v>
      </c>
      <c r="K593" s="1">
        <v>553</v>
      </c>
      <c r="L593" s="6">
        <v>136840</v>
      </c>
      <c r="M593" s="1">
        <v>118.8</v>
      </c>
      <c r="N593" s="1">
        <v>9</v>
      </c>
      <c r="O593" s="1">
        <v>12</v>
      </c>
      <c r="P593" s="1">
        <v>52.3</v>
      </c>
      <c r="Q593" s="11">
        <f>'Table H'!$J$123</f>
        <v>0.68637178757443895</v>
      </c>
      <c r="R593" s="11">
        <f t="shared" si="18"/>
        <v>93923.115411686231</v>
      </c>
      <c r="S593" s="11" t="str">
        <f t="shared" si="19"/>
        <v>Louth MB</v>
      </c>
      <c r="T593" s="11" t="s">
        <v>5211</v>
      </c>
      <c r="V593" s="11" t="str">
        <f>INDEX('Lookup 1961'!$A$2:$A$1300, MATCH(S593, 'Lookup 1961'!$B$2:$B$1300,0))</f>
        <v>J04000784</v>
      </c>
      <c r="W593" s="11" t="str">
        <f>INDEX('Lookup 1961'!$F$2:$F$1300, MATCH(S593, 'Lookup 1961'!$B$2:$B$1300,0))</f>
        <v>e240743</v>
      </c>
      <c r="X593" s="11" t="str">
        <f>INDEX('Lookup 1961'!$C$2:$C$1300, MATCH(V593, 'Lookup 1961'!$A$2:$A$1300,0))</f>
        <v>Lincolnshire</v>
      </c>
    </row>
    <row r="594" spans="1:24" ht="25.05" customHeight="1" x14ac:dyDescent="0.3">
      <c r="A594" s="2" t="s">
        <v>578</v>
      </c>
      <c r="B594" s="2" t="s">
        <v>578</v>
      </c>
      <c r="C594" s="1">
        <v>21</v>
      </c>
      <c r="D594" s="1">
        <v>10</v>
      </c>
      <c r="E594" s="1">
        <v>14</v>
      </c>
      <c r="F594" s="1">
        <v>6</v>
      </c>
      <c r="K594" s="6">
        <v>4474</v>
      </c>
      <c r="L594" s="6">
        <v>1171225</v>
      </c>
      <c r="M594" s="1">
        <v>206.1</v>
      </c>
      <c r="N594" s="1">
        <v>15</v>
      </c>
      <c r="O594" s="1">
        <v>7</v>
      </c>
      <c r="P594" s="1">
        <v>74.400000000000006</v>
      </c>
      <c r="Q594" s="11">
        <f>'Table H'!$J$123</f>
        <v>0.68637178757443895</v>
      </c>
      <c r="R594" s="11">
        <f t="shared" si="18"/>
        <v>803895.79690187227</v>
      </c>
      <c r="S594" s="11" t="str">
        <f t="shared" si="19"/>
        <v>Scunthorpe MB</v>
      </c>
      <c r="T594" s="11" t="s">
        <v>5211</v>
      </c>
      <c r="V594" s="11" t="str">
        <f>INDEX('Lookup 1961'!$A$2:$A$1300, MATCH(S594, 'Lookup 1961'!$B$2:$B$1300,0))</f>
        <v>J04001109</v>
      </c>
      <c r="W594" s="11" t="str">
        <f>INDEX('Lookup 1961'!$F$2:$F$1300, MATCH(S594, 'Lookup 1961'!$B$2:$B$1300,0))</f>
        <v>e240746</v>
      </c>
      <c r="X594" s="11" t="str">
        <f>INDEX('Lookup 1961'!$C$2:$C$1300, MATCH(V594, 'Lookup 1961'!$A$2:$A$1300,0))</f>
        <v>Humberside</v>
      </c>
    </row>
    <row r="595" spans="1:24" ht="25.05" customHeight="1" x14ac:dyDescent="0.3">
      <c r="A595" s="2" t="s">
        <v>150</v>
      </c>
      <c r="B595" s="2" t="s">
        <v>1221</v>
      </c>
      <c r="S595" s="11" t="str">
        <f t="shared" si="19"/>
        <v xml:space="preserve">Urban Districts  </v>
      </c>
      <c r="V595" s="11" t="e">
        <f>INDEX('Lookup 1961'!$A$2:$A$1300, MATCH(S595, 'Lookup 1961'!$B$2:$B$1300,0))</f>
        <v>#N/A</v>
      </c>
      <c r="W595" s="11" t="e">
        <f>INDEX('Lookup 1961'!$F$2:$F$1300, MATCH(S595, 'Lookup 1961'!$B$2:$B$1300,0))</f>
        <v>#N/A</v>
      </c>
      <c r="X595" s="11" t="e">
        <f>INDEX('Lookup 1961'!$C$2:$C$1300, MATCH(V595, 'Lookup 1961'!$A$2:$A$1300,0))</f>
        <v>#N/A</v>
      </c>
    </row>
    <row r="596" spans="1:24" ht="25.05" customHeight="1" x14ac:dyDescent="0.3">
      <c r="A596" s="2" t="s">
        <v>579</v>
      </c>
      <c r="B596" s="2" t="s">
        <v>579</v>
      </c>
      <c r="C596" s="1">
        <v>24</v>
      </c>
      <c r="D596" s="1">
        <v>1</v>
      </c>
      <c r="E596" s="1">
        <v>16</v>
      </c>
      <c r="F596" s="1">
        <v>4</v>
      </c>
      <c r="K596" s="1">
        <v>91</v>
      </c>
      <c r="L596" s="6">
        <v>23709</v>
      </c>
      <c r="M596" s="1">
        <v>114.6</v>
      </c>
      <c r="N596" s="1">
        <v>8</v>
      </c>
      <c r="O596" s="1">
        <v>11</v>
      </c>
      <c r="P596" s="1">
        <v>38.6</v>
      </c>
      <c r="Q596" s="11">
        <f>'Table H'!$J$124</f>
        <v>0.96207101558161567</v>
      </c>
      <c r="R596" s="11">
        <f t="shared" si="18"/>
        <v>22809.741708424524</v>
      </c>
      <c r="S596" s="11" t="str">
        <f t="shared" si="19"/>
        <v>Alford UD</v>
      </c>
      <c r="T596" s="11" t="s">
        <v>5214</v>
      </c>
      <c r="V596" s="11" t="str">
        <f>INDEX('Lookup 1961'!$A$2:$A$1300, MATCH(S596, 'Lookup 1961'!$B$2:$B$1300,0))</f>
        <v>J04000026</v>
      </c>
      <c r="W596" s="11" t="str">
        <f>INDEX('Lookup 1961'!$F$2:$F$1300, MATCH(S596, 'Lookup 1961'!$B$2:$B$1300,0))</f>
        <v>e240737</v>
      </c>
      <c r="X596" s="11" t="str">
        <f>INDEX('Lookup 1961'!$C$2:$C$1300, MATCH(V596, 'Lookup 1961'!$A$2:$A$1300,0))</f>
        <v>Lincolnshire</v>
      </c>
    </row>
    <row r="597" spans="1:24" ht="25.05" customHeight="1" x14ac:dyDescent="0.3">
      <c r="A597" s="2" t="s">
        <v>580</v>
      </c>
      <c r="B597" s="2" t="s">
        <v>5271</v>
      </c>
      <c r="C597" s="1">
        <v>24</v>
      </c>
      <c r="D597" s="1">
        <v>0</v>
      </c>
      <c r="E597" s="1">
        <v>15</v>
      </c>
      <c r="F597" s="1">
        <v>9</v>
      </c>
      <c r="K597" s="1">
        <v>213</v>
      </c>
      <c r="L597" s="6">
        <v>54522</v>
      </c>
      <c r="M597" s="1">
        <v>86.9</v>
      </c>
      <c r="N597" s="1">
        <v>6</v>
      </c>
      <c r="O597" s="1">
        <v>9</v>
      </c>
      <c r="P597" s="1">
        <v>19.2</v>
      </c>
      <c r="Q597" s="11">
        <f>'Table H'!$J$124</f>
        <v>0.96207101558161567</v>
      </c>
      <c r="R597" s="11">
        <f t="shared" si="18"/>
        <v>52454.03591154085</v>
      </c>
      <c r="S597" s="11" t="str">
        <f t="shared" si="19"/>
        <v>Barton upon Humber UD</v>
      </c>
      <c r="T597" s="11" t="s">
        <v>5214</v>
      </c>
      <c r="V597" s="11" t="str">
        <f>INDEX('Lookup 1961'!$A$2:$A$1300, MATCH(S597, 'Lookup 1961'!$B$2:$B$1300,0))</f>
        <v>J04000094</v>
      </c>
      <c r="W597" s="11" t="str">
        <f>INDEX('Lookup 1961'!$F$2:$F$1300, MATCH(S597, 'Lookup 1961'!$B$2:$B$1300,0))</f>
        <v>e240738</v>
      </c>
      <c r="X597" s="11" t="str">
        <f>INDEX('Lookup 1961'!$C$2:$C$1300, MATCH(V597, 'Lookup 1961'!$A$2:$A$1300,0))</f>
        <v>Humberside</v>
      </c>
    </row>
    <row r="598" spans="1:24" ht="25.05" customHeight="1" x14ac:dyDescent="0.3">
      <c r="A598" s="2" t="s">
        <v>581</v>
      </c>
      <c r="B598" s="2" t="s">
        <v>581</v>
      </c>
      <c r="C598" s="1">
        <v>26</v>
      </c>
      <c r="D598" s="1">
        <v>0</v>
      </c>
      <c r="E598" s="1">
        <v>17</v>
      </c>
      <c r="F598" s="1">
        <v>0</v>
      </c>
      <c r="K598" s="1">
        <v>207</v>
      </c>
      <c r="L598" s="6">
        <v>52126</v>
      </c>
      <c r="M598" s="1">
        <v>101.8</v>
      </c>
      <c r="N598" s="1">
        <v>9</v>
      </c>
      <c r="O598" s="1">
        <v>11</v>
      </c>
      <c r="P598" s="1">
        <v>31.9</v>
      </c>
      <c r="Q598" s="11">
        <f>'Table H'!$J$124</f>
        <v>0.96207101558161567</v>
      </c>
      <c r="R598" s="11">
        <f t="shared" si="18"/>
        <v>50148.913758207302</v>
      </c>
      <c r="S598" s="11" t="str">
        <f t="shared" si="19"/>
        <v>Brigg UD</v>
      </c>
      <c r="T598" s="11" t="s">
        <v>5214</v>
      </c>
      <c r="V598" s="11" t="str">
        <f>INDEX('Lookup 1961'!$A$2:$A$1300, MATCH(S598, 'Lookup 1961'!$B$2:$B$1300,0))</f>
        <v>J04000209</v>
      </c>
      <c r="W598" s="11" t="str">
        <f>INDEX('Lookup 1961'!$F$2:$F$1300, MATCH(S598, 'Lookup 1961'!$B$2:$B$1300,0))</f>
        <v>e240739</v>
      </c>
      <c r="X598" s="11" t="str">
        <f>INDEX('Lookup 1961'!$C$2:$C$1300, MATCH(V598, 'Lookup 1961'!$A$2:$A$1300,0))</f>
        <v>Humberside</v>
      </c>
    </row>
    <row r="599" spans="1:24" ht="25.05" customHeight="1" x14ac:dyDescent="0.3">
      <c r="A599" s="2" t="s">
        <v>582</v>
      </c>
      <c r="B599" s="2" t="s">
        <v>582</v>
      </c>
      <c r="C599" s="1">
        <v>24</v>
      </c>
      <c r="D599" s="1">
        <v>7</v>
      </c>
      <c r="E599" s="1">
        <v>17</v>
      </c>
      <c r="F599" s="1">
        <v>4</v>
      </c>
      <c r="K599" s="1">
        <v>725</v>
      </c>
      <c r="L599" s="6">
        <v>180776</v>
      </c>
      <c r="M599" s="1">
        <v>76.5</v>
      </c>
      <c r="N599" s="1">
        <v>8</v>
      </c>
      <c r="O599" s="1">
        <v>15</v>
      </c>
      <c r="P599" s="1">
        <v>25.1</v>
      </c>
      <c r="Q599" s="11">
        <f>'Table H'!$J$124</f>
        <v>0.96207101558161567</v>
      </c>
      <c r="R599" s="11">
        <f t="shared" si="18"/>
        <v>173919.34991278214</v>
      </c>
      <c r="S599" s="11" t="str">
        <f t="shared" si="19"/>
        <v>Gainsborough UD</v>
      </c>
      <c r="T599" s="11" t="s">
        <v>5214</v>
      </c>
      <c r="V599" s="11" t="str">
        <f>INDEX('Lookup 1961'!$A$2:$A$1300, MATCH(S599, 'Lookup 1961'!$B$2:$B$1300,0))</f>
        <v>J04000525</v>
      </c>
      <c r="W599" s="11" t="str">
        <f>INDEX('Lookup 1961'!$F$2:$F$1300, MATCH(S599, 'Lookup 1961'!$B$2:$B$1300,0))</f>
        <v>e240741</v>
      </c>
      <c r="X599" s="11" t="str">
        <f>INDEX('Lookup 1961'!$C$2:$C$1300, MATCH(V599, 'Lookup 1961'!$A$2:$A$1300,0))</f>
        <v>Lincolnshire</v>
      </c>
    </row>
    <row r="600" spans="1:24" ht="25.05" customHeight="1" x14ac:dyDescent="0.3">
      <c r="A600" s="2" t="s">
        <v>583</v>
      </c>
      <c r="B600" s="2" t="s">
        <v>583</v>
      </c>
      <c r="C600" s="1">
        <v>20</v>
      </c>
      <c r="D600" s="1">
        <v>9</v>
      </c>
      <c r="E600" s="1">
        <v>14</v>
      </c>
      <c r="F600" s="1">
        <v>0</v>
      </c>
      <c r="K600" s="1">
        <v>153</v>
      </c>
      <c r="L600" s="6">
        <v>39145</v>
      </c>
      <c r="M600" s="1">
        <v>106.9</v>
      </c>
      <c r="N600" s="1">
        <v>6</v>
      </c>
      <c r="O600" s="1">
        <v>16</v>
      </c>
      <c r="P600" s="1">
        <v>44.6</v>
      </c>
      <c r="Q600" s="11">
        <f>'Table H'!$J$124</f>
        <v>0.96207101558161567</v>
      </c>
      <c r="R600" s="11">
        <f t="shared" si="18"/>
        <v>37660.269904942346</v>
      </c>
      <c r="S600" s="11" t="str">
        <f t="shared" si="19"/>
        <v>Horncastle UD</v>
      </c>
      <c r="T600" s="11" t="s">
        <v>5214</v>
      </c>
      <c r="V600" s="11" t="str">
        <f>INDEX('Lookup 1961'!$A$2:$A$1300, MATCH(S600, 'Lookup 1961'!$B$2:$B$1300,0))</f>
        <v>J04000643</v>
      </c>
      <c r="W600" s="11" t="str">
        <f>INDEX('Lookup 1961'!$F$2:$F$1300, MATCH(S600, 'Lookup 1961'!$B$2:$B$1300,0))</f>
        <v>e240742</v>
      </c>
      <c r="X600" s="11" t="str">
        <f>INDEX('Lookup 1961'!$C$2:$C$1300, MATCH(V600, 'Lookup 1961'!$A$2:$A$1300,0))</f>
        <v>Lincolnshire</v>
      </c>
    </row>
    <row r="601" spans="1:24" ht="25.05" customHeight="1" x14ac:dyDescent="0.3">
      <c r="A601" s="2" t="s">
        <v>584</v>
      </c>
      <c r="B601" s="2" t="s">
        <v>584</v>
      </c>
      <c r="C601" s="1">
        <v>26</v>
      </c>
      <c r="D601" s="1">
        <v>0</v>
      </c>
      <c r="E601" s="1">
        <v>17</v>
      </c>
      <c r="F601" s="1">
        <v>0</v>
      </c>
      <c r="K601" s="1">
        <v>343</v>
      </c>
      <c r="L601" s="6">
        <v>87881</v>
      </c>
      <c r="M601" s="1">
        <v>97.2</v>
      </c>
      <c r="N601" s="1">
        <v>13</v>
      </c>
      <c r="O601" s="1">
        <v>15</v>
      </c>
      <c r="P601" s="1">
        <v>26</v>
      </c>
      <c r="Q601" s="11">
        <f>'Table H'!$J$124</f>
        <v>0.96207101558161567</v>
      </c>
      <c r="R601" s="11">
        <f t="shared" si="18"/>
        <v>84547.762920327965</v>
      </c>
      <c r="S601" s="11" t="str">
        <f t="shared" si="19"/>
        <v>Mablethorpe and Sutton UD</v>
      </c>
      <c r="T601" s="11" t="s">
        <v>5214</v>
      </c>
      <c r="V601" s="11" t="str">
        <f>INDEX('Lookup 1961'!$A$2:$A$1300, MATCH(S601, 'Lookup 1961'!$B$2:$B$1300,0))</f>
        <v>J04000800</v>
      </c>
      <c r="W601" s="11" t="str">
        <f>INDEX('Lookup 1961'!$F$2:$F$1300, MATCH(S601, 'Lookup 1961'!$B$2:$B$1300,0))</f>
        <v>e240744</v>
      </c>
      <c r="X601" s="11" t="str">
        <f>INDEX('Lookup 1961'!$C$2:$C$1300, MATCH(V601, 'Lookup 1961'!$A$2:$A$1300,0))</f>
        <v>Lincolnshire</v>
      </c>
    </row>
    <row r="602" spans="1:24" ht="25.05" customHeight="1" x14ac:dyDescent="0.3">
      <c r="A602" s="2" t="s">
        <v>585</v>
      </c>
      <c r="B602" s="2" t="s">
        <v>585</v>
      </c>
      <c r="C602" s="1">
        <v>25</v>
      </c>
      <c r="D602" s="1">
        <v>0</v>
      </c>
      <c r="E602" s="1">
        <v>16</v>
      </c>
      <c r="F602" s="1">
        <v>8</v>
      </c>
      <c r="K602" s="1">
        <v>91</v>
      </c>
      <c r="L602" s="6">
        <v>22509</v>
      </c>
      <c r="M602" s="1">
        <v>79.2</v>
      </c>
      <c r="N602" s="1">
        <v>8</v>
      </c>
      <c r="O602" s="1">
        <v>8</v>
      </c>
      <c r="P602" s="1">
        <v>20.8</v>
      </c>
      <c r="Q602" s="11">
        <f>'Table H'!$J$124</f>
        <v>0.96207101558161567</v>
      </c>
      <c r="R602" s="11">
        <f t="shared" si="18"/>
        <v>21655.256489726587</v>
      </c>
      <c r="S602" s="11" t="str">
        <f t="shared" si="19"/>
        <v>Market Rasen UD</v>
      </c>
      <c r="T602" s="11" t="s">
        <v>5214</v>
      </c>
      <c r="V602" s="11" t="str">
        <f>INDEX('Lookup 1961'!$A$2:$A$1300, MATCH(S602, 'Lookup 1961'!$B$2:$B$1300,0))</f>
        <v>J04000831</v>
      </c>
      <c r="W602" s="11" t="str">
        <f>INDEX('Lookup 1961'!$F$2:$F$1300, MATCH(S602, 'Lookup 1961'!$B$2:$B$1300,0))</f>
        <v>e240745</v>
      </c>
      <c r="X602" s="11" t="str">
        <f>INDEX('Lookup 1961'!$C$2:$C$1300, MATCH(V602, 'Lookup 1961'!$A$2:$A$1300,0))</f>
        <v>Lincolnshire</v>
      </c>
    </row>
    <row r="603" spans="1:24" ht="25.05" customHeight="1" x14ac:dyDescent="0.3">
      <c r="A603" s="2" t="s">
        <v>586</v>
      </c>
      <c r="B603" s="2" t="s">
        <v>586</v>
      </c>
      <c r="C603" s="1">
        <v>23</v>
      </c>
      <c r="D603" s="1">
        <v>10</v>
      </c>
      <c r="E603" s="1">
        <v>16</v>
      </c>
      <c r="F603" s="1">
        <v>0</v>
      </c>
      <c r="K603" s="6">
        <v>1128</v>
      </c>
      <c r="L603" s="6">
        <v>281834</v>
      </c>
      <c r="M603" s="1">
        <v>102.2</v>
      </c>
      <c r="N603" s="1">
        <v>17</v>
      </c>
      <c r="O603" s="1">
        <v>12</v>
      </c>
      <c r="P603" s="1">
        <v>35.1</v>
      </c>
      <c r="Q603" s="11">
        <f>'Table H'!$J$124</f>
        <v>0.96207101558161567</v>
      </c>
      <c r="R603" s="11">
        <f t="shared" si="18"/>
        <v>271144.3226054291</v>
      </c>
      <c r="S603" s="11" t="str">
        <f t="shared" si="19"/>
        <v>Skegness UD</v>
      </c>
      <c r="T603" s="11" t="s">
        <v>5214</v>
      </c>
      <c r="V603" s="11" t="str">
        <f>INDEX('Lookup 1961'!$A$2:$A$1300, MATCH(S603, 'Lookup 1961'!$B$2:$B$1300,0))</f>
        <v>J04001144</v>
      </c>
      <c r="W603" s="11" t="str">
        <f>INDEX('Lookup 1961'!$F$2:$F$1300, MATCH(S603, 'Lookup 1961'!$B$2:$B$1300,0))</f>
        <v>e240747</v>
      </c>
      <c r="X603" s="11" t="str">
        <f>INDEX('Lookup 1961'!$C$2:$C$1300, MATCH(V603, 'Lookup 1961'!$A$2:$A$1300,0))</f>
        <v>Lincolnshire</v>
      </c>
    </row>
    <row r="604" spans="1:24" ht="25.05" customHeight="1" x14ac:dyDescent="0.3">
      <c r="A604" s="2" t="s">
        <v>587</v>
      </c>
      <c r="B604" s="2" t="s">
        <v>587</v>
      </c>
      <c r="C604" s="1">
        <v>26</v>
      </c>
      <c r="D604" s="1">
        <v>8</v>
      </c>
      <c r="E604" s="1">
        <v>16</v>
      </c>
      <c r="F604" s="1">
        <v>10</v>
      </c>
      <c r="K604" s="1">
        <v>89</v>
      </c>
      <c r="L604" s="6">
        <v>22823</v>
      </c>
      <c r="M604" s="1">
        <v>72.099999999999994</v>
      </c>
      <c r="N604" s="1">
        <v>8</v>
      </c>
      <c r="O604" s="1">
        <v>13</v>
      </c>
      <c r="P604" s="1">
        <v>8</v>
      </c>
      <c r="Q604" s="11">
        <f>'Table H'!$J$124</f>
        <v>0.96207101558161567</v>
      </c>
      <c r="R604" s="11">
        <f t="shared" si="18"/>
        <v>21957.346788619216</v>
      </c>
      <c r="S604" s="11" t="str">
        <f t="shared" si="19"/>
        <v>Woodhall Spa UD</v>
      </c>
      <c r="T604" s="11" t="s">
        <v>5214</v>
      </c>
      <c r="V604" s="11" t="str">
        <f>INDEX('Lookup 1961'!$A$2:$A$1300, MATCH(S604, 'Lookup 1961'!$B$2:$B$1300,0))</f>
        <v>J04001447</v>
      </c>
      <c r="W604" s="11" t="str">
        <f>INDEX('Lookup 1961'!$F$2:$F$1300, MATCH(S604, 'Lookup 1961'!$B$2:$B$1300,0))</f>
        <v>e240748</v>
      </c>
      <c r="X604" s="11" t="str">
        <f>INDEX('Lookup 1961'!$C$2:$C$1300, MATCH(V604, 'Lookup 1961'!$A$2:$A$1300,0))</f>
        <v>Lincolnshire</v>
      </c>
    </row>
    <row r="605" spans="1:24" ht="25.05" customHeight="1" x14ac:dyDescent="0.3">
      <c r="A605" s="2" t="s">
        <v>588</v>
      </c>
      <c r="B605" s="2" t="s">
        <v>588</v>
      </c>
      <c r="S605" s="11" t="str">
        <f t="shared" si="19"/>
        <v xml:space="preserve">MIDDLESEX: </v>
      </c>
      <c r="V605" s="11" t="e">
        <f>INDEX('Lookup 1961'!$A$2:$A$1300, MATCH(S605, 'Lookup 1961'!$B$2:$B$1300,0))</f>
        <v>#N/A</v>
      </c>
      <c r="W605" s="11" t="e">
        <f>INDEX('Lookup 1961'!$F$2:$F$1300, MATCH(S605, 'Lookup 1961'!$B$2:$B$1300,0))</f>
        <v>#N/A</v>
      </c>
      <c r="X605" s="11" t="e">
        <f>INDEX('Lookup 1961'!$C$2:$C$1300, MATCH(V605, 'Lookup 1961'!$A$2:$A$1300,0))</f>
        <v>#N/A</v>
      </c>
    </row>
    <row r="606" spans="1:24" ht="25.05" customHeight="1" x14ac:dyDescent="0.3">
      <c r="A606" s="2" t="s">
        <v>146</v>
      </c>
      <c r="B606" s="2" t="s">
        <v>5257</v>
      </c>
      <c r="S606" s="11" t="str">
        <f t="shared" si="19"/>
        <v xml:space="preserve">Non County Boroughs  </v>
      </c>
      <c r="V606" s="11" t="e">
        <f>INDEX('Lookup 1961'!$A$2:$A$1300, MATCH(S606, 'Lookup 1961'!$B$2:$B$1300,0))</f>
        <v>#N/A</v>
      </c>
      <c r="W606" s="11" t="e">
        <f>INDEX('Lookup 1961'!$F$2:$F$1300, MATCH(S606, 'Lookup 1961'!$B$2:$B$1300,0))</f>
        <v>#N/A</v>
      </c>
      <c r="X606" s="11" t="e">
        <f>INDEX('Lookup 1961'!$C$2:$C$1300, MATCH(V606, 'Lookup 1961'!$A$2:$A$1300,0))</f>
        <v>#N/A</v>
      </c>
    </row>
    <row r="607" spans="1:24" ht="25.05" customHeight="1" x14ac:dyDescent="0.3">
      <c r="A607" s="2" t="s">
        <v>589</v>
      </c>
      <c r="B607" s="2" t="s">
        <v>589</v>
      </c>
      <c r="C607" s="1">
        <v>22</v>
      </c>
      <c r="D607" s="1">
        <v>2</v>
      </c>
      <c r="E607" s="1">
        <v>14</v>
      </c>
      <c r="F607" s="1">
        <v>10</v>
      </c>
      <c r="K607" s="6">
        <v>6375</v>
      </c>
      <c r="L607" s="8">
        <v>1589461</v>
      </c>
      <c r="M607" s="1">
        <v>79.900000000000006</v>
      </c>
      <c r="N607" s="1">
        <v>17</v>
      </c>
      <c r="O607" s="1">
        <v>8</v>
      </c>
      <c r="P607" s="1">
        <v>19.8</v>
      </c>
      <c r="Q607" s="11">
        <f>'Table H'!$J$130</f>
        <v>0.92242398732437081</v>
      </c>
      <c r="R607" s="11">
        <f t="shared" si="18"/>
        <v>1466156.9533165817</v>
      </c>
      <c r="S607" s="11" t="str">
        <f t="shared" si="19"/>
        <v>Acton MB</v>
      </c>
      <c r="T607" s="11" t="s">
        <v>5211</v>
      </c>
      <c r="V607" s="11" t="str">
        <f>INDEX('Lookup 1961'!$A$2:$A$1300, MATCH(S607, 'Lookup 1961'!$B$2:$B$1300,0))</f>
        <v>J04000015</v>
      </c>
      <c r="W607" s="11" t="str">
        <f>INDEX('Lookup 1961'!$F$2:$F$1300, MATCH(S607, 'Lookup 1961'!$B$2:$B$1300,0))</f>
        <v>e140379</v>
      </c>
      <c r="X607" s="11" t="str">
        <f>INDEX('Lookup 1961'!$C$2:$C$1300, MATCH(V607, 'Lookup 1961'!$A$2:$A$1300,0))</f>
        <v>Outer London</v>
      </c>
    </row>
    <row r="608" spans="1:24" ht="25.05" customHeight="1" x14ac:dyDescent="0.3">
      <c r="A608" s="2" t="s">
        <v>590</v>
      </c>
      <c r="B608" s="2" t="s">
        <v>590</v>
      </c>
      <c r="C608" s="1">
        <v>21</v>
      </c>
      <c r="D608" s="1">
        <v>1</v>
      </c>
      <c r="E608" s="1">
        <v>14</v>
      </c>
      <c r="F608" s="1">
        <v>4</v>
      </c>
      <c r="K608" s="6">
        <v>4940</v>
      </c>
      <c r="L608" s="6">
        <v>1233375</v>
      </c>
      <c r="M608" s="1">
        <v>69.400000000000006</v>
      </c>
      <c r="N608" s="1">
        <v>14</v>
      </c>
      <c r="O608" s="1">
        <v>13</v>
      </c>
      <c r="P608" s="1">
        <v>14.8</v>
      </c>
      <c r="Q608" s="11">
        <f>'Table H'!$J$130</f>
        <v>0.92242398732437081</v>
      </c>
      <c r="R608" s="11">
        <f t="shared" si="18"/>
        <v>1137694.6853661959</v>
      </c>
      <c r="S608" s="11" t="str">
        <f t="shared" si="19"/>
        <v>Brentford and Chiswick MB</v>
      </c>
      <c r="T608" s="11" t="s">
        <v>5211</v>
      </c>
      <c r="V608" s="11" t="str">
        <f>INDEX('Lookup 1961'!$A$2:$A$1300, MATCH(S608, 'Lookup 1961'!$B$2:$B$1300,0))</f>
        <v>J04000195</v>
      </c>
      <c r="W608" s="11" t="str">
        <f>INDEX('Lookup 1961'!$F$2:$F$1300, MATCH(S608, 'Lookup 1961'!$B$2:$B$1300,0))</f>
        <v>e140389</v>
      </c>
      <c r="X608" s="11" t="str">
        <f>INDEX('Lookup 1961'!$C$2:$C$1300, MATCH(V608, 'Lookup 1961'!$A$2:$A$1300,0))</f>
        <v>Outer London</v>
      </c>
    </row>
    <row r="609" spans="1:24" ht="25.05" customHeight="1" x14ac:dyDescent="0.3">
      <c r="A609" s="2" t="s">
        <v>591</v>
      </c>
      <c r="B609" s="2" t="s">
        <v>591</v>
      </c>
      <c r="C609" s="1">
        <v>20</v>
      </c>
      <c r="D609" s="1">
        <v>4</v>
      </c>
      <c r="E609" s="1">
        <v>13</v>
      </c>
      <c r="F609" s="1">
        <v>6</v>
      </c>
      <c r="K609" s="6">
        <v>14300</v>
      </c>
      <c r="L609" s="6">
        <v>3473349</v>
      </c>
      <c r="M609" s="1">
        <v>74.900000000000006</v>
      </c>
      <c r="N609" s="1">
        <v>12</v>
      </c>
      <c r="O609" s="1">
        <v>14</v>
      </c>
      <c r="P609" s="1">
        <v>16</v>
      </c>
      <c r="Q609" s="11">
        <f>'Table H'!$J$130</f>
        <v>0.92242398732437081</v>
      </c>
      <c r="R609" s="11">
        <f t="shared" si="18"/>
        <v>3203900.4339491162</v>
      </c>
      <c r="S609" s="11" t="str">
        <f t="shared" si="19"/>
        <v>Ealing MB</v>
      </c>
      <c r="T609" s="11" t="s">
        <v>5211</v>
      </c>
      <c r="V609" s="11" t="str">
        <f>INDEX('Lookup 1961'!$A$2:$A$1300, MATCH(S609, 'Lookup 1961'!$B$2:$B$1300,0))</f>
        <v>J04000441</v>
      </c>
      <c r="W609" s="11" t="str">
        <f>INDEX('Lookup 1961'!$F$2:$F$1300, MATCH(S609, 'Lookup 1961'!$B$2:$B$1300,0))</f>
        <v>e140379</v>
      </c>
      <c r="X609" s="11" t="str">
        <f>INDEX('Lookup 1961'!$C$2:$C$1300, MATCH(V609, 'Lookup 1961'!$A$2:$A$1300,0))</f>
        <v>Outer London</v>
      </c>
    </row>
    <row r="610" spans="1:24" ht="25.05" customHeight="1" x14ac:dyDescent="0.3">
      <c r="A610" s="2" t="s">
        <v>592</v>
      </c>
      <c r="B610" s="2" t="s">
        <v>592</v>
      </c>
      <c r="C610" s="1">
        <v>22</v>
      </c>
      <c r="D610" s="1">
        <v>2</v>
      </c>
      <c r="E610" s="1">
        <v>14</v>
      </c>
      <c r="F610" s="1">
        <v>10</v>
      </c>
      <c r="K610" s="6">
        <v>6100</v>
      </c>
      <c r="L610" s="6">
        <v>1486440</v>
      </c>
      <c r="M610" s="1">
        <v>94.8</v>
      </c>
      <c r="N610" s="1">
        <v>11</v>
      </c>
      <c r="O610" s="1">
        <v>2</v>
      </c>
      <c r="P610" s="1">
        <v>31.1</v>
      </c>
      <c r="Q610" s="11">
        <f>'Table H'!$J$130</f>
        <v>0.92242398732437081</v>
      </c>
      <c r="R610" s="11">
        <f t="shared" si="18"/>
        <v>1371127.9117184377</v>
      </c>
      <c r="S610" s="11" t="str">
        <f t="shared" si="19"/>
        <v>Edmonton MB</v>
      </c>
      <c r="T610" s="11" t="s">
        <v>5211</v>
      </c>
      <c r="V610" s="11" t="str">
        <f>INDEX('Lookup 1961'!$A$2:$A$1300, MATCH(S610, 'Lookup 1961'!$B$2:$B$1300,0))</f>
        <v>J04000463</v>
      </c>
      <c r="W610" s="11" t="str">
        <f>INDEX('Lookup 1961'!$F$2:$F$1300, MATCH(S610, 'Lookup 1961'!$B$2:$B$1300,0))</f>
        <v>e140380</v>
      </c>
      <c r="X610" s="11" t="str">
        <f>INDEX('Lookup 1961'!$C$2:$C$1300, MATCH(V610, 'Lookup 1961'!$A$2:$A$1300,0))</f>
        <v>Outer London</v>
      </c>
    </row>
    <row r="611" spans="1:24" ht="25.05" customHeight="1" x14ac:dyDescent="0.3">
      <c r="A611" s="2" t="s">
        <v>593</v>
      </c>
      <c r="B611" s="2" t="s">
        <v>593</v>
      </c>
      <c r="C611" s="1">
        <v>21</v>
      </c>
      <c r="D611" s="1">
        <v>8</v>
      </c>
      <c r="E611" s="1">
        <v>14</v>
      </c>
      <c r="F611" s="1">
        <v>4</v>
      </c>
      <c r="K611" s="6">
        <v>7300</v>
      </c>
      <c r="L611" s="6">
        <v>1762630</v>
      </c>
      <c r="M611" s="1">
        <v>89.9</v>
      </c>
      <c r="N611" s="1">
        <v>11</v>
      </c>
      <c r="O611" s="1">
        <v>12</v>
      </c>
      <c r="P611" s="1">
        <v>26.7</v>
      </c>
      <c r="Q611" s="11">
        <f>'Table H'!$J$130</f>
        <v>0.92242398732437081</v>
      </c>
      <c r="R611" s="11">
        <f t="shared" si="18"/>
        <v>1625892.1927775557</v>
      </c>
      <c r="S611" s="11" t="str">
        <f t="shared" si="19"/>
        <v>Enfield MB</v>
      </c>
      <c r="T611" s="11" t="s">
        <v>5211</v>
      </c>
      <c r="V611" s="11" t="str">
        <f>INDEX('Lookup 1961'!$A$2:$A$1300, MATCH(S611, 'Lookup 1961'!$B$2:$B$1300,0))</f>
        <v>J04000473</v>
      </c>
      <c r="W611" s="11" t="str">
        <f>INDEX('Lookup 1961'!$F$2:$F$1300, MATCH(S611, 'Lookup 1961'!$B$2:$B$1300,0))</f>
        <v>e140380</v>
      </c>
      <c r="X611" s="11" t="str">
        <f>INDEX('Lookup 1961'!$C$2:$C$1300, MATCH(V611, 'Lookup 1961'!$A$2:$A$1300,0))</f>
        <v>Outer London</v>
      </c>
    </row>
    <row r="612" spans="1:24" ht="25.05" customHeight="1" x14ac:dyDescent="0.3">
      <c r="A612" s="2" t="s">
        <v>594</v>
      </c>
      <c r="B612" s="2" t="s">
        <v>594</v>
      </c>
      <c r="C612" s="1">
        <v>20</v>
      </c>
      <c r="D612" s="1">
        <v>0</v>
      </c>
      <c r="E612" s="1">
        <v>14</v>
      </c>
      <c r="F612" s="1">
        <v>2</v>
      </c>
      <c r="K612" s="6">
        <v>5775</v>
      </c>
      <c r="L612" s="6">
        <v>1422233</v>
      </c>
      <c r="M612" s="1">
        <v>48.4</v>
      </c>
      <c r="N612" s="1">
        <v>14</v>
      </c>
      <c r="O612" s="1">
        <v>7</v>
      </c>
      <c r="P612" s="1">
        <v>5.9</v>
      </c>
      <c r="Q612" s="11">
        <f>'Table H'!$J$130</f>
        <v>0.92242398732437081</v>
      </c>
      <c r="R612" s="11">
        <f t="shared" si="18"/>
        <v>1311901.8347643018</v>
      </c>
      <c r="S612" s="11" t="str">
        <f t="shared" si="19"/>
        <v>Finchley MB</v>
      </c>
      <c r="T612" s="11" t="s">
        <v>5211</v>
      </c>
      <c r="V612" s="11" t="str">
        <f>INDEX('Lookup 1961'!$A$2:$A$1300, MATCH(S612, 'Lookup 1961'!$B$2:$B$1300,0))</f>
        <v>J04000503</v>
      </c>
      <c r="W612" s="11" t="str">
        <f>INDEX('Lookup 1961'!$F$2:$F$1300, MATCH(S612, 'Lookup 1961'!$B$2:$B$1300,0))</f>
        <v>e140372</v>
      </c>
      <c r="X612" s="11" t="str">
        <f>INDEX('Lookup 1961'!$C$2:$C$1300, MATCH(V612, 'Lookup 1961'!$A$2:$A$1300,0))</f>
        <v>Outer London</v>
      </c>
    </row>
    <row r="613" spans="1:24" ht="25.05" customHeight="1" x14ac:dyDescent="0.3">
      <c r="A613" s="2" t="s">
        <v>595</v>
      </c>
      <c r="B613" s="2" t="s">
        <v>595</v>
      </c>
      <c r="C613" s="1">
        <v>19</v>
      </c>
      <c r="D613" s="1">
        <v>0</v>
      </c>
      <c r="E613" s="1">
        <v>12</v>
      </c>
      <c r="F613" s="1">
        <v>10</v>
      </c>
      <c r="K613" s="6">
        <v>15000</v>
      </c>
      <c r="L613" s="6">
        <v>3794952</v>
      </c>
      <c r="M613" s="1">
        <v>63.3</v>
      </c>
      <c r="N613" s="1">
        <v>11</v>
      </c>
      <c r="O613" s="1">
        <v>4</v>
      </c>
      <c r="P613" s="1">
        <v>10.7</v>
      </c>
      <c r="Q613" s="11">
        <f>'Table H'!$J$130</f>
        <v>0.92242398732437081</v>
      </c>
      <c r="R613" s="11">
        <f t="shared" si="18"/>
        <v>3500554.7555445954</v>
      </c>
      <c r="S613" s="11" t="str">
        <f t="shared" si="19"/>
        <v>Harrow MB</v>
      </c>
      <c r="T613" s="11" t="s">
        <v>5211</v>
      </c>
      <c r="V613" s="11" t="str">
        <f>INDEX('Lookup 1961'!$A$2:$A$1300, MATCH(S613, 'Lookup 1961'!$B$2:$B$1300,0))</f>
        <v>J04000577</v>
      </c>
      <c r="W613" s="11" t="str">
        <f>INDEX('Lookup 1961'!$F$2:$F$1300, MATCH(S613, 'Lookup 1961'!$B$2:$B$1300,0))</f>
        <v>e140386</v>
      </c>
      <c r="X613" s="11" t="str">
        <f>INDEX('Lookup 1961'!$C$2:$C$1300, MATCH(V613, 'Lookup 1961'!$A$2:$A$1300,0))</f>
        <v>Outer London</v>
      </c>
    </row>
    <row r="614" spans="1:24" ht="25.05" customHeight="1" x14ac:dyDescent="0.3">
      <c r="A614" s="2" t="s">
        <v>596</v>
      </c>
      <c r="B614" s="2" t="s">
        <v>596</v>
      </c>
      <c r="C614" s="1">
        <v>19</v>
      </c>
      <c r="D614" s="1">
        <v>6</v>
      </c>
      <c r="E614" s="1">
        <v>13</v>
      </c>
      <c r="F614" s="1">
        <v>6</v>
      </c>
      <c r="K614" s="6">
        <v>13850</v>
      </c>
      <c r="L614" s="6">
        <v>3391492</v>
      </c>
      <c r="M614" s="1">
        <v>64.3</v>
      </c>
      <c r="N614" s="1">
        <v>14</v>
      </c>
      <c r="O614" s="1">
        <v>14</v>
      </c>
      <c r="P614" s="1">
        <v>15.1</v>
      </c>
      <c r="Q614" s="11">
        <f>'Table H'!$J$130</f>
        <v>0.92242398732437081</v>
      </c>
      <c r="R614" s="11">
        <f t="shared" si="18"/>
        <v>3128393.5736187049</v>
      </c>
      <c r="S614" s="11" t="str">
        <f t="shared" si="19"/>
        <v>Hendon MB</v>
      </c>
      <c r="T614" s="11" t="s">
        <v>5211</v>
      </c>
      <c r="V614" s="11" t="str">
        <f>INDEX('Lookup 1961'!$A$2:$A$1300, MATCH(S614, 'Lookup 1961'!$B$2:$B$1300,0))</f>
        <v>J04000607</v>
      </c>
      <c r="W614" s="11" t="str">
        <f>INDEX('Lookup 1961'!$F$2:$F$1300, MATCH(S614, 'Lookup 1961'!$B$2:$B$1300,0))</f>
        <v>e140372</v>
      </c>
      <c r="X614" s="11" t="str">
        <f>INDEX('Lookup 1961'!$C$2:$C$1300, MATCH(V614, 'Lookup 1961'!$A$2:$A$1300,0))</f>
        <v>Outer London</v>
      </c>
    </row>
    <row r="615" spans="1:24" ht="25.05" customHeight="1" x14ac:dyDescent="0.3">
      <c r="A615" s="2" t="s">
        <v>597</v>
      </c>
      <c r="B615" s="2" t="s">
        <v>597</v>
      </c>
      <c r="C615" s="1">
        <v>20</v>
      </c>
      <c r="D615" s="1">
        <v>6</v>
      </c>
      <c r="E615" s="1">
        <v>13</v>
      </c>
      <c r="F615" s="1">
        <v>4</v>
      </c>
      <c r="K615" s="6">
        <v>8500</v>
      </c>
      <c r="L615" s="6">
        <v>2051504</v>
      </c>
      <c r="M615" s="1">
        <v>95.7</v>
      </c>
      <c r="N615" s="1">
        <v>13</v>
      </c>
      <c r="O615" s="1">
        <v>3</v>
      </c>
      <c r="P615" s="1">
        <v>27.3</v>
      </c>
      <c r="Q615" s="11">
        <f>'Table H'!$J$130</f>
        <v>0.92242398732437081</v>
      </c>
      <c r="R615" s="11">
        <f t="shared" si="18"/>
        <v>1892356.4996918959</v>
      </c>
      <c r="S615" s="11" t="str">
        <f t="shared" si="19"/>
        <v>Heston and Isleworth MB</v>
      </c>
      <c r="T615" s="11" t="s">
        <v>5211</v>
      </c>
      <c r="V615" s="11" t="str">
        <f>INDEX('Lookup 1961'!$A$2:$A$1300, MATCH(S615, 'Lookup 1961'!$B$2:$B$1300,0))</f>
        <v>J04000616</v>
      </c>
      <c r="W615" s="11" t="str">
        <f>INDEX('Lookup 1961'!$F$2:$F$1300, MATCH(S615, 'Lookup 1961'!$B$2:$B$1300,0))</f>
        <v>e140389</v>
      </c>
      <c r="X615" s="11" t="str">
        <f>INDEX('Lookup 1961'!$C$2:$C$1300, MATCH(V615, 'Lookup 1961'!$A$2:$A$1300,0))</f>
        <v>Outer London</v>
      </c>
    </row>
    <row r="616" spans="1:24" ht="25.05" customHeight="1" x14ac:dyDescent="0.3">
      <c r="A616" s="2" t="s">
        <v>598</v>
      </c>
      <c r="B616" s="2" t="s">
        <v>598</v>
      </c>
      <c r="C616" s="1">
        <v>19</v>
      </c>
      <c r="D616" s="1">
        <v>6</v>
      </c>
      <c r="E616" s="1">
        <v>13</v>
      </c>
      <c r="F616" s="1">
        <v>10</v>
      </c>
      <c r="K616" s="6">
        <v>6075</v>
      </c>
      <c r="L616" s="6">
        <v>1520339</v>
      </c>
      <c r="M616" s="1">
        <v>40.5</v>
      </c>
      <c r="N616" s="1">
        <v>10</v>
      </c>
      <c r="O616" s="1">
        <v>13</v>
      </c>
      <c r="P616" s="1">
        <v>0.1</v>
      </c>
      <c r="Q616" s="11">
        <f>'Table H'!$J$130</f>
        <v>0.92242398732437081</v>
      </c>
      <c r="R616" s="11">
        <f t="shared" si="18"/>
        <v>1402397.1624647465</v>
      </c>
      <c r="S616" s="11" t="str">
        <f t="shared" si="19"/>
        <v>Hornsey MB</v>
      </c>
      <c r="T616" s="11" t="s">
        <v>5211</v>
      </c>
      <c r="V616" s="11" t="str">
        <f>INDEX('Lookup 1961'!$A$2:$A$1300, MATCH(S616, 'Lookup 1961'!$B$2:$B$1300,0))</f>
        <v>J04000646</v>
      </c>
      <c r="W616" s="11" t="str">
        <f>INDEX('Lookup 1961'!$F$2:$F$1300, MATCH(S616, 'Lookup 1961'!$B$2:$B$1300,0))</f>
        <v>e140385</v>
      </c>
      <c r="X616" s="11" t="str">
        <f>INDEX('Lookup 1961'!$C$2:$C$1300, MATCH(V616, 'Lookup 1961'!$A$2:$A$1300,0))</f>
        <v>Outer London</v>
      </c>
    </row>
    <row r="617" spans="1:24" ht="25.05" customHeight="1" x14ac:dyDescent="0.3">
      <c r="A617" s="2" t="s">
        <v>599</v>
      </c>
      <c r="B617" s="2" t="s">
        <v>599</v>
      </c>
      <c r="C617" s="1">
        <v>23</v>
      </c>
      <c r="D617" s="1">
        <v>0</v>
      </c>
      <c r="E617" s="1">
        <v>14</v>
      </c>
      <c r="F617" s="1">
        <v>10</v>
      </c>
      <c r="K617" s="6">
        <v>3610</v>
      </c>
      <c r="L617" s="6">
        <v>900573</v>
      </c>
      <c r="M617" s="1">
        <v>108</v>
      </c>
      <c r="N617" s="1">
        <v>12</v>
      </c>
      <c r="O617" s="1">
        <v>10</v>
      </c>
      <c r="P617" s="1">
        <v>34.1</v>
      </c>
      <c r="Q617" s="11">
        <f>'Table H'!$J$130</f>
        <v>0.92242398732437081</v>
      </c>
      <c r="R617" s="11">
        <f t="shared" si="18"/>
        <v>830710.13753667055</v>
      </c>
      <c r="S617" s="11" t="str">
        <f t="shared" si="19"/>
        <v>Southall MB</v>
      </c>
      <c r="T617" s="11" t="s">
        <v>5211</v>
      </c>
      <c r="V617" s="11" t="str">
        <f>INDEX('Lookup 1961'!$A$2:$A$1300, MATCH(S617, 'Lookup 1961'!$B$2:$B$1300,0))</f>
        <v>J04001162</v>
      </c>
      <c r="W617" s="11" t="str">
        <f>INDEX('Lookup 1961'!$F$2:$F$1300, MATCH(S617, 'Lookup 1961'!$B$2:$B$1300,0))</f>
        <v>e140379</v>
      </c>
      <c r="X617" s="11" t="str">
        <f>INDEX('Lookup 1961'!$C$2:$C$1300, MATCH(V617, 'Lookup 1961'!$A$2:$A$1300,0))</f>
        <v>Outer London</v>
      </c>
    </row>
    <row r="618" spans="1:24" ht="25.05" customHeight="1" x14ac:dyDescent="0.3">
      <c r="A618" s="2" t="s">
        <v>600</v>
      </c>
      <c r="B618" s="2" t="s">
        <v>600</v>
      </c>
      <c r="C618" s="1">
        <v>20</v>
      </c>
      <c r="D618" s="1">
        <v>4</v>
      </c>
      <c r="E618" s="1">
        <v>13</v>
      </c>
      <c r="F618" s="1">
        <v>8</v>
      </c>
      <c r="K618" s="6">
        <v>5950</v>
      </c>
      <c r="L618" s="6">
        <v>1478108</v>
      </c>
      <c r="M618" s="1">
        <v>55.3</v>
      </c>
      <c r="N618" s="1">
        <v>13</v>
      </c>
      <c r="O618" s="1">
        <v>19</v>
      </c>
      <c r="P618" s="1">
        <v>4.0999999999999996</v>
      </c>
      <c r="Q618" s="11">
        <f>'Table H'!$J$130</f>
        <v>0.92242398732437081</v>
      </c>
      <c r="R618" s="11">
        <f t="shared" si="18"/>
        <v>1363442.2750560511</v>
      </c>
      <c r="S618" s="11" t="str">
        <f t="shared" si="19"/>
        <v>Southgate MB</v>
      </c>
      <c r="T618" s="11" t="s">
        <v>5211</v>
      </c>
      <c r="V618" s="11" t="str">
        <f>INDEX('Lookup 1961'!$A$2:$A$1300, MATCH(S618, 'Lookup 1961'!$B$2:$B$1300,0))</f>
        <v>J04001167</v>
      </c>
      <c r="W618" s="11" t="str">
        <f>INDEX('Lookup 1961'!$F$2:$F$1300, MATCH(S618, 'Lookup 1961'!$B$2:$B$1300,0))</f>
        <v>e140380</v>
      </c>
      <c r="X618" s="11" t="str">
        <f>INDEX('Lookup 1961'!$C$2:$C$1300, MATCH(V618, 'Lookup 1961'!$A$2:$A$1300,0))</f>
        <v>Outer London</v>
      </c>
    </row>
    <row r="619" spans="1:24" ht="25.05" customHeight="1" x14ac:dyDescent="0.3">
      <c r="A619" s="2" t="s">
        <v>601</v>
      </c>
      <c r="B619" s="2" t="s">
        <v>601</v>
      </c>
      <c r="C619" s="1">
        <v>23</v>
      </c>
      <c r="D619" s="1">
        <v>2</v>
      </c>
      <c r="E619" s="1">
        <v>16</v>
      </c>
      <c r="F619" s="1">
        <v>4</v>
      </c>
      <c r="K619" s="6">
        <v>7285</v>
      </c>
      <c r="L619" s="6">
        <v>1827527</v>
      </c>
      <c r="M619" s="1">
        <v>79.3</v>
      </c>
      <c r="N619" s="1">
        <v>12</v>
      </c>
      <c r="O619" s="1">
        <v>0</v>
      </c>
      <c r="P619" s="1">
        <v>27.4</v>
      </c>
      <c r="Q619" s="11">
        <f>'Table H'!$J$130</f>
        <v>0.92242398732437081</v>
      </c>
      <c r="R619" s="11">
        <f t="shared" si="18"/>
        <v>1685754.7422829454</v>
      </c>
      <c r="S619" s="11" t="str">
        <f t="shared" si="19"/>
        <v>Tottenham MB</v>
      </c>
      <c r="T619" s="11" t="s">
        <v>5211</v>
      </c>
      <c r="V619" s="11" t="str">
        <f>INDEX('Lookup 1961'!$A$2:$A$1300, MATCH(S619, 'Lookup 1961'!$B$2:$B$1300,0))</f>
        <v>J04001289</v>
      </c>
      <c r="W619" s="11" t="str">
        <f>INDEX('Lookup 1961'!$F$2:$F$1300, MATCH(S619, 'Lookup 1961'!$B$2:$B$1300,0))</f>
        <v>e140385</v>
      </c>
      <c r="X619" s="11" t="str">
        <f>INDEX('Lookup 1961'!$C$2:$C$1300, MATCH(V619, 'Lookup 1961'!$A$2:$A$1300,0))</f>
        <v>Outer London</v>
      </c>
    </row>
    <row r="620" spans="1:24" ht="25.05" customHeight="1" x14ac:dyDescent="0.3">
      <c r="A620" s="2" t="s">
        <v>602</v>
      </c>
      <c r="B620" s="2" t="s">
        <v>602</v>
      </c>
      <c r="C620" s="1">
        <v>19</v>
      </c>
      <c r="D620" s="1">
        <v>8</v>
      </c>
      <c r="E620" s="1">
        <v>13</v>
      </c>
      <c r="F620" s="1">
        <v>2</v>
      </c>
      <c r="K620" s="6">
        <v>7560</v>
      </c>
      <c r="L620" s="6">
        <v>1881557</v>
      </c>
      <c r="M620" s="1">
        <v>69.7</v>
      </c>
      <c r="N620" s="1">
        <v>11</v>
      </c>
      <c r="O620" s="1">
        <v>13</v>
      </c>
      <c r="P620" s="1">
        <v>12.8</v>
      </c>
      <c r="Q620" s="11">
        <f>'Table H'!$J$130</f>
        <v>0.92242398732437081</v>
      </c>
      <c r="R620" s="11">
        <f t="shared" si="18"/>
        <v>1735593.3103180812</v>
      </c>
      <c r="S620" s="11" t="str">
        <f t="shared" si="19"/>
        <v>Twickenham MB</v>
      </c>
      <c r="T620" s="11" t="s">
        <v>5211</v>
      </c>
      <c r="V620" s="11" t="str">
        <f>INDEX('Lookup 1961'!$A$2:$A$1300, MATCH(S620, 'Lookup 1961'!$B$2:$B$1300,0))</f>
        <v>J04001303</v>
      </c>
      <c r="W620" s="11" t="str">
        <f>INDEX('Lookup 1961'!$F$2:$F$1300, MATCH(S620, 'Lookup 1961'!$B$2:$B$1300,0))</f>
        <v>e140401</v>
      </c>
      <c r="X620" s="11" t="str">
        <f>INDEX('Lookup 1961'!$C$2:$C$1300, MATCH(V620, 'Lookup 1961'!$A$2:$A$1300,0))</f>
        <v>Outer London</v>
      </c>
    </row>
    <row r="621" spans="1:24" ht="25.05" customHeight="1" x14ac:dyDescent="0.3">
      <c r="A621" s="2" t="s">
        <v>603</v>
      </c>
      <c r="B621" s="2" t="s">
        <v>603</v>
      </c>
      <c r="C621" s="1">
        <v>22</v>
      </c>
      <c r="D621" s="1">
        <v>0</v>
      </c>
      <c r="E621" s="1">
        <v>13</v>
      </c>
      <c r="F621" s="1">
        <v>10</v>
      </c>
      <c r="K621" s="6">
        <v>3750</v>
      </c>
      <c r="L621" s="6">
        <v>930786</v>
      </c>
      <c r="M621" s="1">
        <v>90.8</v>
      </c>
      <c r="N621" s="1">
        <v>10</v>
      </c>
      <c r="O621" s="1">
        <v>11</v>
      </c>
      <c r="P621" s="1">
        <v>14.7</v>
      </c>
      <c r="Q621" s="11">
        <f>'Table H'!$J$130</f>
        <v>0.92242398732437081</v>
      </c>
      <c r="R621" s="11">
        <f t="shared" si="18"/>
        <v>858579.33346570178</v>
      </c>
      <c r="S621" s="11" t="str">
        <f t="shared" si="19"/>
        <v>Uxbridge MB</v>
      </c>
      <c r="T621" s="11" t="s">
        <v>5211</v>
      </c>
      <c r="V621" s="11" t="str">
        <f>INDEX('Lookup 1961'!$A$2:$A$1300, MATCH(S621, 'Lookup 1961'!$B$2:$B$1300,0))</f>
        <v>J04001316</v>
      </c>
      <c r="W621" s="11" t="str">
        <f>INDEX('Lookup 1961'!$F$2:$F$1300, MATCH(S621, 'Lookup 1961'!$B$2:$B$1300,0))</f>
        <v>e140388</v>
      </c>
      <c r="X621" s="11" t="str">
        <f>INDEX('Lookup 1961'!$C$2:$C$1300, MATCH(V621, 'Lookup 1961'!$A$2:$A$1300,0))</f>
        <v>Outer London</v>
      </c>
    </row>
    <row r="622" spans="1:24" ht="25.05" customHeight="1" x14ac:dyDescent="0.3">
      <c r="A622" s="2" t="s">
        <v>604</v>
      </c>
      <c r="B622" s="2" t="s">
        <v>604</v>
      </c>
      <c r="C622" s="1">
        <v>20</v>
      </c>
      <c r="D622" s="1">
        <v>0</v>
      </c>
      <c r="E622" s="1">
        <v>13</v>
      </c>
      <c r="F622" s="1">
        <v>0</v>
      </c>
      <c r="K622" s="6">
        <v>11250</v>
      </c>
      <c r="L622" s="6">
        <v>2763210</v>
      </c>
      <c r="M622" s="1">
        <v>72.7</v>
      </c>
      <c r="N622" s="1">
        <v>14</v>
      </c>
      <c r="O622" s="1">
        <v>1</v>
      </c>
      <c r="P622" s="1">
        <v>13.1</v>
      </c>
      <c r="Q622" s="11">
        <f>'Table H'!$J$130</f>
        <v>0.92242398732437081</v>
      </c>
      <c r="R622" s="11">
        <f t="shared" si="18"/>
        <v>2548851.1860145745</v>
      </c>
      <c r="S622" s="11" t="str">
        <f t="shared" si="19"/>
        <v>Wembley MB</v>
      </c>
      <c r="T622" s="11" t="s">
        <v>5211</v>
      </c>
      <c r="V622" s="11" t="str">
        <f>INDEX('Lookup 1961'!$A$2:$A$1300, MATCH(S622, 'Lookup 1961'!$B$2:$B$1300,0))</f>
        <v>J04001376</v>
      </c>
      <c r="W622" s="11" t="str">
        <f>INDEX('Lookup 1961'!$F$2:$F$1300, MATCH(S622, 'Lookup 1961'!$B$2:$B$1300,0))</f>
        <v>e140374</v>
      </c>
      <c r="X622" s="11" t="str">
        <f>INDEX('Lookup 1961'!$C$2:$C$1300, MATCH(V622, 'Lookup 1961'!$A$2:$A$1300,0))</f>
        <v>Outer London</v>
      </c>
    </row>
    <row r="623" spans="1:24" ht="25.05" customHeight="1" x14ac:dyDescent="0.3">
      <c r="A623" s="2" t="s">
        <v>605</v>
      </c>
      <c r="B623" s="2" t="s">
        <v>605</v>
      </c>
      <c r="C623" s="1">
        <v>20</v>
      </c>
      <c r="D623" s="1">
        <v>8</v>
      </c>
      <c r="E623" s="1">
        <v>14</v>
      </c>
      <c r="F623" s="1">
        <v>0</v>
      </c>
      <c r="K623" s="6">
        <v>11700</v>
      </c>
      <c r="L623" s="6">
        <v>2902385</v>
      </c>
      <c r="M623" s="1">
        <v>71.7</v>
      </c>
      <c r="N623" s="1">
        <v>11</v>
      </c>
      <c r="O623" s="1">
        <v>9</v>
      </c>
      <c r="P623" s="1">
        <v>20.3</v>
      </c>
      <c r="Q623" s="11">
        <f>'Table H'!$J$130</f>
        <v>0.92242398732437081</v>
      </c>
      <c r="R623" s="11">
        <f t="shared" si="18"/>
        <v>2677229.5444504442</v>
      </c>
      <c r="S623" s="11" t="str">
        <f t="shared" si="19"/>
        <v>Willesden MB</v>
      </c>
      <c r="T623" s="11" t="s">
        <v>5211</v>
      </c>
      <c r="V623" s="11" t="str">
        <f>INDEX('Lookup 1961'!$A$2:$A$1300, MATCH(S623, 'Lookup 1961'!$B$2:$B$1300,0))</f>
        <v>J04001414</v>
      </c>
      <c r="W623" s="11" t="str">
        <f>INDEX('Lookup 1961'!$F$2:$F$1300, MATCH(S623, 'Lookup 1961'!$B$2:$B$1300,0))</f>
        <v>e140374</v>
      </c>
      <c r="X623" s="11" t="str">
        <f>INDEX('Lookup 1961'!$C$2:$C$1300, MATCH(V623, 'Lookup 1961'!$A$2:$A$1300,0))</f>
        <v>Outer London</v>
      </c>
    </row>
    <row r="624" spans="1:24" ht="25.05" customHeight="1" x14ac:dyDescent="0.3">
      <c r="A624" s="2" t="s">
        <v>606</v>
      </c>
      <c r="B624" s="2" t="s">
        <v>606</v>
      </c>
      <c r="C624" s="1">
        <v>20</v>
      </c>
      <c r="D624" s="1">
        <v>5</v>
      </c>
      <c r="E624" s="1">
        <v>14</v>
      </c>
      <c r="F624" s="1">
        <v>4</v>
      </c>
      <c r="K624" s="6">
        <v>3500</v>
      </c>
      <c r="L624" s="6">
        <v>870379</v>
      </c>
      <c r="M624" s="1">
        <v>58.9</v>
      </c>
      <c r="N624" s="1">
        <v>12</v>
      </c>
      <c r="O624" s="1">
        <v>2</v>
      </c>
      <c r="P624" s="1">
        <v>12</v>
      </c>
      <c r="Q624" s="11">
        <f>'Table H'!$J$130</f>
        <v>0.92242398732437081</v>
      </c>
      <c r="R624" s="11">
        <f t="shared" si="18"/>
        <v>802858.46766339859</v>
      </c>
      <c r="S624" s="11" t="str">
        <f t="shared" si="19"/>
        <v>Wood Green MB</v>
      </c>
      <c r="T624" s="11" t="s">
        <v>5211</v>
      </c>
      <c r="V624" s="11" t="str">
        <f>INDEX('Lookup 1961'!$A$2:$A$1300, MATCH(S624, 'Lookup 1961'!$B$2:$B$1300,0))</f>
        <v>J04001445</v>
      </c>
      <c r="W624" s="11" t="str">
        <f>INDEX('Lookup 1961'!$F$2:$F$1300, MATCH(S624, 'Lookup 1961'!$B$2:$B$1300,0))</f>
        <v>e140385</v>
      </c>
      <c r="X624" s="11" t="str">
        <f>INDEX('Lookup 1961'!$C$2:$C$1300, MATCH(V624, 'Lookup 1961'!$A$2:$A$1300,0))</f>
        <v>Outer London</v>
      </c>
    </row>
    <row r="625" spans="1:24" ht="25.05" customHeight="1" x14ac:dyDescent="0.3">
      <c r="A625" s="2" t="s">
        <v>150</v>
      </c>
      <c r="B625" s="2" t="s">
        <v>1221</v>
      </c>
      <c r="S625" s="11" t="str">
        <f t="shared" si="19"/>
        <v xml:space="preserve">Urban Districts  </v>
      </c>
      <c r="V625" s="11" t="e">
        <f>INDEX('Lookup 1961'!$A$2:$A$1300, MATCH(S625, 'Lookup 1961'!$B$2:$B$1300,0))</f>
        <v>#N/A</v>
      </c>
      <c r="W625" s="11" t="e">
        <f>INDEX('Lookup 1961'!$F$2:$F$1300, MATCH(S625, 'Lookup 1961'!$B$2:$B$1300,0))</f>
        <v>#N/A</v>
      </c>
      <c r="X625" s="11" t="e">
        <f>INDEX('Lookup 1961'!$C$2:$C$1300, MATCH(V625, 'Lookup 1961'!$A$2:$A$1300,0))</f>
        <v>#N/A</v>
      </c>
    </row>
    <row r="626" spans="1:24" ht="25.05" customHeight="1" x14ac:dyDescent="0.3">
      <c r="A626" s="2" t="s">
        <v>607</v>
      </c>
      <c r="B626" s="2" t="s">
        <v>607</v>
      </c>
      <c r="C626" s="1">
        <v>20</v>
      </c>
      <c r="D626" s="1">
        <v>8</v>
      </c>
      <c r="E626" s="1">
        <v>13</v>
      </c>
      <c r="F626" s="1">
        <v>6</v>
      </c>
      <c r="K626" s="6">
        <v>3490</v>
      </c>
      <c r="L626" s="6">
        <v>843057</v>
      </c>
      <c r="M626" s="1">
        <v>127.5</v>
      </c>
      <c r="N626" s="1">
        <v>11</v>
      </c>
      <c r="O626" s="1">
        <v>7</v>
      </c>
      <c r="P626" s="1">
        <v>42.3</v>
      </c>
      <c r="Q626" s="11">
        <f>'Table H'!$J$131</f>
        <v>0.86403526139121523</v>
      </c>
      <c r="R626" s="11">
        <f t="shared" si="18"/>
        <v>728430.97536269377</v>
      </c>
      <c r="S626" s="11" t="str">
        <f t="shared" si="19"/>
        <v>Feltham UD</v>
      </c>
      <c r="T626" s="11" t="s">
        <v>5214</v>
      </c>
      <c r="V626" s="11" t="str">
        <f>INDEX('Lookup 1961'!$A$2:$A$1300, MATCH(S626, 'Lookup 1961'!$B$2:$B$1300,0))</f>
        <v>J04000500</v>
      </c>
      <c r="W626" s="11" t="str">
        <f>INDEX('Lookup 1961'!$F$2:$F$1300, MATCH(S626, 'Lookup 1961'!$B$2:$B$1300,0))</f>
        <v>e140389</v>
      </c>
      <c r="X626" s="11" t="str">
        <f>INDEX('Lookup 1961'!$C$2:$C$1300, MATCH(V626, 'Lookup 1961'!$A$2:$A$1300,0))</f>
        <v>Outer London</v>
      </c>
    </row>
    <row r="627" spans="1:24" ht="25.05" customHeight="1" x14ac:dyDescent="0.3">
      <c r="A627" s="2" t="s">
        <v>608</v>
      </c>
      <c r="B627" s="2" t="s">
        <v>608</v>
      </c>
      <c r="C627" s="1">
        <v>19</v>
      </c>
      <c r="D627" s="1">
        <v>10</v>
      </c>
      <c r="E627" s="1">
        <v>14</v>
      </c>
      <c r="F627" s="1">
        <v>0</v>
      </c>
      <c r="K627" s="6">
        <v>1805</v>
      </c>
      <c r="L627" s="6">
        <v>436988</v>
      </c>
      <c r="M627" s="1">
        <v>46.5</v>
      </c>
      <c r="N627" s="1">
        <v>10</v>
      </c>
      <c r="O627" s="1">
        <v>14</v>
      </c>
      <c r="P627" s="1">
        <v>4.2</v>
      </c>
      <c r="Q627" s="11">
        <f>'Table H'!$J$131</f>
        <v>0.86403526139121523</v>
      </c>
      <c r="R627" s="11">
        <f t="shared" si="18"/>
        <v>377573.04080482438</v>
      </c>
      <c r="S627" s="11" t="str">
        <f t="shared" si="19"/>
        <v>Friern Barnet UD</v>
      </c>
      <c r="T627" s="11" t="s">
        <v>5214</v>
      </c>
      <c r="V627" s="11" t="str">
        <f>INDEX('Lookup 1961'!$A$2:$A$1300, MATCH(S627, 'Lookup 1961'!$B$2:$B$1300,0))</f>
        <v>J04000516</v>
      </c>
      <c r="W627" s="11" t="str">
        <f>INDEX('Lookup 1961'!$F$2:$F$1300, MATCH(S627, 'Lookup 1961'!$B$2:$B$1300,0))</f>
        <v>e140372</v>
      </c>
      <c r="X627" s="11" t="str">
        <f>INDEX('Lookup 1961'!$C$2:$C$1300, MATCH(V627, 'Lookup 1961'!$A$2:$A$1300,0))</f>
        <v>Outer London</v>
      </c>
    </row>
    <row r="628" spans="1:24" ht="25.05" customHeight="1" x14ac:dyDescent="0.3">
      <c r="A628" s="2" t="s">
        <v>609</v>
      </c>
      <c r="B628" s="2" t="s">
        <v>609</v>
      </c>
      <c r="C628" s="1">
        <v>24</v>
      </c>
      <c r="D628" s="1">
        <v>2</v>
      </c>
      <c r="E628" s="1">
        <v>15</v>
      </c>
      <c r="F628" s="1">
        <v>6</v>
      </c>
      <c r="K628" s="6">
        <v>4170</v>
      </c>
      <c r="L628" s="6">
        <v>1024714</v>
      </c>
      <c r="M628" s="1">
        <v>116.8</v>
      </c>
      <c r="N628" s="1">
        <v>12</v>
      </c>
      <c r="O628" s="1">
        <v>1</v>
      </c>
      <c r="P628" s="1">
        <v>35.5</v>
      </c>
      <c r="Q628" s="11">
        <f>'Table H'!$J$131</f>
        <v>0.86403526139121523</v>
      </c>
      <c r="R628" s="11">
        <f t="shared" si="18"/>
        <v>885389.02884123777</v>
      </c>
      <c r="S628" s="11" t="str">
        <f t="shared" si="19"/>
        <v>Hayes and Harlington UD</v>
      </c>
      <c r="T628" s="11" t="s">
        <v>5214</v>
      </c>
      <c r="V628" s="11" t="str">
        <f>INDEX('Lookup 1961'!$A$2:$A$1300, MATCH(S628, 'Lookup 1961'!$B$2:$B$1300,0))</f>
        <v>J04000594</v>
      </c>
      <c r="W628" s="11" t="str">
        <f>INDEX('Lookup 1961'!$F$2:$F$1300, MATCH(S628, 'Lookup 1961'!$B$2:$B$1300,0))</f>
        <v>e140388</v>
      </c>
      <c r="X628" s="11" t="str">
        <f>INDEX('Lookup 1961'!$C$2:$C$1300, MATCH(V628, 'Lookup 1961'!$A$2:$A$1300,0))</f>
        <v>Outer London</v>
      </c>
    </row>
    <row r="629" spans="1:24" ht="25.05" customHeight="1" x14ac:dyDescent="0.3">
      <c r="A629" s="2" t="s">
        <v>610</v>
      </c>
      <c r="B629" s="2" t="s">
        <v>5297</v>
      </c>
      <c r="C629" s="1">
        <v>22</v>
      </c>
      <c r="D629" s="1">
        <v>8</v>
      </c>
      <c r="E629" s="1">
        <v>14</v>
      </c>
      <c r="F629" s="1">
        <v>10</v>
      </c>
      <c r="K629" s="6">
        <v>1300</v>
      </c>
      <c r="L629" s="6">
        <v>321187</v>
      </c>
      <c r="M629" s="1">
        <v>71.599999999999994</v>
      </c>
      <c r="N629" s="1">
        <v>12</v>
      </c>
      <c r="O629" s="1">
        <v>4</v>
      </c>
      <c r="P629" s="1">
        <v>4.7</v>
      </c>
      <c r="Q629" s="11">
        <f>'Table H'!$J$131</f>
        <v>0.86403526139121523</v>
      </c>
      <c r="R629" s="11">
        <f t="shared" si="18"/>
        <v>277516.89350046025</v>
      </c>
      <c r="S629" s="11" t="str">
        <f t="shared" si="19"/>
        <v>Potters Bar UD</v>
      </c>
      <c r="T629" s="11" t="s">
        <v>5214</v>
      </c>
      <c r="V629" s="11" t="str">
        <f>INDEX('Lookup 1961'!$A$2:$A$1300, MATCH(S629, 'Lookup 1961'!$B$2:$B$1300,0))</f>
        <v>J04001013</v>
      </c>
      <c r="W629" s="11" t="str">
        <f>INDEX('Lookup 1961'!$F$2:$F$1300, MATCH(S629, 'Lookup 1961'!$B$2:$B$1300,0))</f>
        <v>e170467</v>
      </c>
      <c r="X629" s="11" t="str">
        <f>INDEX('Lookup 1961'!$C$2:$C$1300, MATCH(V629, 'Lookup 1961'!$A$2:$A$1300,0))</f>
        <v>Hertfordshire</v>
      </c>
    </row>
    <row r="630" spans="1:24" ht="25.05" customHeight="1" x14ac:dyDescent="0.3">
      <c r="A630" s="2" t="s">
        <v>611</v>
      </c>
      <c r="B630" s="2" t="s">
        <v>5272</v>
      </c>
      <c r="C630" s="1">
        <v>20</v>
      </c>
      <c r="D630" s="1">
        <v>8</v>
      </c>
      <c r="E630" s="1">
        <v>14</v>
      </c>
      <c r="F630" s="1">
        <v>6</v>
      </c>
      <c r="K630" s="6">
        <v>4951</v>
      </c>
      <c r="L630" s="6">
        <v>1261156</v>
      </c>
      <c r="M630" s="1">
        <v>73.8</v>
      </c>
      <c r="N630" s="1">
        <v>11</v>
      </c>
      <c r="O630" s="1">
        <v>17</v>
      </c>
      <c r="P630" s="1">
        <v>15.3</v>
      </c>
      <c r="Q630" s="11">
        <f>'Table H'!$J$131</f>
        <v>0.86403526139121523</v>
      </c>
      <c r="R630" s="11">
        <f t="shared" si="18"/>
        <v>1089683.2541150993</v>
      </c>
      <c r="S630" s="11" t="str">
        <f t="shared" si="19"/>
        <v>Ruislip Northwood UD</v>
      </c>
      <c r="T630" s="11" t="s">
        <v>5214</v>
      </c>
      <c r="V630" s="11" t="str">
        <f>INDEX('Lookup 1961'!$A$2:$A$1300, MATCH(S630, 'Lookup 1961'!$B$2:$B$1300,0))</f>
        <v>J04001080</v>
      </c>
      <c r="W630" s="11" t="str">
        <f>INDEX('Lookup 1961'!$F$2:$F$1300, MATCH(S630, 'Lookup 1961'!$B$2:$B$1300,0))</f>
        <v>e140388</v>
      </c>
      <c r="X630" s="11" t="str">
        <f>INDEX('Lookup 1961'!$C$2:$C$1300, MATCH(V630, 'Lookup 1961'!$A$2:$A$1300,0))</f>
        <v>Outer London</v>
      </c>
    </row>
    <row r="631" spans="1:24" ht="25.05" customHeight="1" x14ac:dyDescent="0.3">
      <c r="A631" s="2" t="s">
        <v>612</v>
      </c>
      <c r="B631" s="2" t="s">
        <v>612</v>
      </c>
      <c r="C631" s="1">
        <v>22</v>
      </c>
      <c r="D631" s="1">
        <v>2</v>
      </c>
      <c r="E631" s="1">
        <v>14</v>
      </c>
      <c r="F631" s="1">
        <v>10</v>
      </c>
      <c r="K631" s="6">
        <v>3100</v>
      </c>
      <c r="L631" s="6">
        <v>798437</v>
      </c>
      <c r="M631" s="1">
        <v>84.7</v>
      </c>
      <c r="N631" s="1">
        <v>13</v>
      </c>
      <c r="O631" s="1">
        <v>9</v>
      </c>
      <c r="P631" s="1">
        <v>18.899999999999999</v>
      </c>
      <c r="Q631" s="11">
        <f>'Table H'!$J$131</f>
        <v>0.86403526139121523</v>
      </c>
      <c r="R631" s="11">
        <f t="shared" si="18"/>
        <v>689877.72199941776</v>
      </c>
      <c r="S631" s="11" t="str">
        <f t="shared" si="19"/>
        <v>Staines UD</v>
      </c>
      <c r="T631" s="11" t="s">
        <v>5214</v>
      </c>
      <c r="V631" s="11" t="str">
        <f>INDEX('Lookup 1961'!$A$2:$A$1300, MATCH(S631, 'Lookup 1961'!$B$2:$B$1300,0))</f>
        <v>J04001198</v>
      </c>
      <c r="W631" s="11" t="str">
        <f>INDEX('Lookup 1961'!$F$2:$F$1300, MATCH(S631, 'Lookup 1961'!$B$2:$B$1300,0))</f>
        <v>e361018</v>
      </c>
      <c r="X631" s="11" t="str">
        <f>INDEX('Lookup 1961'!$C$2:$C$1300, MATCH(V631, 'Lookup 1961'!$A$2:$A$1300,0))</f>
        <v>Surrey</v>
      </c>
    </row>
    <row r="632" spans="1:24" ht="25.05" customHeight="1" x14ac:dyDescent="0.3">
      <c r="A632" s="2" t="s">
        <v>613</v>
      </c>
      <c r="B632" s="2" t="s">
        <v>5273</v>
      </c>
      <c r="C632" s="1">
        <v>21</v>
      </c>
      <c r="D632" s="1">
        <v>6</v>
      </c>
      <c r="E632" s="1">
        <v>14</v>
      </c>
      <c r="F632" s="1">
        <v>3</v>
      </c>
      <c r="K632" s="6">
        <v>1988</v>
      </c>
      <c r="L632" s="6">
        <v>506507</v>
      </c>
      <c r="M632" s="1">
        <v>91</v>
      </c>
      <c r="N632" s="1">
        <v>13</v>
      </c>
      <c r="O632" s="1">
        <v>13</v>
      </c>
      <c r="P632" s="1">
        <v>19.100000000000001</v>
      </c>
      <c r="Q632" s="11">
        <f>'Table H'!$J$131</f>
        <v>0.86403526139121523</v>
      </c>
      <c r="R632" s="11">
        <f t="shared" si="18"/>
        <v>437639.90814148023</v>
      </c>
      <c r="S632" s="11" t="str">
        <f t="shared" si="19"/>
        <v>Sunbury on Thames UD</v>
      </c>
      <c r="T632" s="11" t="s">
        <v>5214</v>
      </c>
      <c r="V632" s="11" t="str">
        <f>INDEX('Lookup 1961'!$A$2:$A$1300, MATCH(S632, 'Lookup 1961'!$B$2:$B$1300,0))</f>
        <v>J04001230</v>
      </c>
      <c r="W632" s="11" t="str">
        <f>INDEX('Lookup 1961'!$F$2:$F$1300, MATCH(S632, 'Lookup 1961'!$B$2:$B$1300,0))</f>
        <v>e361019</v>
      </c>
      <c r="X632" s="11" t="str">
        <f>INDEX('Lookup 1961'!$C$2:$C$1300, MATCH(V632, 'Lookup 1961'!$A$2:$A$1300,0))</f>
        <v>Surrey</v>
      </c>
    </row>
    <row r="633" spans="1:24" ht="25.05" customHeight="1" x14ac:dyDescent="0.3">
      <c r="A633" s="2" t="s">
        <v>614</v>
      </c>
      <c r="B633" s="2" t="s">
        <v>614</v>
      </c>
      <c r="C633" s="1">
        <v>21</v>
      </c>
      <c r="D633" s="1">
        <v>6</v>
      </c>
      <c r="E633" s="1">
        <v>13</v>
      </c>
      <c r="F633" s="1">
        <v>0</v>
      </c>
      <c r="K633" s="6">
        <v>2700</v>
      </c>
      <c r="L633" s="6">
        <v>540683</v>
      </c>
      <c r="M633" s="1">
        <v>154.5</v>
      </c>
      <c r="N633" s="1">
        <v>17</v>
      </c>
      <c r="O633" s="1">
        <v>17</v>
      </c>
      <c r="P633" s="1">
        <v>78.8</v>
      </c>
      <c r="Q633" s="11">
        <f>'Table H'!$J$131</f>
        <v>0.86403526139121523</v>
      </c>
      <c r="R633" s="11">
        <f t="shared" si="18"/>
        <v>467169.17723478645</v>
      </c>
      <c r="S633" s="11" t="str">
        <f t="shared" si="19"/>
        <v>Yiewsley and West Drayton UD</v>
      </c>
      <c r="T633" s="11" t="s">
        <v>5214</v>
      </c>
      <c r="V633" s="11" t="str">
        <f>INDEX('Lookup 1961'!$A$2:$A$1300, MATCH(S633, 'Lookup 1961'!$B$2:$B$1300,0))</f>
        <v>J04001465</v>
      </c>
      <c r="W633" s="11" t="str">
        <f>INDEX('Lookup 1961'!$F$2:$F$1300, MATCH(S633, 'Lookup 1961'!$B$2:$B$1300,0))</f>
        <v>e140388</v>
      </c>
      <c r="X633" s="11" t="str">
        <f>INDEX('Lookup 1961'!$C$2:$C$1300, MATCH(V633, 'Lookup 1961'!$A$2:$A$1300,0))</f>
        <v>Outer London</v>
      </c>
    </row>
    <row r="634" spans="1:24" ht="25.05" customHeight="1" x14ac:dyDescent="0.3">
      <c r="A634" s="2" t="s">
        <v>1079</v>
      </c>
      <c r="B634" s="2" t="s">
        <v>1079</v>
      </c>
      <c r="S634" s="11" t="str">
        <f t="shared" si="19"/>
        <v xml:space="preserve">NORFOLK: </v>
      </c>
      <c r="V634" s="11" t="e">
        <f>INDEX('Lookup 1961'!$A$2:$A$1300, MATCH(S634, 'Lookup 1961'!$B$2:$B$1300,0))</f>
        <v>#N/A</v>
      </c>
      <c r="W634" s="11" t="e">
        <f>INDEX('Lookup 1961'!$F$2:$F$1300, MATCH(S634, 'Lookup 1961'!$B$2:$B$1300,0))</f>
        <v>#N/A</v>
      </c>
      <c r="X634" s="11" t="e">
        <f>INDEX('Lookup 1961'!$C$2:$C$1300, MATCH(V634, 'Lookup 1961'!$A$2:$A$1300,0))</f>
        <v>#N/A</v>
      </c>
    </row>
    <row r="635" spans="1:24" ht="25.05" customHeight="1" x14ac:dyDescent="0.3">
      <c r="A635" s="2" t="s">
        <v>146</v>
      </c>
      <c r="B635" s="2" t="s">
        <v>5257</v>
      </c>
      <c r="S635" s="11" t="str">
        <f t="shared" si="19"/>
        <v xml:space="preserve">Non County Boroughs  </v>
      </c>
      <c r="V635" s="11" t="e">
        <f>INDEX('Lookup 1961'!$A$2:$A$1300, MATCH(S635, 'Lookup 1961'!$B$2:$B$1300,0))</f>
        <v>#N/A</v>
      </c>
      <c r="W635" s="11" t="e">
        <f>INDEX('Lookup 1961'!$F$2:$F$1300, MATCH(S635, 'Lookup 1961'!$B$2:$B$1300,0))</f>
        <v>#N/A</v>
      </c>
      <c r="X635" s="11" t="e">
        <f>INDEX('Lookup 1961'!$C$2:$C$1300, MATCH(V635, 'Lookup 1961'!$A$2:$A$1300,0))</f>
        <v>#N/A</v>
      </c>
    </row>
    <row r="636" spans="1:24" ht="25.05" customHeight="1" x14ac:dyDescent="0.3">
      <c r="A636" s="2" t="s">
        <v>615</v>
      </c>
      <c r="B636" s="2" t="s">
        <v>5383</v>
      </c>
      <c r="C636" s="1">
        <v>25</v>
      </c>
      <c r="D636" s="1">
        <v>6</v>
      </c>
      <c r="E636" s="1">
        <v>17</v>
      </c>
      <c r="F636" s="1">
        <v>3</v>
      </c>
      <c r="K636" s="6">
        <v>1485</v>
      </c>
      <c r="L636" s="6">
        <v>377854</v>
      </c>
      <c r="M636" s="1">
        <v>115.8</v>
      </c>
      <c r="N636" s="1">
        <v>12</v>
      </c>
      <c r="O636" s="1">
        <v>2</v>
      </c>
      <c r="P636" s="1">
        <v>45.5</v>
      </c>
      <c r="Q636" s="11">
        <f>'Table H'!$J$134</f>
        <v>0.91744165979559356</v>
      </c>
      <c r="R636" s="11">
        <f t="shared" si="18"/>
        <v>346659.00092040421</v>
      </c>
      <c r="S636" s="11" t="str">
        <f t="shared" si="19"/>
        <v>Kings Lynn MB</v>
      </c>
      <c r="T636" s="11" t="s">
        <v>5211</v>
      </c>
      <c r="V636" s="11" t="str">
        <f>INDEX('Lookup 1961'!$A$2:$A$1300, MATCH(S636, 'Lookup 1961'!$B$2:$B$1300,0))</f>
        <v>J04000695</v>
      </c>
      <c r="W636" s="11" t="str">
        <f>INDEX('Lookup 1961'!$F$2:$F$1300, MATCH(S636, 'Lookup 1961'!$B$2:$B$1300,0))</f>
        <v>e250765</v>
      </c>
      <c r="X636" s="11" t="str">
        <f>INDEX('Lookup 1961'!$C$2:$C$1300, MATCH(V636, 'Lookup 1961'!$A$2:$A$1300,0))</f>
        <v>Norfolk</v>
      </c>
    </row>
    <row r="637" spans="1:24" ht="25.05" customHeight="1" x14ac:dyDescent="0.3">
      <c r="A637" s="2" t="s">
        <v>616</v>
      </c>
      <c r="B637" s="2" t="s">
        <v>616</v>
      </c>
      <c r="C637" s="1">
        <v>26</v>
      </c>
      <c r="D637" s="1">
        <v>4</v>
      </c>
      <c r="E637" s="1">
        <v>18</v>
      </c>
      <c r="F637" s="1">
        <v>0</v>
      </c>
      <c r="K637" s="1">
        <v>150</v>
      </c>
      <c r="L637" s="6">
        <v>39354</v>
      </c>
      <c r="M637" s="1">
        <v>57.5</v>
      </c>
      <c r="N637" s="1">
        <v>7</v>
      </c>
      <c r="O637" s="1">
        <v>11</v>
      </c>
      <c r="P637" s="1">
        <v>7.2</v>
      </c>
      <c r="Q637" s="11">
        <f>'Table H'!$J$134</f>
        <v>0.91744165979559356</v>
      </c>
      <c r="R637" s="11">
        <f t="shared" si="18"/>
        <v>36104.999079595786</v>
      </c>
      <c r="S637" s="11" t="str">
        <f t="shared" si="19"/>
        <v>Thetford MB</v>
      </c>
      <c r="T637" s="11" t="s">
        <v>5211</v>
      </c>
      <c r="V637" s="11" t="str">
        <f>INDEX('Lookup 1961'!$A$2:$A$1300, MATCH(S637, 'Lookup 1961'!$B$2:$B$1300,0))</f>
        <v>J04001267</v>
      </c>
      <c r="W637" s="11" t="str">
        <f>INDEX('Lookup 1961'!$F$2:$F$1300, MATCH(S637, 'Lookup 1961'!$B$2:$B$1300,0))</f>
        <v>e250769</v>
      </c>
      <c r="X637" s="11" t="str">
        <f>INDEX('Lookup 1961'!$C$2:$C$1300, MATCH(V637, 'Lookup 1961'!$A$2:$A$1300,0))</f>
        <v>Norfolk</v>
      </c>
    </row>
    <row r="638" spans="1:24" ht="25.05" customHeight="1" x14ac:dyDescent="0.3">
      <c r="A638" s="2" t="s">
        <v>150</v>
      </c>
      <c r="B638" s="2" t="s">
        <v>1221</v>
      </c>
      <c r="S638" s="11" t="str">
        <f t="shared" si="19"/>
        <v xml:space="preserve">Urban Districts  </v>
      </c>
      <c r="V638" s="11" t="e">
        <f>INDEX('Lookup 1961'!$A$2:$A$1300, MATCH(S638, 'Lookup 1961'!$B$2:$B$1300,0))</f>
        <v>#N/A</v>
      </c>
      <c r="W638" s="11" t="e">
        <f>INDEX('Lookup 1961'!$F$2:$F$1300, MATCH(S638, 'Lookup 1961'!$B$2:$B$1300,0))</f>
        <v>#N/A</v>
      </c>
      <c r="X638" s="11" t="e">
        <f>INDEX('Lookup 1961'!$C$2:$C$1300, MATCH(V638, 'Lookup 1961'!$A$2:$A$1300,0))</f>
        <v>#N/A</v>
      </c>
    </row>
    <row r="639" spans="1:24" ht="25.05" customHeight="1" x14ac:dyDescent="0.3">
      <c r="A639" s="2" t="s">
        <v>617</v>
      </c>
      <c r="B639" s="2" t="s">
        <v>617</v>
      </c>
      <c r="C639" s="1">
        <v>25</v>
      </c>
      <c r="D639" s="1">
        <v>10</v>
      </c>
      <c r="E639" s="1">
        <v>17</v>
      </c>
      <c r="F639" s="1">
        <v>10</v>
      </c>
      <c r="K639" s="1">
        <v>316</v>
      </c>
      <c r="L639" s="6">
        <v>88199</v>
      </c>
      <c r="M639" s="1">
        <v>106.6</v>
      </c>
      <c r="N639" s="1">
        <v>6</v>
      </c>
      <c r="O639" s="1">
        <v>0</v>
      </c>
      <c r="P639" s="1">
        <v>49.8</v>
      </c>
      <c r="Q639" s="11">
        <f>'Table H'!$J$135</f>
        <v>0.96651123357354807</v>
      </c>
      <c r="R639" s="11">
        <f t="shared" si="18"/>
        <v>85245.324289953365</v>
      </c>
      <c r="S639" s="11" t="str">
        <f t="shared" si="19"/>
        <v>Cromer UD</v>
      </c>
      <c r="T639" s="11" t="s">
        <v>5214</v>
      </c>
      <c r="V639" s="11" t="str">
        <f>INDEX('Lookup 1961'!$A$2:$A$1300, MATCH(S639, 'Lookup 1961'!$B$2:$B$1300,0))</f>
        <v>J04000367</v>
      </c>
      <c r="W639" s="11" t="str">
        <f>INDEX('Lookup 1961'!$F$2:$F$1300, MATCH(S639, 'Lookup 1961'!$B$2:$B$1300,0))</f>
        <v>e250760</v>
      </c>
      <c r="X639" s="11" t="str">
        <f>INDEX('Lookup 1961'!$C$2:$C$1300, MATCH(V639, 'Lookup 1961'!$A$2:$A$1300,0))</f>
        <v>Norfolk</v>
      </c>
    </row>
    <row r="640" spans="1:24" ht="25.05" customHeight="1" x14ac:dyDescent="0.3">
      <c r="A640" s="2" t="s">
        <v>618</v>
      </c>
      <c r="B640" s="2" t="s">
        <v>618</v>
      </c>
      <c r="C640" s="1">
        <v>22</v>
      </c>
      <c r="D640" s="1">
        <v>6</v>
      </c>
      <c r="E640" s="1">
        <v>15</v>
      </c>
      <c r="F640" s="1">
        <v>10</v>
      </c>
      <c r="K640" s="1">
        <v>177</v>
      </c>
      <c r="L640" s="6">
        <v>45633</v>
      </c>
      <c r="M640" s="1">
        <v>98.6</v>
      </c>
      <c r="N640" s="1">
        <v>9</v>
      </c>
      <c r="O640" s="1">
        <v>13</v>
      </c>
      <c r="P640" s="1">
        <v>27.2</v>
      </c>
      <c r="Q640" s="11">
        <f>'Table H'!$J$135</f>
        <v>0.96651123357354807</v>
      </c>
      <c r="R640" s="11">
        <f t="shared" si="18"/>
        <v>44104.807121661717</v>
      </c>
      <c r="S640" s="11" t="str">
        <f t="shared" si="19"/>
        <v>Diss UD</v>
      </c>
      <c r="T640" s="11" t="s">
        <v>5214</v>
      </c>
      <c r="V640" s="11" t="str">
        <f>INDEX('Lookup 1961'!$A$2:$A$1300, MATCH(S640, 'Lookup 1961'!$B$2:$B$1300,0))</f>
        <v>J04000409</v>
      </c>
      <c r="W640" s="11" t="str">
        <f>INDEX('Lookup 1961'!$F$2:$F$1300, MATCH(S640, 'Lookup 1961'!$B$2:$B$1300,0))</f>
        <v>e250761</v>
      </c>
      <c r="X640" s="11" t="str">
        <f>INDEX('Lookup 1961'!$C$2:$C$1300, MATCH(V640, 'Lookup 1961'!$A$2:$A$1300,0))</f>
        <v>Norfolk</v>
      </c>
    </row>
    <row r="641" spans="1:24" ht="25.05" customHeight="1" x14ac:dyDescent="0.3">
      <c r="A641" s="2" t="s">
        <v>619</v>
      </c>
      <c r="B641" s="2" t="s">
        <v>619</v>
      </c>
      <c r="C641" s="1">
        <v>23</v>
      </c>
      <c r="D641" s="1">
        <v>8</v>
      </c>
      <c r="E641" s="1">
        <v>16</v>
      </c>
      <c r="F641" s="1">
        <v>2</v>
      </c>
      <c r="K641" s="1">
        <v>148</v>
      </c>
      <c r="L641" s="6">
        <v>37412</v>
      </c>
      <c r="M641" s="1">
        <v>126.1</v>
      </c>
      <c r="N641" s="1">
        <v>12</v>
      </c>
      <c r="O641" s="1">
        <v>15</v>
      </c>
      <c r="P641" s="1">
        <v>72.099999999999994</v>
      </c>
      <c r="Q641" s="11">
        <f>'Table H'!$J$135</f>
        <v>0.96651123357354807</v>
      </c>
      <c r="R641" s="11">
        <f t="shared" si="18"/>
        <v>36159.118270453582</v>
      </c>
      <c r="S641" s="11" t="str">
        <f t="shared" si="19"/>
        <v>Downham Market UD</v>
      </c>
      <c r="T641" s="11" t="s">
        <v>5214</v>
      </c>
      <c r="V641" s="11" t="str">
        <f>INDEX('Lookup 1961'!$A$2:$A$1300, MATCH(S641, 'Lookup 1961'!$B$2:$B$1300,0))</f>
        <v>J04000423</v>
      </c>
      <c r="W641" s="11" t="str">
        <f>INDEX('Lookup 1961'!$F$2:$F$1300, MATCH(S641, 'Lookup 1961'!$B$2:$B$1300,0))</f>
        <v>e250762</v>
      </c>
      <c r="X641" s="11" t="str">
        <f>INDEX('Lookup 1961'!$C$2:$C$1300, MATCH(V641, 'Lookup 1961'!$A$2:$A$1300,0))</f>
        <v>Norfolk</v>
      </c>
    </row>
    <row r="642" spans="1:24" ht="25.05" customHeight="1" x14ac:dyDescent="0.3">
      <c r="A642" s="2" t="s">
        <v>620</v>
      </c>
      <c r="B642" s="2" t="s">
        <v>620</v>
      </c>
      <c r="C642" s="1">
        <v>23</v>
      </c>
      <c r="D642" s="1">
        <v>0</v>
      </c>
      <c r="E642" s="1">
        <v>17</v>
      </c>
      <c r="F642" s="1">
        <v>4</v>
      </c>
      <c r="K642" s="1">
        <v>251</v>
      </c>
      <c r="L642" s="6">
        <v>66439</v>
      </c>
      <c r="M642" s="1">
        <v>105.7</v>
      </c>
      <c r="N642" s="1">
        <v>8</v>
      </c>
      <c r="O642" s="1">
        <v>5</v>
      </c>
      <c r="P642" s="1">
        <v>58.8</v>
      </c>
      <c r="Q642" s="11">
        <f>'Table H'!$J$135</f>
        <v>0.96651123357354807</v>
      </c>
      <c r="R642" s="11">
        <f t="shared" si="18"/>
        <v>64214.03984739296</v>
      </c>
      <c r="S642" s="11" t="str">
        <f t="shared" si="19"/>
        <v>East Dereham UD</v>
      </c>
      <c r="T642" s="11" t="s">
        <v>5214</v>
      </c>
      <c r="V642" s="11" t="str">
        <f>INDEX('Lookup 1961'!$A$2:$A$1300, MATCH(S642, 'Lookup 1961'!$B$2:$B$1300,0))</f>
        <v>J04000448</v>
      </c>
      <c r="W642" s="11" t="str">
        <f>INDEX('Lookup 1961'!$F$2:$F$1300, MATCH(S642, 'Lookup 1961'!$B$2:$B$1300,0))</f>
        <v>e250763</v>
      </c>
      <c r="X642" s="11" t="str">
        <f>INDEX('Lookup 1961'!$C$2:$C$1300, MATCH(V642, 'Lookup 1961'!$A$2:$A$1300,0))</f>
        <v>Norfolk</v>
      </c>
    </row>
    <row r="643" spans="1:24" ht="25.05" customHeight="1" x14ac:dyDescent="0.3">
      <c r="A643" s="2" t="s">
        <v>5382</v>
      </c>
      <c r="B643" s="2" t="s">
        <v>5382</v>
      </c>
      <c r="C643" s="1">
        <v>25</v>
      </c>
      <c r="D643" s="1">
        <v>0</v>
      </c>
      <c r="E643" s="1">
        <v>19</v>
      </c>
      <c r="F643" s="1">
        <v>0</v>
      </c>
      <c r="K643" s="1">
        <v>321</v>
      </c>
      <c r="L643" s="6">
        <v>81410</v>
      </c>
      <c r="M643" s="1">
        <v>113.5</v>
      </c>
      <c r="N643" s="1">
        <v>18</v>
      </c>
      <c r="O643" s="1">
        <v>2</v>
      </c>
      <c r="P643" s="1">
        <v>47.5</v>
      </c>
      <c r="Q643" s="11">
        <f>'Table H'!$J$135</f>
        <v>0.96651123357354807</v>
      </c>
      <c r="R643" s="11">
        <f t="shared" si="18"/>
        <v>78683.679525222542</v>
      </c>
      <c r="S643" s="11" t="str">
        <f t="shared" si="19"/>
        <v>Hunstanton UD</v>
      </c>
      <c r="T643" s="11" t="s">
        <v>5214</v>
      </c>
      <c r="V643" s="11" t="str">
        <f>INDEX('Lookup 1961'!$A$2:$A$1300, MATCH(S643, 'Lookup 1961'!$B$2:$B$1300,0))</f>
        <v>J04000659</v>
      </c>
      <c r="W643" s="11" t="str">
        <f>INDEX('Lookup 1961'!$F$2:$F$1300, MATCH(S643, 'Lookup 1961'!$B$2:$B$1300,0))</f>
        <v>e250764</v>
      </c>
      <c r="X643" s="11" t="str">
        <f>INDEX('Lookup 1961'!$C$2:$C$1300, MATCH(V643, 'Lookup 1961'!$A$2:$A$1300,0))</f>
        <v>Norfolk</v>
      </c>
    </row>
    <row r="644" spans="1:24" ht="25.05" customHeight="1" x14ac:dyDescent="0.3">
      <c r="A644" s="2" t="s">
        <v>621</v>
      </c>
      <c r="B644" s="2" t="s">
        <v>621</v>
      </c>
      <c r="C644" s="1">
        <v>29</v>
      </c>
      <c r="D644" s="1">
        <v>5</v>
      </c>
      <c r="E644" s="1">
        <v>19</v>
      </c>
      <c r="F644" s="1">
        <v>6</v>
      </c>
      <c r="K644" s="1">
        <v>208</v>
      </c>
      <c r="L644" s="6">
        <v>57272</v>
      </c>
      <c r="M644" s="1">
        <v>100</v>
      </c>
      <c r="N644" s="1">
        <v>11</v>
      </c>
      <c r="O644" s="1">
        <v>1</v>
      </c>
      <c r="P644" s="1">
        <v>30.5</v>
      </c>
      <c r="Q644" s="11">
        <f>'Table H'!$J$135</f>
        <v>0.96651123357354807</v>
      </c>
      <c r="R644" s="11">
        <f t="shared" ref="R644:R706" si="20">Q644*L644</f>
        <v>55354.031369224242</v>
      </c>
      <c r="S644" s="11" t="str">
        <f t="shared" si="19"/>
        <v>North Walsham UD</v>
      </c>
      <c r="T644" s="11" t="s">
        <v>5214</v>
      </c>
      <c r="V644" s="11" t="str">
        <f>INDEX('Lookup 1961'!$A$2:$A$1300, MATCH(S644, 'Lookup 1961'!$B$2:$B$1300,0))</f>
        <v>J04000926</v>
      </c>
      <c r="W644" s="11" t="str">
        <f>INDEX('Lookup 1961'!$F$2:$F$1300, MATCH(S644, 'Lookup 1961'!$B$2:$B$1300,0))</f>
        <v>e250766</v>
      </c>
      <c r="X644" s="11" t="str">
        <f>INDEX('Lookup 1961'!$C$2:$C$1300, MATCH(V644, 'Lookup 1961'!$A$2:$A$1300,0))</f>
        <v>Norfolk</v>
      </c>
    </row>
    <row r="645" spans="1:24" ht="25.05" customHeight="1" x14ac:dyDescent="0.3">
      <c r="A645" s="2" t="s">
        <v>622</v>
      </c>
      <c r="B645" s="2" t="s">
        <v>622</v>
      </c>
      <c r="C645" s="1">
        <v>26</v>
      </c>
      <c r="D645" s="1">
        <v>3</v>
      </c>
      <c r="E645" s="1">
        <v>18</v>
      </c>
      <c r="F645" s="1">
        <v>0</v>
      </c>
      <c r="K645" s="1">
        <v>271</v>
      </c>
      <c r="L645" s="6">
        <v>73102</v>
      </c>
      <c r="M645" s="1">
        <v>88.1</v>
      </c>
      <c r="N645" s="1">
        <v>13</v>
      </c>
      <c r="O645" s="1">
        <v>2</v>
      </c>
      <c r="P645" s="1">
        <v>26.2</v>
      </c>
      <c r="Q645" s="11">
        <f>'Table H'!$J$135</f>
        <v>0.96651123357354807</v>
      </c>
      <c r="R645" s="11">
        <f t="shared" si="20"/>
        <v>70653.904196693504</v>
      </c>
      <c r="S645" s="11" t="str">
        <f t="shared" ref="S645:S708" si="21">_xlfn.CONCAT(B645," ",T645)</f>
        <v>Sheringham UD</v>
      </c>
      <c r="T645" s="11" t="s">
        <v>5214</v>
      </c>
      <c r="V645" s="11" t="str">
        <f>INDEX('Lookup 1961'!$A$2:$A$1300, MATCH(S645, 'Lookup 1961'!$B$2:$B$1300,0))</f>
        <v>J04001133</v>
      </c>
      <c r="W645" s="11" t="str">
        <f>INDEX('Lookup 1961'!$F$2:$F$1300, MATCH(S645, 'Lookup 1961'!$B$2:$B$1300,0))</f>
        <v>e250767</v>
      </c>
      <c r="X645" s="11" t="str">
        <f>INDEX('Lookup 1961'!$C$2:$C$1300, MATCH(V645, 'Lookup 1961'!$A$2:$A$1300,0))</f>
        <v>Norfolk</v>
      </c>
    </row>
    <row r="646" spans="1:24" ht="25.05" customHeight="1" x14ac:dyDescent="0.3">
      <c r="A646" s="2" t="s">
        <v>623</v>
      </c>
      <c r="B646" s="2" t="s">
        <v>623</v>
      </c>
      <c r="C646" s="1">
        <v>23</v>
      </c>
      <c r="D646" s="1">
        <v>0</v>
      </c>
      <c r="E646" s="1">
        <v>16</v>
      </c>
      <c r="F646" s="1">
        <v>6</v>
      </c>
      <c r="K646" s="1">
        <v>127</v>
      </c>
      <c r="L646" s="6">
        <v>34168</v>
      </c>
      <c r="M646" s="1">
        <v>131.6</v>
      </c>
      <c r="N646" s="1">
        <v>8</v>
      </c>
      <c r="O646" s="1">
        <v>16</v>
      </c>
      <c r="P646" s="1">
        <v>49.8</v>
      </c>
      <c r="Q646" s="11">
        <f>'Table H'!$J$135</f>
        <v>0.96651123357354807</v>
      </c>
      <c r="R646" s="11">
        <f t="shared" si="20"/>
        <v>33023.755828740992</v>
      </c>
      <c r="S646" s="11" t="str">
        <f t="shared" si="21"/>
        <v>Swaffham UD</v>
      </c>
      <c r="T646" s="11" t="s">
        <v>5214</v>
      </c>
      <c r="V646" s="11" t="str">
        <f>INDEX('Lookup 1961'!$A$2:$A$1300, MATCH(S646, 'Lookup 1961'!$B$2:$B$1300,0))</f>
        <v>J04001239</v>
      </c>
      <c r="W646" s="11" t="str">
        <f>INDEX('Lookup 1961'!$F$2:$F$1300, MATCH(S646, 'Lookup 1961'!$B$2:$B$1300,0))</f>
        <v>e250768</v>
      </c>
      <c r="X646" s="11" t="str">
        <f>INDEX('Lookup 1961'!$C$2:$C$1300, MATCH(V646, 'Lookup 1961'!$A$2:$A$1300,0))</f>
        <v>Norfolk</v>
      </c>
    </row>
    <row r="647" spans="1:24" ht="25.05" customHeight="1" x14ac:dyDescent="0.3">
      <c r="A647" s="2" t="s">
        <v>624</v>
      </c>
      <c r="B647" s="2" t="s">
        <v>5274</v>
      </c>
      <c r="C647" s="1">
        <v>22</v>
      </c>
      <c r="D647" s="1">
        <v>0</v>
      </c>
      <c r="E647" s="1">
        <v>16</v>
      </c>
      <c r="F647" s="1">
        <v>0</v>
      </c>
      <c r="K647" s="1">
        <v>86</v>
      </c>
      <c r="L647" s="6">
        <v>23911</v>
      </c>
      <c r="M647" s="1">
        <v>85.9</v>
      </c>
      <c r="N647" s="1">
        <v>7</v>
      </c>
      <c r="O647" s="1">
        <v>4</v>
      </c>
      <c r="P647" s="1">
        <v>42.7</v>
      </c>
      <c r="Q647" s="11">
        <f>'Table H'!$J$135</f>
        <v>0.96651123357354807</v>
      </c>
      <c r="R647" s="11">
        <f t="shared" si="20"/>
        <v>23110.250105977109</v>
      </c>
      <c r="S647" s="11" t="str">
        <f t="shared" si="21"/>
        <v>Wells next the Sea UD</v>
      </c>
      <c r="T647" s="11" t="s">
        <v>5214</v>
      </c>
      <c r="V647" s="11" t="str">
        <f>INDEX('Lookup 1961'!$A$2:$A$1300, MATCH(S647, 'Lookup 1961'!$B$2:$B$1300,0))</f>
        <v>J04001367</v>
      </c>
      <c r="W647" s="11" t="str">
        <f>INDEX('Lookup 1961'!$F$2:$F$1300, MATCH(S647, 'Lookup 1961'!$B$2:$B$1300,0))</f>
        <v>e250770</v>
      </c>
      <c r="X647" s="11" t="str">
        <f>INDEX('Lookup 1961'!$C$2:$C$1300, MATCH(V647, 'Lookup 1961'!$A$2:$A$1300,0))</f>
        <v>Norfolk</v>
      </c>
    </row>
    <row r="648" spans="1:24" ht="25.05" customHeight="1" x14ac:dyDescent="0.3">
      <c r="A648" s="2" t="s">
        <v>625</v>
      </c>
      <c r="B648" s="2" t="s">
        <v>625</v>
      </c>
      <c r="C648" s="1">
        <v>24</v>
      </c>
      <c r="D648" s="1">
        <v>8</v>
      </c>
      <c r="E648" s="1">
        <v>17</v>
      </c>
      <c r="F648" s="1">
        <v>4</v>
      </c>
      <c r="K648" s="1">
        <v>171</v>
      </c>
      <c r="L648" s="6">
        <v>44460</v>
      </c>
      <c r="M648" s="1">
        <v>76.400000000000006</v>
      </c>
      <c r="N648" s="1">
        <v>6</v>
      </c>
      <c r="O648" s="1">
        <v>10</v>
      </c>
      <c r="P648" s="1">
        <v>30.2</v>
      </c>
      <c r="Q648" s="11">
        <f>'Table H'!$J$135</f>
        <v>0.96651123357354807</v>
      </c>
      <c r="R648" s="11">
        <f t="shared" si="20"/>
        <v>42971.08944467995</v>
      </c>
      <c r="S648" s="11" t="str">
        <f t="shared" si="21"/>
        <v>Wymondham UD</v>
      </c>
      <c r="T648" s="11" t="s">
        <v>5214</v>
      </c>
      <c r="V648" s="11" t="str">
        <f>INDEX('Lookup 1961'!$A$2:$A$1300, MATCH(S648, 'Lookup 1961'!$B$2:$B$1300,0))</f>
        <v>J04001462</v>
      </c>
      <c r="W648" s="11" t="str">
        <f>INDEX('Lookup 1961'!$F$2:$F$1300, MATCH(S648, 'Lookup 1961'!$B$2:$B$1300,0))</f>
        <v>e250771</v>
      </c>
      <c r="X648" s="11" t="str">
        <f>INDEX('Lookup 1961'!$C$2:$C$1300, MATCH(V648, 'Lookup 1961'!$A$2:$A$1300,0))</f>
        <v>Norfolk</v>
      </c>
    </row>
    <row r="649" spans="1:24" ht="25.05" customHeight="1" x14ac:dyDescent="0.3">
      <c r="A649" s="2" t="s">
        <v>626</v>
      </c>
      <c r="B649" s="2" t="s">
        <v>626</v>
      </c>
      <c r="S649" s="11" t="str">
        <f t="shared" si="21"/>
        <v xml:space="preserve">NORTHAMPTON: </v>
      </c>
      <c r="V649" s="11" t="e">
        <f>INDEX('Lookup 1961'!$A$2:$A$1300, MATCH(S649, 'Lookup 1961'!$B$2:$B$1300,0))</f>
        <v>#N/A</v>
      </c>
      <c r="W649" s="11" t="e">
        <f>INDEX('Lookup 1961'!$F$2:$F$1300, MATCH(S649, 'Lookup 1961'!$B$2:$B$1300,0))</f>
        <v>#N/A</v>
      </c>
      <c r="X649" s="11" t="e">
        <f>INDEX('Lookup 1961'!$C$2:$C$1300, MATCH(V649, 'Lookup 1961'!$A$2:$A$1300,0))</f>
        <v>#N/A</v>
      </c>
    </row>
    <row r="650" spans="1:24" ht="25.05" customHeight="1" x14ac:dyDescent="0.3">
      <c r="A650" s="2" t="s">
        <v>146</v>
      </c>
      <c r="B650" s="2" t="s">
        <v>5257</v>
      </c>
      <c r="S650" s="11" t="str">
        <f t="shared" si="21"/>
        <v xml:space="preserve">Non County Boroughs  </v>
      </c>
      <c r="V650" s="11" t="e">
        <f>INDEX('Lookup 1961'!$A$2:$A$1300, MATCH(S650, 'Lookup 1961'!$B$2:$B$1300,0))</f>
        <v>#N/A</v>
      </c>
      <c r="W650" s="11" t="e">
        <f>INDEX('Lookup 1961'!$F$2:$F$1300, MATCH(S650, 'Lookup 1961'!$B$2:$B$1300,0))</f>
        <v>#N/A</v>
      </c>
      <c r="X650" s="11" t="e">
        <f>INDEX('Lookup 1961'!$C$2:$C$1300, MATCH(V650, 'Lookup 1961'!$A$2:$A$1300,0))</f>
        <v>#N/A</v>
      </c>
    </row>
    <row r="651" spans="1:24" ht="25.05" customHeight="1" x14ac:dyDescent="0.3">
      <c r="A651" s="2" t="s">
        <v>627</v>
      </c>
      <c r="B651" s="2" t="s">
        <v>627</v>
      </c>
      <c r="C651" s="1">
        <v>22</v>
      </c>
      <c r="D651" s="1">
        <v>0</v>
      </c>
      <c r="E651" s="1">
        <v>14</v>
      </c>
      <c r="F651" s="1">
        <v>4</v>
      </c>
      <c r="K651" s="1">
        <v>113</v>
      </c>
      <c r="L651" s="6">
        <v>30488</v>
      </c>
      <c r="M651" s="1">
        <v>96.9</v>
      </c>
      <c r="N651" s="1">
        <v>6</v>
      </c>
      <c r="O651" s="1">
        <v>10</v>
      </c>
      <c r="P651" s="1">
        <v>22</v>
      </c>
      <c r="Q651" s="11">
        <f>'Table H'!$J$139</f>
        <v>0.93889164237531608</v>
      </c>
      <c r="R651" s="11">
        <f t="shared" si="20"/>
        <v>28624.928392738635</v>
      </c>
      <c r="S651" s="11" t="str">
        <f t="shared" si="21"/>
        <v>Brackley MB</v>
      </c>
      <c r="T651" s="11" t="s">
        <v>5211</v>
      </c>
      <c r="V651" s="11" t="str">
        <f>INDEX('Lookup 1961'!$A$2:$A$1300, MATCH(S651, 'Lookup 1961'!$B$2:$B$1300,0))</f>
        <v>J04000182</v>
      </c>
      <c r="W651" s="11" t="str">
        <f>INDEX('Lookup 1961'!$F$2:$F$1300, MATCH(S651, 'Lookup 1961'!$B$2:$B$1300,0))</f>
        <v>e260789</v>
      </c>
      <c r="X651" s="11" t="str">
        <f>INDEX('Lookup 1961'!$C$2:$C$1300, MATCH(V651, 'Lookup 1961'!$A$2:$A$1300,0))</f>
        <v>Northamptonshire</v>
      </c>
    </row>
    <row r="652" spans="1:24" ht="25.05" customHeight="1" x14ac:dyDescent="0.3">
      <c r="A652" s="2" t="s">
        <v>628</v>
      </c>
      <c r="B652" s="2" t="s">
        <v>628</v>
      </c>
      <c r="C652" s="1">
        <v>28</v>
      </c>
      <c r="D652" s="1">
        <v>8</v>
      </c>
      <c r="E652" s="1">
        <v>19</v>
      </c>
      <c r="F652" s="1">
        <v>6</v>
      </c>
      <c r="K652" s="1">
        <v>270</v>
      </c>
      <c r="L652" s="6">
        <v>65003</v>
      </c>
      <c r="M652" s="1">
        <v>105.1</v>
      </c>
      <c r="N652" s="1">
        <v>13</v>
      </c>
      <c r="O652" s="1">
        <v>18</v>
      </c>
      <c r="P652" s="1">
        <v>35.9</v>
      </c>
      <c r="Q652" s="11">
        <f>'Table H'!$J$139</f>
        <v>0.93889164237531608</v>
      </c>
      <c r="R652" s="11">
        <f t="shared" si="20"/>
        <v>61030.773429322675</v>
      </c>
      <c r="S652" s="11" t="str">
        <f t="shared" si="21"/>
        <v>Daventry MB</v>
      </c>
      <c r="T652" s="11" t="s">
        <v>5211</v>
      </c>
      <c r="V652" s="11" t="str">
        <f>INDEX('Lookup 1961'!$A$2:$A$1300, MATCH(S652, 'Lookup 1961'!$B$2:$B$1300,0))</f>
        <v>J04000388</v>
      </c>
      <c r="W652" s="11" t="str">
        <f>INDEX('Lookup 1961'!$F$2:$F$1300, MATCH(S652, 'Lookup 1961'!$B$2:$B$1300,0))</f>
        <v>e260793</v>
      </c>
      <c r="X652" s="11" t="str">
        <f>INDEX('Lookup 1961'!$C$2:$C$1300, MATCH(V652, 'Lookup 1961'!$A$2:$A$1300,0))</f>
        <v>Northamptonshire</v>
      </c>
    </row>
    <row r="653" spans="1:24" ht="25.05" customHeight="1" x14ac:dyDescent="0.3">
      <c r="A653" s="2" t="s">
        <v>629</v>
      </c>
      <c r="B653" s="2" t="s">
        <v>629</v>
      </c>
      <c r="C653" s="1">
        <v>28</v>
      </c>
      <c r="D653" s="1">
        <v>6</v>
      </c>
      <c r="E653" s="1">
        <v>19</v>
      </c>
      <c r="F653" s="1">
        <v>0</v>
      </c>
      <c r="K653" s="1">
        <v>137</v>
      </c>
      <c r="L653" s="6">
        <v>34529</v>
      </c>
      <c r="M653" s="1">
        <v>94</v>
      </c>
      <c r="N653" s="1">
        <v>8</v>
      </c>
      <c r="O653" s="1">
        <v>10</v>
      </c>
      <c r="P653" s="1">
        <v>37.1</v>
      </c>
      <c r="Q653" s="11">
        <f>'Table H'!$J$139</f>
        <v>0.93889164237531608</v>
      </c>
      <c r="R653" s="11">
        <f t="shared" si="20"/>
        <v>32418.989519577288</v>
      </c>
      <c r="S653" s="11" t="str">
        <f t="shared" si="21"/>
        <v>Higham Ferrers MB</v>
      </c>
      <c r="T653" s="11" t="s">
        <v>5211</v>
      </c>
      <c r="V653" s="11" t="str">
        <f>INDEX('Lookup 1961'!$A$2:$A$1300, MATCH(S653, 'Lookup 1961'!$B$2:$B$1300,0))</f>
        <v>J04000622</v>
      </c>
      <c r="W653" s="11" t="str">
        <f>INDEX('Lookup 1961'!$F$2:$F$1300, MATCH(S653, 'Lookup 1961'!$B$2:$B$1300,0))</f>
        <v>e260795</v>
      </c>
      <c r="X653" s="11" t="str">
        <f>INDEX('Lookup 1961'!$C$2:$C$1300, MATCH(V653, 'Lookup 1961'!$A$2:$A$1300,0))</f>
        <v>Northamptonshire</v>
      </c>
    </row>
    <row r="654" spans="1:24" ht="25.05" customHeight="1" x14ac:dyDescent="0.3">
      <c r="A654" s="2" t="s">
        <v>630</v>
      </c>
      <c r="B654" s="2" t="s">
        <v>630</v>
      </c>
      <c r="C654" s="1">
        <v>29</v>
      </c>
      <c r="D654" s="1">
        <v>8</v>
      </c>
      <c r="E654" s="1">
        <v>20</v>
      </c>
      <c r="F654" s="1">
        <v>6</v>
      </c>
      <c r="K654" s="6">
        <v>1880</v>
      </c>
      <c r="L654" s="6">
        <v>465185</v>
      </c>
      <c r="M654" s="1">
        <v>83.4</v>
      </c>
      <c r="N654" s="1">
        <v>12</v>
      </c>
      <c r="O654" s="1">
        <v>10</v>
      </c>
      <c r="P654" s="1">
        <v>26</v>
      </c>
      <c r="Q654" s="11">
        <f>'Table H'!$J$139</f>
        <v>0.93889164237531608</v>
      </c>
      <c r="R654" s="11">
        <f t="shared" si="20"/>
        <v>436758.30865836143</v>
      </c>
      <c r="S654" s="11" t="str">
        <f t="shared" si="21"/>
        <v>Kettering MB</v>
      </c>
      <c r="T654" s="11" t="s">
        <v>5211</v>
      </c>
      <c r="V654" s="11" t="str">
        <f>INDEX('Lookup 1961'!$A$2:$A$1300, MATCH(S654, 'Lookup 1961'!$B$2:$B$1300,0))</f>
        <v>J04000687</v>
      </c>
      <c r="W654" s="11" t="str">
        <f>INDEX('Lookup 1961'!$F$2:$F$1300, MATCH(S654, 'Lookup 1961'!$B$2:$B$1300,0))</f>
        <v>e260797</v>
      </c>
      <c r="X654" s="11" t="str">
        <f>INDEX('Lookup 1961'!$C$2:$C$1300, MATCH(V654, 'Lookup 1961'!$A$2:$A$1300,0))</f>
        <v>Northamptonshire</v>
      </c>
    </row>
    <row r="655" spans="1:24" ht="25.05" customHeight="1" x14ac:dyDescent="0.3">
      <c r="A655" s="2" t="s">
        <v>150</v>
      </c>
      <c r="B655" s="2" t="s">
        <v>1221</v>
      </c>
      <c r="S655" s="11" t="str">
        <f t="shared" si="21"/>
        <v xml:space="preserve">Urban Districts  </v>
      </c>
      <c r="V655" s="11" t="e">
        <f>INDEX('Lookup 1961'!$A$2:$A$1300, MATCH(S655, 'Lookup 1961'!$B$2:$B$1300,0))</f>
        <v>#N/A</v>
      </c>
      <c r="W655" s="11" t="e">
        <f>INDEX('Lookup 1961'!$F$2:$F$1300, MATCH(S655, 'Lookup 1961'!$B$2:$B$1300,0))</f>
        <v>#N/A</v>
      </c>
      <c r="X655" s="11" t="e">
        <f>INDEX('Lookup 1961'!$C$2:$C$1300, MATCH(V655, 'Lookup 1961'!$A$2:$A$1300,0))</f>
        <v>#N/A</v>
      </c>
    </row>
    <row r="656" spans="1:24" ht="25.05" customHeight="1" x14ac:dyDescent="0.3">
      <c r="A656" s="2" t="s">
        <v>631</v>
      </c>
      <c r="B656" s="2" t="s">
        <v>5384</v>
      </c>
      <c r="C656" s="1">
        <v>25</v>
      </c>
      <c r="D656" s="1">
        <v>0</v>
      </c>
      <c r="E656" s="1">
        <v>17</v>
      </c>
      <c r="F656" s="1">
        <v>0</v>
      </c>
      <c r="K656" s="1">
        <v>157</v>
      </c>
      <c r="L656" s="6">
        <v>39759</v>
      </c>
      <c r="M656" s="1">
        <v>79.2</v>
      </c>
      <c r="N656" s="1">
        <v>7</v>
      </c>
      <c r="O656" s="1">
        <v>13</v>
      </c>
      <c r="P656" s="1">
        <v>26.4</v>
      </c>
      <c r="Q656" s="11">
        <f>'Table H'!$J$140</f>
        <v>0.84416898760711268</v>
      </c>
      <c r="R656" s="11">
        <f t="shared" si="20"/>
        <v>33563.314778271189</v>
      </c>
      <c r="S656" s="11" t="str">
        <f t="shared" si="21"/>
        <v>Burton Latimer UD</v>
      </c>
      <c r="T656" s="11" t="s">
        <v>5214</v>
      </c>
      <c r="V656" s="11" t="str">
        <f>INDEX('Lookup 1961'!$A$2:$A$1300, MATCH(S656, 'Lookup 1961'!$B$2:$B$1300,0))</f>
        <v>J04000242</v>
      </c>
      <c r="W656" s="11" t="str">
        <f>INDEX('Lookup 1961'!$F$2:$F$1300, MATCH(S656, 'Lookup 1961'!$B$2:$B$1300,0))</f>
        <v>e260790</v>
      </c>
      <c r="X656" s="11" t="str">
        <f>INDEX('Lookup 1961'!$C$2:$C$1300, MATCH(V656, 'Lookup 1961'!$A$2:$A$1300,0))</f>
        <v>Northamptonshire</v>
      </c>
    </row>
    <row r="657" spans="1:24" ht="25.05" customHeight="1" x14ac:dyDescent="0.3">
      <c r="A657" s="2" t="s">
        <v>632</v>
      </c>
      <c r="B657" s="2" t="s">
        <v>632</v>
      </c>
      <c r="C657" s="1">
        <v>30</v>
      </c>
      <c r="D657" s="1">
        <v>9</v>
      </c>
      <c r="E657" s="1">
        <v>19</v>
      </c>
      <c r="F657" s="1">
        <v>10</v>
      </c>
      <c r="K657" s="6">
        <v>1311</v>
      </c>
      <c r="L657" s="6">
        <v>342756</v>
      </c>
      <c r="M657" s="1">
        <v>152.80000000000001</v>
      </c>
      <c r="N657" s="1">
        <v>13</v>
      </c>
      <c r="O657" s="1">
        <v>2</v>
      </c>
      <c r="P657" s="1">
        <v>61.3</v>
      </c>
      <c r="Q657" s="11">
        <f>'Table H'!$J$140</f>
        <v>0.84416898760711268</v>
      </c>
      <c r="R657" s="11">
        <f t="shared" si="20"/>
        <v>289343.98551626352</v>
      </c>
      <c r="S657" s="11" t="str">
        <f t="shared" si="21"/>
        <v>Corby UD</v>
      </c>
      <c r="T657" s="11" t="s">
        <v>5214</v>
      </c>
      <c r="V657" s="11" t="str">
        <f>INDEX('Lookup 1961'!$A$2:$A$1300, MATCH(S657, 'Lookup 1961'!$B$2:$B$1300,0))</f>
        <v>J04000348</v>
      </c>
      <c r="W657" s="11" t="str">
        <f>INDEX('Lookup 1961'!$F$2:$F$1300, MATCH(S657, 'Lookup 1961'!$B$2:$B$1300,0))</f>
        <v>e260791</v>
      </c>
      <c r="X657" s="11" t="str">
        <f>INDEX('Lookup 1961'!$C$2:$C$1300, MATCH(V657, 'Lookup 1961'!$A$2:$A$1300,0))</f>
        <v>Northamptonshire</v>
      </c>
    </row>
    <row r="658" spans="1:24" ht="25.05" customHeight="1" x14ac:dyDescent="0.3">
      <c r="A658" s="2" t="s">
        <v>633</v>
      </c>
      <c r="B658" s="2" t="s">
        <v>633</v>
      </c>
      <c r="C658" s="1">
        <v>25</v>
      </c>
      <c r="D658" s="1">
        <v>4</v>
      </c>
      <c r="E658" s="1">
        <v>16</v>
      </c>
      <c r="F658" s="1">
        <v>6</v>
      </c>
      <c r="K658" s="1">
        <v>170</v>
      </c>
      <c r="L658" s="6">
        <v>49002</v>
      </c>
      <c r="M658" s="1">
        <v>97</v>
      </c>
      <c r="N658" s="1">
        <v>7</v>
      </c>
      <c r="O658" s="1">
        <v>18</v>
      </c>
      <c r="P658" s="1">
        <v>31.5</v>
      </c>
      <c r="Q658" s="11">
        <f>'Table H'!$J$140</f>
        <v>0.84416898760711268</v>
      </c>
      <c r="R658" s="11">
        <f t="shared" si="20"/>
        <v>41365.968730723733</v>
      </c>
      <c r="S658" s="11" t="str">
        <f t="shared" si="21"/>
        <v>Desborough UD</v>
      </c>
      <c r="T658" s="11" t="s">
        <v>5214</v>
      </c>
      <c r="V658" s="11" t="str">
        <f>INDEX('Lookup 1961'!$A$2:$A$1300, MATCH(S658, 'Lookup 1961'!$B$2:$B$1300,0))</f>
        <v>J04000403</v>
      </c>
      <c r="W658" s="11" t="str">
        <f>INDEX('Lookup 1961'!$F$2:$F$1300, MATCH(S658, 'Lookup 1961'!$B$2:$B$1300,0))</f>
        <v>e260794</v>
      </c>
      <c r="X658" s="11" t="str">
        <f>INDEX('Lookup 1961'!$C$2:$C$1300, MATCH(V658, 'Lookup 1961'!$A$2:$A$1300,0))</f>
        <v>Northamptonshire</v>
      </c>
    </row>
    <row r="659" spans="1:24" ht="25.05" customHeight="1" x14ac:dyDescent="0.3">
      <c r="A659" s="2" t="s">
        <v>634</v>
      </c>
      <c r="B659" s="2" t="s">
        <v>634</v>
      </c>
      <c r="C659" s="1">
        <v>25</v>
      </c>
      <c r="D659" s="1">
        <v>2</v>
      </c>
      <c r="E659" s="1">
        <v>16</v>
      </c>
      <c r="F659" s="1">
        <v>10</v>
      </c>
      <c r="K659" s="1">
        <v>183</v>
      </c>
      <c r="L659" s="6">
        <v>47106</v>
      </c>
      <c r="M659" s="1">
        <v>95.9</v>
      </c>
      <c r="N659" s="1">
        <v>7</v>
      </c>
      <c r="O659" s="1">
        <v>11</v>
      </c>
      <c r="P659" s="1">
        <v>34.299999999999997</v>
      </c>
      <c r="Q659" s="11">
        <f>'Table H'!$J$140</f>
        <v>0.84416898760711268</v>
      </c>
      <c r="R659" s="11">
        <f t="shared" si="20"/>
        <v>39765.424330220652</v>
      </c>
      <c r="S659" s="11" t="str">
        <f t="shared" si="21"/>
        <v>Irthlingborough UD</v>
      </c>
      <c r="T659" s="11" t="s">
        <v>5214</v>
      </c>
      <c r="V659" s="11" t="str">
        <f>INDEX('Lookup 1961'!$A$2:$A$1300, MATCH(S659, 'Lookup 1961'!$B$2:$B$1300,0))</f>
        <v>J04000673</v>
      </c>
      <c r="W659" s="11" t="str">
        <f>INDEX('Lookup 1961'!$F$2:$F$1300, MATCH(S659, 'Lookup 1961'!$B$2:$B$1300,0))</f>
        <v>e260796</v>
      </c>
      <c r="X659" s="11" t="str">
        <f>INDEX('Lookup 1961'!$C$2:$C$1300, MATCH(V659, 'Lookup 1961'!$A$2:$A$1300,0))</f>
        <v>Northamptonshire</v>
      </c>
    </row>
    <row r="660" spans="1:24" ht="25.05" customHeight="1" x14ac:dyDescent="0.3">
      <c r="A660" s="2" t="s">
        <v>635</v>
      </c>
      <c r="B660" s="2" t="s">
        <v>635</v>
      </c>
      <c r="C660" s="1">
        <v>21</v>
      </c>
      <c r="D660" s="1">
        <v>0</v>
      </c>
      <c r="E660" s="1">
        <v>15</v>
      </c>
      <c r="F660" s="1">
        <v>6</v>
      </c>
      <c r="K660" s="1">
        <v>112</v>
      </c>
      <c r="L660" s="6">
        <v>29070</v>
      </c>
      <c r="M660" s="1">
        <v>45.1</v>
      </c>
      <c r="N660" s="1">
        <v>6</v>
      </c>
      <c r="O660" s="1">
        <v>19</v>
      </c>
      <c r="P660" s="1">
        <v>5.9</v>
      </c>
      <c r="Q660" s="11">
        <f>'Table H'!$J$140</f>
        <v>0.84416898760711268</v>
      </c>
      <c r="R660" s="11">
        <f t="shared" si="20"/>
        <v>24539.992469738765</v>
      </c>
      <c r="S660" s="11" t="str">
        <f t="shared" si="21"/>
        <v>Oundle UD</v>
      </c>
      <c r="T660" s="11" t="s">
        <v>5214</v>
      </c>
      <c r="V660" s="11" t="str">
        <f>INDEX('Lookup 1961'!$A$2:$A$1300, MATCH(S660, 'Lookup 1961'!$B$2:$B$1300,0))</f>
        <v>J04000966</v>
      </c>
      <c r="W660" s="11" t="str">
        <f>INDEX('Lookup 1961'!$F$2:$F$1300, MATCH(S660, 'Lookup 1961'!$B$2:$B$1300,0))</f>
        <v>e260798</v>
      </c>
      <c r="X660" s="11" t="str">
        <f>INDEX('Lookup 1961'!$C$2:$C$1300, MATCH(V660, 'Lookup 1961'!$A$2:$A$1300,0))</f>
        <v>Northamptonshire</v>
      </c>
    </row>
    <row r="661" spans="1:24" ht="25.05" customHeight="1" x14ac:dyDescent="0.3">
      <c r="A661" s="2" t="s">
        <v>636</v>
      </c>
      <c r="B661" s="2" t="s">
        <v>636</v>
      </c>
      <c r="C661" s="1">
        <v>23</v>
      </c>
      <c r="D661" s="1">
        <v>0</v>
      </c>
      <c r="E661" s="1">
        <v>16</v>
      </c>
      <c r="F661" s="1">
        <v>0</v>
      </c>
      <c r="K661" s="1">
        <v>143</v>
      </c>
      <c r="L661" s="6">
        <v>37182</v>
      </c>
      <c r="M661" s="1">
        <v>76.8</v>
      </c>
      <c r="N661" s="1">
        <v>5</v>
      </c>
      <c r="O661" s="1">
        <v>19</v>
      </c>
      <c r="P661" s="1">
        <v>23.2</v>
      </c>
      <c r="Q661" s="11">
        <f>'Table H'!$J$140</f>
        <v>0.84416898760711268</v>
      </c>
      <c r="R661" s="11">
        <f t="shared" si="20"/>
        <v>31387.891297207665</v>
      </c>
      <c r="S661" s="11" t="str">
        <f t="shared" si="21"/>
        <v>Raunds UD</v>
      </c>
      <c r="T661" s="11" t="s">
        <v>5214</v>
      </c>
      <c r="V661" s="11" t="str">
        <f>INDEX('Lookup 1961'!$A$2:$A$1300, MATCH(S661, 'Lookup 1961'!$B$2:$B$1300,0))</f>
        <v>J04001032</v>
      </c>
      <c r="W661" s="11" t="str">
        <f>INDEX('Lookup 1961'!$F$2:$F$1300, MATCH(S661, 'Lookup 1961'!$B$2:$B$1300,0))</f>
        <v>e260799</v>
      </c>
      <c r="X661" s="11" t="str">
        <f>INDEX('Lookup 1961'!$C$2:$C$1300, MATCH(V661, 'Lookup 1961'!$A$2:$A$1300,0))</f>
        <v>Northamptonshire</v>
      </c>
    </row>
    <row r="662" spans="1:24" ht="25.05" customHeight="1" x14ac:dyDescent="0.3">
      <c r="A662" s="2" t="s">
        <v>637</v>
      </c>
      <c r="B662" s="2" t="s">
        <v>637</v>
      </c>
      <c r="C662" s="1">
        <v>26</v>
      </c>
      <c r="D662" s="1">
        <v>6</v>
      </c>
      <c r="E662" s="1">
        <v>17</v>
      </c>
      <c r="F662" s="1">
        <v>4</v>
      </c>
      <c r="K662" s="1">
        <v>192</v>
      </c>
      <c r="L662" s="6">
        <v>48533</v>
      </c>
      <c r="M662" s="1">
        <v>117.3</v>
      </c>
      <c r="N662" s="1">
        <v>8</v>
      </c>
      <c r="O662" s="1">
        <v>9</v>
      </c>
      <c r="P662" s="1">
        <v>46.9</v>
      </c>
      <c r="Q662" s="11">
        <f>'Table H'!$J$140</f>
        <v>0.84416898760711268</v>
      </c>
      <c r="R662" s="11">
        <f t="shared" si="20"/>
        <v>40970.053475535999</v>
      </c>
      <c r="S662" s="11" t="str">
        <f t="shared" si="21"/>
        <v>Rothwell UD</v>
      </c>
      <c r="T662" s="11" t="s">
        <v>5214</v>
      </c>
      <c r="V662" s="11" t="str">
        <f>INDEX('Lookup 1961'!$A$2:$A$1300, MATCH(S662, 'Lookup 1961'!$B$2:$B$1300,0))</f>
        <v>J04001069</v>
      </c>
      <c r="W662" s="11" t="str">
        <f>INDEX('Lookup 1961'!$F$2:$F$1300, MATCH(S662, 'Lookup 1961'!$B$2:$B$1300,0))</f>
        <v>e260800</v>
      </c>
      <c r="X662" s="11" t="str">
        <f>INDEX('Lookup 1961'!$C$2:$C$1300, MATCH(V662, 'Lookup 1961'!$A$2:$A$1300,0))</f>
        <v>Northamptonshire</v>
      </c>
    </row>
    <row r="663" spans="1:24" ht="25.05" customHeight="1" x14ac:dyDescent="0.3">
      <c r="A663" s="2" t="s">
        <v>638</v>
      </c>
      <c r="B663" s="2" t="s">
        <v>638</v>
      </c>
      <c r="C663" s="1">
        <v>29</v>
      </c>
      <c r="D663" s="1">
        <v>0</v>
      </c>
      <c r="E663" s="1">
        <v>18</v>
      </c>
      <c r="F663" s="1">
        <v>6</v>
      </c>
      <c r="K663" s="1">
        <v>735</v>
      </c>
      <c r="L663" s="6">
        <v>185061</v>
      </c>
      <c r="M663" s="1">
        <v>93.9</v>
      </c>
      <c r="N663" s="1">
        <v>10</v>
      </c>
      <c r="O663" s="1">
        <v>0</v>
      </c>
      <c r="P663" s="1">
        <v>25.6</v>
      </c>
      <c r="Q663" s="11">
        <f>'Table H'!$J$140</f>
        <v>0.84416898760711268</v>
      </c>
      <c r="R663" s="11">
        <f t="shared" si="20"/>
        <v>156222.75701555988</v>
      </c>
      <c r="S663" s="11" t="str">
        <f t="shared" si="21"/>
        <v>Rushden UD</v>
      </c>
      <c r="T663" s="11" t="s">
        <v>5214</v>
      </c>
      <c r="V663" s="11" t="str">
        <f>INDEX('Lookup 1961'!$A$2:$A$1300, MATCH(S663, 'Lookup 1961'!$B$2:$B$1300,0))</f>
        <v>J04001083</v>
      </c>
      <c r="W663" s="11" t="str">
        <f>INDEX('Lookup 1961'!$F$2:$F$1300, MATCH(S663, 'Lookup 1961'!$B$2:$B$1300,0))</f>
        <v>e260801</v>
      </c>
      <c r="X663" s="11" t="str">
        <f>INDEX('Lookup 1961'!$C$2:$C$1300, MATCH(V663, 'Lookup 1961'!$A$2:$A$1300,0))</f>
        <v>Northamptonshire</v>
      </c>
    </row>
    <row r="664" spans="1:24" ht="25.05" customHeight="1" x14ac:dyDescent="0.3">
      <c r="A664" s="2" t="s">
        <v>639</v>
      </c>
      <c r="B664" s="2" t="s">
        <v>639</v>
      </c>
      <c r="C664" s="1">
        <v>28</v>
      </c>
      <c r="D664" s="1">
        <v>2</v>
      </c>
      <c r="E664" s="1">
        <v>18</v>
      </c>
      <c r="F664" s="1">
        <v>0</v>
      </c>
      <c r="K664" s="6">
        <v>1360</v>
      </c>
      <c r="L664" s="6">
        <v>344998</v>
      </c>
      <c r="M664" s="1">
        <v>96.5</v>
      </c>
      <c r="N664" s="1">
        <v>10</v>
      </c>
      <c r="O664" s="1">
        <v>7</v>
      </c>
      <c r="P664" s="1">
        <v>26.6</v>
      </c>
      <c r="Q664" s="11">
        <f>'Table H'!$J$140</f>
        <v>0.84416898760711268</v>
      </c>
      <c r="R664" s="11">
        <f t="shared" si="20"/>
        <v>291236.61238647864</v>
      </c>
      <c r="S664" s="11" t="str">
        <f t="shared" si="21"/>
        <v>Wellingborough UD</v>
      </c>
      <c r="T664" s="11" t="s">
        <v>5214</v>
      </c>
      <c r="V664" s="11" t="str">
        <f>INDEX('Lookup 1961'!$A$2:$A$1300, MATCH(S664, 'Lookup 1961'!$B$2:$B$1300,0))</f>
        <v>J04001362</v>
      </c>
      <c r="W664" s="11" t="str">
        <f>INDEX('Lookup 1961'!$F$2:$F$1300, MATCH(S664, 'Lookup 1961'!$B$2:$B$1300,0))</f>
        <v>e260802</v>
      </c>
      <c r="X664" s="11" t="str">
        <f>INDEX('Lookup 1961'!$C$2:$C$1300, MATCH(V664, 'Lookup 1961'!$A$2:$A$1300,0))</f>
        <v>Northamptonshire</v>
      </c>
    </row>
    <row r="665" spans="1:24" ht="25.05" customHeight="1" x14ac:dyDescent="0.3">
      <c r="A665" s="2" t="s">
        <v>640</v>
      </c>
      <c r="B665" s="2" t="s">
        <v>640</v>
      </c>
      <c r="S665" s="11" t="str">
        <f t="shared" si="21"/>
        <v xml:space="preserve">NORTHUMBERLAND: </v>
      </c>
      <c r="V665" s="11" t="e">
        <f>INDEX('Lookup 1961'!$A$2:$A$1300, MATCH(S665, 'Lookup 1961'!$B$2:$B$1300,0))</f>
        <v>#N/A</v>
      </c>
      <c r="W665" s="11" t="e">
        <f>INDEX('Lookup 1961'!$F$2:$F$1300, MATCH(S665, 'Lookup 1961'!$B$2:$B$1300,0))</f>
        <v>#N/A</v>
      </c>
      <c r="X665" s="11" t="e">
        <f>INDEX('Lookup 1961'!$C$2:$C$1300, MATCH(V665, 'Lookup 1961'!$A$2:$A$1300,0))</f>
        <v>#N/A</v>
      </c>
    </row>
    <row r="666" spans="1:24" ht="25.05" customHeight="1" x14ac:dyDescent="0.3">
      <c r="A666" s="2" t="s">
        <v>146</v>
      </c>
      <c r="B666" s="2" t="s">
        <v>5257</v>
      </c>
      <c r="S666" s="11" t="str">
        <f t="shared" si="21"/>
        <v xml:space="preserve">Non County Boroughs  </v>
      </c>
      <c r="V666" s="11" t="e">
        <f>INDEX('Lookup 1961'!$A$2:$A$1300, MATCH(S666, 'Lookup 1961'!$B$2:$B$1300,0))</f>
        <v>#N/A</v>
      </c>
      <c r="W666" s="11" t="e">
        <f>INDEX('Lookup 1961'!$F$2:$F$1300, MATCH(S666, 'Lookup 1961'!$B$2:$B$1300,0))</f>
        <v>#N/A</v>
      </c>
      <c r="X666" s="11" t="e">
        <f>INDEX('Lookup 1961'!$C$2:$C$1300, MATCH(V666, 'Lookup 1961'!$A$2:$A$1300,0))</f>
        <v>#N/A</v>
      </c>
    </row>
    <row r="667" spans="1:24" ht="25.05" customHeight="1" x14ac:dyDescent="0.3">
      <c r="A667" s="2" t="s">
        <v>641</v>
      </c>
      <c r="B667" s="2" t="s">
        <v>3934</v>
      </c>
      <c r="C667" s="1">
        <v>23</v>
      </c>
      <c r="D667" s="1">
        <v>6</v>
      </c>
      <c r="E667" s="1">
        <v>17</v>
      </c>
      <c r="F667" s="1">
        <v>10</v>
      </c>
      <c r="K667" s="1">
        <v>498</v>
      </c>
      <c r="L667" s="6">
        <v>131458</v>
      </c>
      <c r="M667" s="1">
        <v>52.1</v>
      </c>
      <c r="N667" s="1">
        <v>8</v>
      </c>
      <c r="O667" s="1">
        <v>15</v>
      </c>
      <c r="P667" s="1">
        <v>14.4</v>
      </c>
      <c r="Q667" s="11">
        <f>'Table H'!$J$144</f>
        <v>0.9132268088535489</v>
      </c>
      <c r="R667" s="11">
        <f t="shared" si="20"/>
        <v>120050.96983826983</v>
      </c>
      <c r="S667" s="11" t="str">
        <f t="shared" si="21"/>
        <v>Berwick upon Tweed MB</v>
      </c>
      <c r="T667" s="11" t="s">
        <v>5211</v>
      </c>
      <c r="V667" s="11" t="str">
        <f>INDEX('Lookup 1961'!$A$2:$A$1300, MATCH(S667, 'Lookup 1961'!$B$2:$B$1300,0))</f>
        <v>J04000128</v>
      </c>
      <c r="W667" s="11" t="str">
        <f>INDEX('Lookup 1961'!$F$2:$F$1300, MATCH(S667, 'Lookup 1961'!$B$2:$B$1300,0))</f>
        <v>e270820</v>
      </c>
      <c r="X667" s="11" t="str">
        <f>INDEX('Lookup 1961'!$C$2:$C$1300, MATCH(V667, 'Lookup 1961'!$A$2:$A$1300,0))</f>
        <v>Northumberland</v>
      </c>
    </row>
    <row r="668" spans="1:24" ht="25.05" customHeight="1" x14ac:dyDescent="0.3">
      <c r="A668" s="2" t="s">
        <v>642</v>
      </c>
      <c r="B668" s="2" t="s">
        <v>642</v>
      </c>
      <c r="C668" s="1">
        <v>23</v>
      </c>
      <c r="D668" s="1">
        <v>10</v>
      </c>
      <c r="E668" s="1">
        <v>16</v>
      </c>
      <c r="F668" s="1">
        <v>6</v>
      </c>
      <c r="K668" s="6">
        <v>1142</v>
      </c>
      <c r="L668" s="6">
        <v>296850</v>
      </c>
      <c r="M668" s="1">
        <v>53.8</v>
      </c>
      <c r="N668" s="1">
        <v>6</v>
      </c>
      <c r="O668" s="1">
        <v>17</v>
      </c>
      <c r="P668" s="1">
        <v>6.3</v>
      </c>
      <c r="Q668" s="11">
        <f>'Table H'!$J$144</f>
        <v>0.9132268088535489</v>
      </c>
      <c r="R668" s="11">
        <f t="shared" si="20"/>
        <v>271091.378208176</v>
      </c>
      <c r="S668" s="11" t="str">
        <f t="shared" si="21"/>
        <v>Blyth MB</v>
      </c>
      <c r="T668" s="11" t="s">
        <v>5211</v>
      </c>
      <c r="V668" s="11" t="str">
        <f>INDEX('Lookup 1961'!$A$2:$A$1300, MATCH(S668, 'Lookup 1961'!$B$2:$B$1300,0))</f>
        <v>J04000166</v>
      </c>
      <c r="W668" s="11" t="str">
        <f>INDEX('Lookup 1961'!$F$2:$F$1300, MATCH(S668, 'Lookup 1961'!$B$2:$B$1300,0))</f>
        <v>e270821</v>
      </c>
      <c r="X668" s="11" t="str">
        <f>INDEX('Lookup 1961'!$C$2:$C$1300, MATCH(V668, 'Lookup 1961'!$A$2:$A$1300,0))</f>
        <v>Northumberland</v>
      </c>
    </row>
    <row r="669" spans="1:24" ht="25.05" customHeight="1" x14ac:dyDescent="0.3">
      <c r="A669" s="2" t="s">
        <v>643</v>
      </c>
      <c r="B669" s="2" t="s">
        <v>643</v>
      </c>
      <c r="C669" s="1">
        <v>23</v>
      </c>
      <c r="D669" s="1">
        <v>4</v>
      </c>
      <c r="E669" s="1">
        <v>15</v>
      </c>
      <c r="F669" s="1">
        <v>6</v>
      </c>
      <c r="K669" s="1">
        <v>478</v>
      </c>
      <c r="L669" s="6">
        <v>118329</v>
      </c>
      <c r="M669" s="1">
        <v>73.7</v>
      </c>
      <c r="N669" s="1">
        <v>8</v>
      </c>
      <c r="O669" s="1">
        <v>12</v>
      </c>
      <c r="P669" s="1">
        <v>20.100000000000001</v>
      </c>
      <c r="Q669" s="11">
        <f>'Table H'!$J$144</f>
        <v>0.9132268088535489</v>
      </c>
      <c r="R669" s="11">
        <f t="shared" si="20"/>
        <v>108061.21506483159</v>
      </c>
      <c r="S669" s="11" t="str">
        <f t="shared" si="21"/>
        <v>Morpeth MB</v>
      </c>
      <c r="T669" s="11" t="s">
        <v>5211</v>
      </c>
      <c r="V669" s="11" t="str">
        <f>INDEX('Lookup 1961'!$A$2:$A$1300, MATCH(S669, 'Lookup 1961'!$B$2:$B$1300,0))</f>
        <v>J04000870</v>
      </c>
      <c r="W669" s="11" t="str">
        <f>INDEX('Lookup 1961'!$F$2:$F$1300, MATCH(S669, 'Lookup 1961'!$B$2:$B$1300,0))</f>
        <v>e270825</v>
      </c>
      <c r="X669" s="11" t="str">
        <f>INDEX('Lookup 1961'!$C$2:$C$1300, MATCH(V669, 'Lookup 1961'!$A$2:$A$1300,0))</f>
        <v>Northumberland</v>
      </c>
    </row>
    <row r="670" spans="1:24" ht="25.05" customHeight="1" x14ac:dyDescent="0.3">
      <c r="A670" s="2" t="s">
        <v>644</v>
      </c>
      <c r="B670" s="2" t="s">
        <v>644</v>
      </c>
      <c r="C670" s="1">
        <v>23</v>
      </c>
      <c r="D670" s="1">
        <v>10</v>
      </c>
      <c r="E670" s="1">
        <v>17</v>
      </c>
      <c r="F670" s="1">
        <v>10</v>
      </c>
      <c r="K670" s="6">
        <v>1750</v>
      </c>
      <c r="L670" s="6">
        <v>450626</v>
      </c>
      <c r="M670" s="1">
        <v>64</v>
      </c>
      <c r="N670" s="1">
        <v>7</v>
      </c>
      <c r="O670" s="1">
        <v>18</v>
      </c>
      <c r="P670" s="1">
        <v>22.6</v>
      </c>
      <c r="Q670" s="11">
        <f>'Table H'!$J$144</f>
        <v>0.9132268088535489</v>
      </c>
      <c r="R670" s="11">
        <f t="shared" si="20"/>
        <v>411523.74396643933</v>
      </c>
      <c r="S670" s="11" t="str">
        <f t="shared" si="21"/>
        <v>Wallsend MB</v>
      </c>
      <c r="T670" s="11" t="s">
        <v>5211</v>
      </c>
      <c r="V670" s="11" t="str">
        <f>INDEX('Lookup 1961'!$A$2:$A$1300, MATCH(S670, 'Lookup 1961'!$B$2:$B$1300,0))</f>
        <v>J04001327</v>
      </c>
      <c r="W670" s="11" t="str">
        <f>INDEX('Lookup 1961'!$F$2:$F$1300, MATCH(S670, 'Lookup 1961'!$B$2:$B$1300,0))</f>
        <v>e270830</v>
      </c>
      <c r="X670" s="11" t="str">
        <f>INDEX('Lookup 1961'!$C$2:$C$1300, MATCH(V670, 'Lookup 1961'!$A$2:$A$1300,0))</f>
        <v>Tyne And Wear</v>
      </c>
    </row>
    <row r="671" spans="1:24" ht="25.05" customHeight="1" x14ac:dyDescent="0.3">
      <c r="A671" s="2" t="s">
        <v>645</v>
      </c>
      <c r="B671" s="2" t="s">
        <v>645</v>
      </c>
      <c r="C671" s="1">
        <v>21</v>
      </c>
      <c r="D671" s="1">
        <v>0</v>
      </c>
      <c r="E671" s="1">
        <v>16</v>
      </c>
      <c r="F671" s="1">
        <v>2</v>
      </c>
      <c r="K671" s="6">
        <v>1750</v>
      </c>
      <c r="L671" s="6">
        <v>443470</v>
      </c>
      <c r="M671" s="1">
        <v>40.700000000000003</v>
      </c>
      <c r="N671" s="1">
        <v>10</v>
      </c>
      <c r="O671" s="1">
        <v>19</v>
      </c>
      <c r="P671" s="1">
        <v>7.9</v>
      </c>
      <c r="Q671" s="11">
        <f>'Table H'!$J$144</f>
        <v>0.9132268088535489</v>
      </c>
      <c r="R671" s="11">
        <f t="shared" si="20"/>
        <v>404988.69292228331</v>
      </c>
      <c r="S671" s="11" t="str">
        <f t="shared" si="21"/>
        <v>Whitley Bay MB</v>
      </c>
      <c r="T671" s="11" t="s">
        <v>5211</v>
      </c>
      <c r="V671" s="11" t="str">
        <f>INDEX('Lookup 1961'!$A$2:$A$1300, MATCH(S671, 'Lookup 1961'!$B$2:$B$1300,0))</f>
        <v>J04001404</v>
      </c>
      <c r="W671" s="11" t="str">
        <f>INDEX('Lookup 1961'!$F$2:$F$1300, MATCH(S671, 'Lookup 1961'!$B$2:$B$1300,0))</f>
        <v>e270831</v>
      </c>
      <c r="X671" s="11" t="str">
        <f>INDEX('Lookup 1961'!$C$2:$C$1300, MATCH(V671, 'Lookup 1961'!$A$2:$A$1300,0))</f>
        <v>Tyne And Wear</v>
      </c>
    </row>
    <row r="672" spans="1:24" ht="25.05" customHeight="1" x14ac:dyDescent="0.3">
      <c r="A672" s="2" t="s">
        <v>150</v>
      </c>
      <c r="B672" s="2" t="s">
        <v>1221</v>
      </c>
      <c r="S672" s="11" t="str">
        <f t="shared" si="21"/>
        <v xml:space="preserve">Urban Districts  </v>
      </c>
      <c r="V672" s="11" t="e">
        <f>INDEX('Lookup 1961'!$A$2:$A$1300, MATCH(S672, 'Lookup 1961'!$B$2:$B$1300,0))</f>
        <v>#N/A</v>
      </c>
      <c r="W672" s="11" t="e">
        <f>INDEX('Lookup 1961'!$F$2:$F$1300, MATCH(S672, 'Lookup 1961'!$B$2:$B$1300,0))</f>
        <v>#N/A</v>
      </c>
      <c r="X672" s="11" t="e">
        <f>INDEX('Lookup 1961'!$C$2:$C$1300, MATCH(V672, 'Lookup 1961'!$A$2:$A$1300,0))</f>
        <v>#N/A</v>
      </c>
    </row>
    <row r="673" spans="1:24" ht="25.05" customHeight="1" x14ac:dyDescent="0.3">
      <c r="A673" s="2" t="s">
        <v>646</v>
      </c>
      <c r="B673" s="2" t="s">
        <v>646</v>
      </c>
      <c r="C673" s="1">
        <v>25</v>
      </c>
      <c r="D673" s="1">
        <v>10</v>
      </c>
      <c r="E673" s="1">
        <v>14</v>
      </c>
      <c r="F673" s="1">
        <v>6</v>
      </c>
      <c r="K673" s="1">
        <v>325</v>
      </c>
      <c r="L673" s="6">
        <v>81614</v>
      </c>
      <c r="M673" s="1">
        <v>73.5</v>
      </c>
      <c r="N673" s="1">
        <v>7</v>
      </c>
      <c r="O673" s="1">
        <v>15</v>
      </c>
      <c r="P673" s="1">
        <v>15.1</v>
      </c>
      <c r="Q673" s="11">
        <f>'Table H'!$J$145</f>
        <v>0.90377878270868217</v>
      </c>
      <c r="R673" s="11">
        <f t="shared" si="20"/>
        <v>73761.001571986388</v>
      </c>
      <c r="S673" s="11" t="str">
        <f t="shared" si="21"/>
        <v>Alnwick UD</v>
      </c>
      <c r="T673" s="11" t="s">
        <v>5214</v>
      </c>
      <c r="V673" s="11" t="str">
        <f>INDEX('Lookup 1961'!$A$2:$A$1300, MATCH(S673, 'Lookup 1961'!$B$2:$B$1300,0))</f>
        <v>J04000029</v>
      </c>
      <c r="W673" s="11" t="str">
        <f>INDEX('Lookup 1961'!$F$2:$F$1300, MATCH(S673, 'Lookup 1961'!$B$2:$B$1300,0))</f>
        <v>e270816</v>
      </c>
      <c r="X673" s="11" t="str">
        <f>INDEX('Lookup 1961'!$C$2:$C$1300, MATCH(V673, 'Lookup 1961'!$A$2:$A$1300,0))</f>
        <v>Northumberland</v>
      </c>
    </row>
    <row r="674" spans="1:24" ht="25.05" customHeight="1" x14ac:dyDescent="0.3">
      <c r="A674" s="2" t="s">
        <v>647</v>
      </c>
      <c r="B674" s="2" t="s">
        <v>647</v>
      </c>
      <c r="C674" s="1">
        <v>22</v>
      </c>
      <c r="D674" s="1">
        <v>6</v>
      </c>
      <c r="E674" s="1">
        <v>16</v>
      </c>
      <c r="F674" s="1">
        <v>0</v>
      </c>
      <c r="K674" s="1">
        <v>164</v>
      </c>
      <c r="L674" s="6">
        <v>41108</v>
      </c>
      <c r="M674" s="1">
        <v>75.7</v>
      </c>
      <c r="N674" s="1">
        <v>6</v>
      </c>
      <c r="O674" s="1">
        <v>11</v>
      </c>
      <c r="P674" s="1">
        <v>22.2</v>
      </c>
      <c r="Q674" s="11">
        <f>'Table H'!$J$145</f>
        <v>0.90377878270868217</v>
      </c>
      <c r="R674" s="11">
        <f t="shared" si="20"/>
        <v>37152.538199588504</v>
      </c>
      <c r="S674" s="11" t="str">
        <f t="shared" si="21"/>
        <v>Amble UD</v>
      </c>
      <c r="T674" s="11" t="s">
        <v>5214</v>
      </c>
      <c r="V674" s="11" t="str">
        <f>INDEX('Lookup 1961'!$A$2:$A$1300, MATCH(S674, 'Lookup 1961'!$B$2:$B$1300,0))</f>
        <v>J04000035</v>
      </c>
      <c r="W674" s="11" t="str">
        <f>INDEX('Lookup 1961'!$F$2:$F$1300, MATCH(S674, 'Lookup 1961'!$B$2:$B$1300,0))</f>
        <v>e270817</v>
      </c>
      <c r="X674" s="11" t="str">
        <f>INDEX('Lookup 1961'!$C$2:$C$1300, MATCH(V674, 'Lookup 1961'!$A$2:$A$1300,0))</f>
        <v>Northumberland</v>
      </c>
    </row>
    <row r="675" spans="1:24" ht="25.05" customHeight="1" x14ac:dyDescent="0.3">
      <c r="A675" s="2" t="s">
        <v>648</v>
      </c>
      <c r="B675" s="2" t="s">
        <v>648</v>
      </c>
      <c r="C675" s="1">
        <v>23</v>
      </c>
      <c r="D675" s="1">
        <v>0</v>
      </c>
      <c r="E675" s="1">
        <v>16</v>
      </c>
      <c r="F675" s="1">
        <v>8</v>
      </c>
      <c r="K675" s="1">
        <v>895</v>
      </c>
      <c r="L675" s="6">
        <v>236130</v>
      </c>
      <c r="M675" s="1">
        <v>78.5</v>
      </c>
      <c r="N675" s="1">
        <v>6</v>
      </c>
      <c r="O675" s="1">
        <v>9</v>
      </c>
      <c r="P675" s="1">
        <v>30.3</v>
      </c>
      <c r="Q675" s="11">
        <f>'Table H'!$J$145</f>
        <v>0.90377878270868217</v>
      </c>
      <c r="R675" s="11">
        <f t="shared" si="20"/>
        <v>213409.28396100111</v>
      </c>
      <c r="S675" s="11" t="str">
        <f t="shared" si="21"/>
        <v>Ashington UD</v>
      </c>
      <c r="T675" s="11" t="s">
        <v>5214</v>
      </c>
      <c r="V675" s="11" t="str">
        <f>INDEX('Lookup 1961'!$A$2:$A$1300, MATCH(S675, 'Lookup 1961'!$B$2:$B$1300,0))</f>
        <v>J04000055</v>
      </c>
      <c r="W675" s="11" t="str">
        <f>INDEX('Lookup 1961'!$F$2:$F$1300, MATCH(S675, 'Lookup 1961'!$B$2:$B$1300,0))</f>
        <v>e270818</v>
      </c>
      <c r="X675" s="11" t="str">
        <f>INDEX('Lookup 1961'!$C$2:$C$1300, MATCH(V675, 'Lookup 1961'!$A$2:$A$1300,0))</f>
        <v>Northumberland</v>
      </c>
    </row>
    <row r="676" spans="1:24" ht="25.05" customHeight="1" x14ac:dyDescent="0.3">
      <c r="A676" s="2" t="s">
        <v>649</v>
      </c>
      <c r="B676" s="2" t="s">
        <v>649</v>
      </c>
      <c r="C676" s="1">
        <v>22</v>
      </c>
      <c r="D676" s="1">
        <v>8</v>
      </c>
      <c r="E676" s="1">
        <v>16</v>
      </c>
      <c r="F676" s="1">
        <v>0</v>
      </c>
      <c r="K676" s="1">
        <v>800</v>
      </c>
      <c r="L676" s="6">
        <v>218957</v>
      </c>
      <c r="M676" s="1">
        <v>81.8</v>
      </c>
      <c r="N676" s="1">
        <v>5</v>
      </c>
      <c r="O676" s="1">
        <v>12</v>
      </c>
      <c r="P676" s="1">
        <v>28.4</v>
      </c>
      <c r="Q676" s="11">
        <f>'Table H'!$J$145</f>
        <v>0.90377878270868217</v>
      </c>
      <c r="R676" s="11">
        <f t="shared" si="20"/>
        <v>197888.69092554491</v>
      </c>
      <c r="S676" s="11" t="str">
        <f t="shared" si="21"/>
        <v>Bedlingtonshire UD</v>
      </c>
      <c r="T676" s="11" t="s">
        <v>5214</v>
      </c>
      <c r="V676" s="11" t="str">
        <f>INDEX('Lookup 1961'!$A$2:$A$1300, MATCH(S676, 'Lookup 1961'!$B$2:$B$1300,0))</f>
        <v>J04000114</v>
      </c>
      <c r="W676" s="11" t="str">
        <f>INDEX('Lookup 1961'!$F$2:$F$1300, MATCH(S676, 'Lookup 1961'!$B$2:$B$1300,0))</f>
        <v>e270819</v>
      </c>
      <c r="X676" s="11" t="str">
        <f>INDEX('Lookup 1961'!$C$2:$C$1300, MATCH(V676, 'Lookup 1961'!$A$2:$A$1300,0))</f>
        <v>Northumberland</v>
      </c>
    </row>
    <row r="677" spans="1:24" ht="25.05" customHeight="1" x14ac:dyDescent="0.3">
      <c r="A677" s="2" t="s">
        <v>650</v>
      </c>
      <c r="B677" s="2" t="s">
        <v>650</v>
      </c>
      <c r="C677" s="1">
        <v>19</v>
      </c>
      <c r="D677" s="1">
        <v>8</v>
      </c>
      <c r="E677" s="1">
        <v>14</v>
      </c>
      <c r="F677" s="1">
        <v>0</v>
      </c>
      <c r="K677" s="6">
        <v>1309</v>
      </c>
      <c r="L677" s="6">
        <v>323827</v>
      </c>
      <c r="M677" s="1">
        <v>32</v>
      </c>
      <c r="N677" s="1">
        <v>9</v>
      </c>
      <c r="O677" s="1">
        <v>6</v>
      </c>
      <c r="P677" s="1">
        <v>-3.8</v>
      </c>
      <c r="Q677" s="11">
        <f>'Table H'!$J$145</f>
        <v>0.90377878270868217</v>
      </c>
      <c r="R677" s="11">
        <f t="shared" si="20"/>
        <v>292667.97186820442</v>
      </c>
      <c r="S677" s="11" t="str">
        <f t="shared" si="21"/>
        <v>Gosforth UD</v>
      </c>
      <c r="T677" s="11" t="s">
        <v>5214</v>
      </c>
      <c r="V677" s="11" t="str">
        <f>INDEX('Lookup 1961'!$A$2:$A$1300, MATCH(S677, 'Lookup 1961'!$B$2:$B$1300,0))</f>
        <v>J04000544</v>
      </c>
      <c r="W677" s="11" t="str">
        <f>INDEX('Lookup 1961'!$F$2:$F$1300, MATCH(S677, 'Lookup 1961'!$B$2:$B$1300,0))</f>
        <v>e270822</v>
      </c>
      <c r="X677" s="11" t="str">
        <f>INDEX('Lookup 1961'!$C$2:$C$1300, MATCH(V677, 'Lookup 1961'!$A$2:$A$1300,0))</f>
        <v>Tyne And Wear</v>
      </c>
    </row>
    <row r="678" spans="1:24" ht="25.05" customHeight="1" x14ac:dyDescent="0.3">
      <c r="A678" s="2" t="s">
        <v>651</v>
      </c>
      <c r="B678" s="2" t="s">
        <v>651</v>
      </c>
      <c r="C678" s="1">
        <v>22</v>
      </c>
      <c r="D678" s="1">
        <v>3</v>
      </c>
      <c r="E678" s="1">
        <v>15</v>
      </c>
      <c r="F678" s="1">
        <v>9</v>
      </c>
      <c r="K678" s="1">
        <v>533</v>
      </c>
      <c r="L678" s="6">
        <v>135912</v>
      </c>
      <c r="M678" s="1">
        <v>60.8</v>
      </c>
      <c r="N678" s="1">
        <v>11</v>
      </c>
      <c r="O678" s="1">
        <v>19</v>
      </c>
      <c r="P678" s="1">
        <v>19</v>
      </c>
      <c r="Q678" s="11">
        <f>'Table H'!$J$145</f>
        <v>0.90377878270868217</v>
      </c>
      <c r="R678" s="11">
        <f t="shared" si="20"/>
        <v>122834.38191550241</v>
      </c>
      <c r="S678" s="11" t="str">
        <f t="shared" si="21"/>
        <v>Hexham UD</v>
      </c>
      <c r="T678" s="11" t="s">
        <v>5214</v>
      </c>
      <c r="V678" s="11" t="str">
        <f>INDEX('Lookup 1961'!$A$2:$A$1300, MATCH(S678, 'Lookup 1961'!$B$2:$B$1300,0))</f>
        <v>J04000619</v>
      </c>
      <c r="W678" s="11" t="str">
        <f>INDEX('Lookup 1961'!$F$2:$F$1300, MATCH(S678, 'Lookup 1961'!$B$2:$B$1300,0))</f>
        <v>e270823</v>
      </c>
      <c r="X678" s="11" t="str">
        <f>INDEX('Lookup 1961'!$C$2:$C$1300, MATCH(V678, 'Lookup 1961'!$A$2:$A$1300,0))</f>
        <v>Northumberland</v>
      </c>
    </row>
    <row r="679" spans="1:24" ht="25.05" customHeight="1" x14ac:dyDescent="0.3">
      <c r="A679" s="2" t="s">
        <v>652</v>
      </c>
      <c r="B679" s="2" t="s">
        <v>652</v>
      </c>
      <c r="C679" s="1">
        <v>22</v>
      </c>
      <c r="D679" s="1">
        <v>0</v>
      </c>
      <c r="E679" s="1">
        <v>15</v>
      </c>
      <c r="F679" s="1">
        <v>4</v>
      </c>
      <c r="K679" s="6">
        <v>1275</v>
      </c>
      <c r="L679" s="6">
        <v>319979</v>
      </c>
      <c r="M679" s="1">
        <v>81</v>
      </c>
      <c r="N679" s="1">
        <v>5</v>
      </c>
      <c r="O679" s="1">
        <v>13</v>
      </c>
      <c r="P679" s="1">
        <v>8.3000000000000007</v>
      </c>
      <c r="Q679" s="11">
        <f>'Table H'!$J$145</f>
        <v>0.90377878270868217</v>
      </c>
      <c r="R679" s="11">
        <f t="shared" si="20"/>
        <v>289190.2311123414</v>
      </c>
      <c r="S679" s="11" t="str">
        <f t="shared" si="21"/>
        <v>Longbenton UD</v>
      </c>
      <c r="T679" s="11" t="s">
        <v>5214</v>
      </c>
      <c r="V679" s="11" t="str">
        <f>INDEX('Lookup 1961'!$A$2:$A$1300, MATCH(S679, 'Lookup 1961'!$B$2:$B$1300,0))</f>
        <v>J04000777</v>
      </c>
      <c r="W679" s="11" t="str">
        <f>INDEX('Lookup 1961'!$F$2:$F$1300, MATCH(S679, 'Lookup 1961'!$B$2:$B$1300,0))</f>
        <v>e270824</v>
      </c>
      <c r="X679" s="11" t="str">
        <f>INDEX('Lookup 1961'!$C$2:$C$1300, MATCH(V679, 'Lookup 1961'!$A$2:$A$1300,0))</f>
        <v>Tyne And Wear</v>
      </c>
    </row>
    <row r="680" spans="1:24" ht="25.05" customHeight="1" x14ac:dyDescent="0.3">
      <c r="A680" s="2" t="s">
        <v>653</v>
      </c>
      <c r="B680" s="2" t="s">
        <v>5275</v>
      </c>
      <c r="C680" s="1">
        <v>23</v>
      </c>
      <c r="D680" s="1">
        <v>2</v>
      </c>
      <c r="E680" s="1">
        <v>17</v>
      </c>
      <c r="F680" s="1">
        <v>2</v>
      </c>
      <c r="K680" s="1">
        <v>266</v>
      </c>
      <c r="L680" s="6">
        <v>70721</v>
      </c>
      <c r="M680" s="1">
        <v>62.3</v>
      </c>
      <c r="N680" s="1">
        <v>5</v>
      </c>
      <c r="O680" s="1">
        <v>11</v>
      </c>
      <c r="P680" s="1">
        <v>14.4</v>
      </c>
      <c r="Q680" s="11">
        <f>'Table H'!$J$145</f>
        <v>0.90377878270868217</v>
      </c>
      <c r="R680" s="11">
        <f t="shared" si="20"/>
        <v>63916.139291940715</v>
      </c>
      <c r="S680" s="11" t="str">
        <f t="shared" si="21"/>
        <v>Newbiggin by the Sea UD</v>
      </c>
      <c r="T680" s="11" t="s">
        <v>5214</v>
      </c>
      <c r="V680" s="11" t="str">
        <f>INDEX('Lookup 1961'!$A$2:$A$1300, MATCH(S680, 'Lookup 1961'!$B$2:$B$1300,0))</f>
        <v>J04000894</v>
      </c>
      <c r="W680" s="11" t="str">
        <f>INDEX('Lookup 1961'!$F$2:$F$1300, MATCH(S680, 'Lookup 1961'!$B$2:$B$1300,0))</f>
        <v>e270826</v>
      </c>
      <c r="X680" s="11" t="str">
        <f>INDEX('Lookup 1961'!$C$2:$C$1300, MATCH(V680, 'Lookup 1961'!$A$2:$A$1300,0))</f>
        <v>Northumberland</v>
      </c>
    </row>
    <row r="681" spans="1:24" ht="25.05" customHeight="1" x14ac:dyDescent="0.3">
      <c r="A681" s="2" t="s">
        <v>654</v>
      </c>
      <c r="B681" s="2" t="s">
        <v>654</v>
      </c>
      <c r="C681" s="1">
        <v>22</v>
      </c>
      <c r="D681" s="1">
        <v>0</v>
      </c>
      <c r="E681" s="1">
        <v>15</v>
      </c>
      <c r="F681" s="1">
        <v>6</v>
      </c>
      <c r="K681" s="1">
        <v>785</v>
      </c>
      <c r="L681" s="6">
        <v>202297</v>
      </c>
      <c r="M681" s="1">
        <v>53.3</v>
      </c>
      <c r="N681" s="1">
        <v>6</v>
      </c>
      <c r="O681" s="1">
        <v>1</v>
      </c>
      <c r="P681" s="1">
        <v>8.6999999999999993</v>
      </c>
      <c r="Q681" s="11">
        <f>'Table H'!$J$145</f>
        <v>0.90377878270868217</v>
      </c>
      <c r="R681" s="11">
        <f t="shared" si="20"/>
        <v>182831.73640561829</v>
      </c>
      <c r="S681" s="11" t="str">
        <f t="shared" si="21"/>
        <v>Newburn UD</v>
      </c>
      <c r="T681" s="11" t="s">
        <v>5214</v>
      </c>
      <c r="V681" s="11" t="str">
        <f>INDEX('Lookup 1961'!$A$2:$A$1300, MATCH(S681, 'Lookup 1961'!$B$2:$B$1300,0))</f>
        <v>J04000895</v>
      </c>
      <c r="W681" s="11" t="str">
        <f>INDEX('Lookup 1961'!$F$2:$F$1300, MATCH(S681, 'Lookup 1961'!$B$2:$B$1300,0))</f>
        <v>e270827</v>
      </c>
      <c r="X681" s="11" t="str">
        <f>INDEX('Lookup 1961'!$C$2:$C$1300, MATCH(V681, 'Lookup 1961'!$A$2:$A$1300,0))</f>
        <v>Tyne And Wear</v>
      </c>
    </row>
    <row r="682" spans="1:24" ht="25.05" customHeight="1" x14ac:dyDescent="0.3">
      <c r="A682" s="2" t="s">
        <v>655</v>
      </c>
      <c r="B682" s="2" t="s">
        <v>655</v>
      </c>
      <c r="C682" s="1">
        <v>25</v>
      </c>
      <c r="D682" s="1">
        <v>8</v>
      </c>
      <c r="E682" s="1">
        <v>19</v>
      </c>
      <c r="F682" s="1">
        <v>10</v>
      </c>
      <c r="K682" s="1">
        <v>266</v>
      </c>
      <c r="L682" s="6">
        <v>67910</v>
      </c>
      <c r="M682" s="1">
        <v>48.6</v>
      </c>
      <c r="N682" s="1">
        <v>6</v>
      </c>
      <c r="O682" s="1">
        <v>17</v>
      </c>
      <c r="P682" s="1">
        <v>19.7</v>
      </c>
      <c r="Q682" s="11">
        <f>'Table H'!$J$145</f>
        <v>0.90377878270868217</v>
      </c>
      <c r="R682" s="11">
        <f t="shared" si="20"/>
        <v>61375.617133746608</v>
      </c>
      <c r="S682" s="11" t="str">
        <f t="shared" si="21"/>
        <v>Prudhoe UD</v>
      </c>
      <c r="T682" s="11" t="s">
        <v>5214</v>
      </c>
      <c r="V682" s="11" t="str">
        <f>INDEX('Lookup 1961'!$A$2:$A$1300, MATCH(S682, 'Lookup 1961'!$B$2:$B$1300,0))</f>
        <v>J04001022</v>
      </c>
      <c r="W682" s="11" t="str">
        <f>INDEX('Lookup 1961'!$F$2:$F$1300, MATCH(S682, 'Lookup 1961'!$B$2:$B$1300,0))</f>
        <v>e270828</v>
      </c>
      <c r="X682" s="11" t="str">
        <f>INDEX('Lookup 1961'!$C$2:$C$1300, MATCH(V682, 'Lookup 1961'!$A$2:$A$1300,0))</f>
        <v>Northumberland</v>
      </c>
    </row>
    <row r="683" spans="1:24" ht="25.05" customHeight="1" x14ac:dyDescent="0.3">
      <c r="A683" s="2" t="s">
        <v>656</v>
      </c>
      <c r="B683" s="2" t="s">
        <v>656</v>
      </c>
      <c r="C683" s="1">
        <v>23</v>
      </c>
      <c r="D683" s="1">
        <v>6</v>
      </c>
      <c r="E683" s="1">
        <v>17</v>
      </c>
      <c r="F683" s="1">
        <v>2</v>
      </c>
      <c r="K683" s="1">
        <v>650</v>
      </c>
      <c r="L683" s="6">
        <v>180060</v>
      </c>
      <c r="M683" s="1">
        <v>50.9</v>
      </c>
      <c r="N683" s="1">
        <v>5</v>
      </c>
      <c r="O683" s="1">
        <v>6</v>
      </c>
      <c r="P683" s="1">
        <v>7.9</v>
      </c>
      <c r="Q683" s="11">
        <f>'Table H'!$J$145</f>
        <v>0.90377878270868217</v>
      </c>
      <c r="R683" s="11">
        <f t="shared" si="20"/>
        <v>162734.40761452532</v>
      </c>
      <c r="S683" s="11" t="str">
        <f t="shared" si="21"/>
        <v>Seaton Valley UD</v>
      </c>
      <c r="T683" s="11" t="s">
        <v>5214</v>
      </c>
      <c r="V683" s="11" t="str">
        <f>INDEX('Lookup 1961'!$A$2:$A$1300, MATCH(S683, 'Lookup 1961'!$B$2:$B$1300,0))</f>
        <v>J04001113</v>
      </c>
      <c r="W683" s="11" t="str">
        <f>INDEX('Lookup 1961'!$F$2:$F$1300, MATCH(S683, 'Lookup 1961'!$B$2:$B$1300,0))</f>
        <v>e270829</v>
      </c>
      <c r="X683" s="11" t="str">
        <f>INDEX('Lookup 1961'!$C$2:$C$1300, MATCH(V683, 'Lookup 1961'!$A$2:$A$1300,0))</f>
        <v>Northumberland</v>
      </c>
    </row>
    <row r="684" spans="1:24" ht="25.05" customHeight="1" x14ac:dyDescent="0.3">
      <c r="A684" s="2" t="s">
        <v>657</v>
      </c>
      <c r="B684" s="2" t="s">
        <v>657</v>
      </c>
      <c r="S684" s="11" t="str">
        <f t="shared" si="21"/>
        <v xml:space="preserve">NOTTINGHAM: </v>
      </c>
      <c r="V684" s="11" t="e">
        <f>INDEX('Lookup 1961'!$A$2:$A$1300, MATCH(S684, 'Lookup 1961'!$B$2:$B$1300,0))</f>
        <v>#N/A</v>
      </c>
      <c r="W684" s="11" t="e">
        <f>INDEX('Lookup 1961'!$F$2:$F$1300, MATCH(S684, 'Lookup 1961'!$B$2:$B$1300,0))</f>
        <v>#N/A</v>
      </c>
      <c r="X684" s="11" t="e">
        <f>INDEX('Lookup 1961'!$C$2:$C$1300, MATCH(V684, 'Lookup 1961'!$A$2:$A$1300,0))</f>
        <v>#N/A</v>
      </c>
    </row>
    <row r="685" spans="1:24" ht="25.05" customHeight="1" x14ac:dyDescent="0.3">
      <c r="A685" s="2" t="s">
        <v>146</v>
      </c>
      <c r="B685" s="2" t="s">
        <v>5257</v>
      </c>
      <c r="S685" s="11" t="str">
        <f t="shared" si="21"/>
        <v xml:space="preserve">Non County Boroughs  </v>
      </c>
      <c r="V685" s="11" t="e">
        <f>INDEX('Lookup 1961'!$A$2:$A$1300, MATCH(S685, 'Lookup 1961'!$B$2:$B$1300,0))</f>
        <v>#N/A</v>
      </c>
      <c r="W685" s="11" t="e">
        <f>INDEX('Lookup 1961'!$F$2:$F$1300, MATCH(S685, 'Lookup 1961'!$B$2:$B$1300,0))</f>
        <v>#N/A</v>
      </c>
      <c r="X685" s="11" t="e">
        <f>INDEX('Lookup 1961'!$C$2:$C$1300, MATCH(V685, 'Lookup 1961'!$A$2:$A$1300,0))</f>
        <v>#N/A</v>
      </c>
    </row>
    <row r="686" spans="1:24" ht="25.05" customHeight="1" x14ac:dyDescent="0.3">
      <c r="A686" s="2" t="s">
        <v>658</v>
      </c>
      <c r="B686" s="2" t="s">
        <v>658</v>
      </c>
      <c r="C686" s="1">
        <v>20</v>
      </c>
      <c r="D686" s="1">
        <v>0</v>
      </c>
      <c r="E686" s="1">
        <v>14</v>
      </c>
      <c r="F686" s="1">
        <v>6</v>
      </c>
      <c r="K686" s="1">
        <v>735</v>
      </c>
      <c r="L686" s="6">
        <v>194609</v>
      </c>
      <c r="M686" s="1">
        <v>74.400000000000006</v>
      </c>
      <c r="N686" s="1">
        <v>8</v>
      </c>
      <c r="O686" s="1">
        <v>5</v>
      </c>
      <c r="P686" s="1">
        <v>28</v>
      </c>
      <c r="Q686" s="11">
        <f>'Table H'!$J$149</f>
        <v>0.91836580772080567</v>
      </c>
      <c r="R686" s="11">
        <f t="shared" si="20"/>
        <v>178722.25147473827</v>
      </c>
      <c r="S686" s="11" t="str">
        <f t="shared" si="21"/>
        <v>East Retford MB</v>
      </c>
      <c r="T686" s="11" t="s">
        <v>5211</v>
      </c>
      <c r="V686" s="11" t="str">
        <f>INDEX('Lookup 1961'!$A$2:$A$1300, MATCH(S686, 'Lookup 1961'!$B$2:$B$1300,0))</f>
        <v>J04000453</v>
      </c>
      <c r="W686" s="11" t="str">
        <f>INDEX('Lookup 1961'!$F$2:$F$1300, MATCH(S686, 'Lookup 1961'!$B$2:$B$1300,0))</f>
        <v>e280847</v>
      </c>
      <c r="X686" s="11" t="str">
        <f>INDEX('Lookup 1961'!$C$2:$C$1300, MATCH(V686, 'Lookup 1961'!$A$2:$A$1300,0))</f>
        <v>Nottinghamshire</v>
      </c>
    </row>
    <row r="687" spans="1:24" ht="25.05" customHeight="1" x14ac:dyDescent="0.3">
      <c r="A687" s="2" t="s">
        <v>659</v>
      </c>
      <c r="B687" s="2" t="s">
        <v>659</v>
      </c>
      <c r="C687" s="1">
        <v>23</v>
      </c>
      <c r="D687" s="1">
        <v>0</v>
      </c>
      <c r="E687" s="1">
        <v>17</v>
      </c>
      <c r="F687" s="1">
        <v>0</v>
      </c>
      <c r="K687" s="6">
        <v>2375</v>
      </c>
      <c r="L687" s="6">
        <v>599756</v>
      </c>
      <c r="M687" s="1">
        <v>69.8</v>
      </c>
      <c r="N687" s="1">
        <v>9</v>
      </c>
      <c r="O687" s="1">
        <v>5</v>
      </c>
      <c r="P687" s="1">
        <v>19.7</v>
      </c>
      <c r="Q687" s="11">
        <f>'Table H'!$J$149</f>
        <v>0.91836580772080567</v>
      </c>
      <c r="R687" s="11">
        <f t="shared" si="20"/>
        <v>550795.40337539953</v>
      </c>
      <c r="S687" s="11" t="str">
        <f t="shared" si="21"/>
        <v>Mansfield MB</v>
      </c>
      <c r="T687" s="11" t="s">
        <v>5211</v>
      </c>
      <c r="V687" s="11" t="str">
        <f>INDEX('Lookup 1961'!$A$2:$A$1300, MATCH(S687, 'Lookup 1961'!$B$2:$B$1300,0))</f>
        <v>J04000823</v>
      </c>
      <c r="W687" s="11" t="str">
        <f>INDEX('Lookup 1961'!$F$2:$F$1300, MATCH(S687, 'Lookup 1961'!$B$2:$B$1300,0))</f>
        <v>e280851</v>
      </c>
      <c r="X687" s="11" t="str">
        <f>INDEX('Lookup 1961'!$C$2:$C$1300, MATCH(V687, 'Lookup 1961'!$A$2:$A$1300,0))</f>
        <v>Nottinghamshire</v>
      </c>
    </row>
    <row r="688" spans="1:24" ht="25.05" customHeight="1" x14ac:dyDescent="0.3">
      <c r="A688" s="2" t="s">
        <v>660</v>
      </c>
      <c r="B688" s="2" t="s">
        <v>660</v>
      </c>
      <c r="C688" s="1">
        <v>21</v>
      </c>
      <c r="D688" s="1">
        <v>0</v>
      </c>
      <c r="E688" s="1">
        <v>16</v>
      </c>
      <c r="F688" s="1">
        <v>3</v>
      </c>
      <c r="K688" s="6">
        <v>1170</v>
      </c>
      <c r="L688" s="6">
        <v>292767</v>
      </c>
      <c r="M688" s="1">
        <v>78</v>
      </c>
      <c r="N688" s="1">
        <v>9</v>
      </c>
      <c r="O688" s="1">
        <v>16</v>
      </c>
      <c r="P688" s="1">
        <v>38.6</v>
      </c>
      <c r="Q688" s="11">
        <f>'Table H'!$J$149</f>
        <v>0.91836580772080567</v>
      </c>
      <c r="R688" s="11">
        <f t="shared" si="20"/>
        <v>268867.20242899709</v>
      </c>
      <c r="S688" s="11" t="str">
        <f t="shared" si="21"/>
        <v>Newark MB</v>
      </c>
      <c r="T688" s="11" t="s">
        <v>5211</v>
      </c>
      <c r="V688" s="11" t="str">
        <f>INDEX('Lookup 1961'!$A$2:$A$1300, MATCH(S688, 'Lookup 1961'!$B$2:$B$1300,0))</f>
        <v>J04000892</v>
      </c>
      <c r="W688" s="11" t="str">
        <f>INDEX('Lookup 1961'!$F$2:$F$1300, MATCH(S688, 'Lookup 1961'!$B$2:$B$1300,0))</f>
        <v>e280853</v>
      </c>
      <c r="X688" s="11" t="str">
        <f>INDEX('Lookup 1961'!$C$2:$C$1300, MATCH(V688, 'Lookup 1961'!$A$2:$A$1300,0))</f>
        <v>Nottinghamshire</v>
      </c>
    </row>
    <row r="689" spans="1:24" ht="25.05" customHeight="1" x14ac:dyDescent="0.3">
      <c r="A689" s="2" t="s">
        <v>661</v>
      </c>
      <c r="B689" s="2" t="s">
        <v>661</v>
      </c>
      <c r="C689" s="1">
        <v>22</v>
      </c>
      <c r="D689" s="1">
        <v>0</v>
      </c>
      <c r="E689" s="1">
        <v>17</v>
      </c>
      <c r="F689" s="1">
        <v>0</v>
      </c>
      <c r="K689" s="6">
        <v>1288</v>
      </c>
      <c r="L689" s="6">
        <v>344817</v>
      </c>
      <c r="M689" s="1">
        <v>78.7</v>
      </c>
      <c r="N689" s="1">
        <v>7</v>
      </c>
      <c r="O689" s="1">
        <v>16</v>
      </c>
      <c r="P689" s="1">
        <v>32.200000000000003</v>
      </c>
      <c r="Q689" s="11">
        <f>'Table H'!$J$149</f>
        <v>0.91836580772080567</v>
      </c>
      <c r="R689" s="11">
        <f t="shared" si="20"/>
        <v>316668.14272086503</v>
      </c>
      <c r="S689" s="11" t="str">
        <f t="shared" si="21"/>
        <v>Worksop MB</v>
      </c>
      <c r="T689" s="11" t="s">
        <v>5211</v>
      </c>
      <c r="V689" s="11" t="str">
        <f>INDEX('Lookup 1961'!$A$2:$A$1300, MATCH(S689, 'Lookup 1961'!$B$2:$B$1300,0))</f>
        <v>J04001452</v>
      </c>
      <c r="W689" s="11" t="str">
        <f>INDEX('Lookup 1961'!$F$2:$F$1300, MATCH(S689, 'Lookup 1961'!$B$2:$B$1300,0))</f>
        <v>e280857</v>
      </c>
      <c r="X689" s="11" t="str">
        <f>INDEX('Lookup 1961'!$C$2:$C$1300, MATCH(V689, 'Lookup 1961'!$A$2:$A$1300,0))</f>
        <v>Nottinghamshire</v>
      </c>
    </row>
    <row r="690" spans="1:24" ht="25.05" customHeight="1" x14ac:dyDescent="0.3">
      <c r="A690" s="2" t="s">
        <v>150</v>
      </c>
      <c r="B690" s="2" t="s">
        <v>1221</v>
      </c>
      <c r="S690" s="11" t="str">
        <f t="shared" si="21"/>
        <v xml:space="preserve">Urban Districts  </v>
      </c>
      <c r="V690" s="11" t="e">
        <f>INDEX('Lookup 1961'!$A$2:$A$1300, MATCH(S690, 'Lookup 1961'!$B$2:$B$1300,0))</f>
        <v>#N/A</v>
      </c>
      <c r="W690" s="11" t="e">
        <f>INDEX('Lookup 1961'!$F$2:$F$1300, MATCH(S690, 'Lookup 1961'!$B$2:$B$1300,0))</f>
        <v>#N/A</v>
      </c>
      <c r="X690" s="11" t="e">
        <f>INDEX('Lookup 1961'!$C$2:$C$1300, MATCH(V690, 'Lookup 1961'!$A$2:$A$1300,0))</f>
        <v>#N/A</v>
      </c>
    </row>
    <row r="691" spans="1:24" ht="25.05" customHeight="1" x14ac:dyDescent="0.3">
      <c r="A691" s="2" t="s">
        <v>662</v>
      </c>
      <c r="B691" s="2" t="s">
        <v>662</v>
      </c>
      <c r="C691" s="1">
        <v>21</v>
      </c>
      <c r="D691" s="1">
        <v>0</v>
      </c>
      <c r="E691" s="1">
        <v>16</v>
      </c>
      <c r="F691" s="1">
        <v>4</v>
      </c>
      <c r="K691" s="6">
        <v>1023</v>
      </c>
      <c r="L691" s="6">
        <v>253449</v>
      </c>
      <c r="M691" s="1">
        <v>81.599999999999994</v>
      </c>
      <c r="N691" s="1">
        <v>8</v>
      </c>
      <c r="O691" s="1">
        <v>12</v>
      </c>
      <c r="P691" s="1">
        <v>35.6</v>
      </c>
      <c r="Q691" s="11">
        <f>'Table H'!$J$150</f>
        <v>0.9024874791512365</v>
      </c>
      <c r="R691" s="11">
        <f t="shared" si="20"/>
        <v>228734.54910340175</v>
      </c>
      <c r="S691" s="11" t="str">
        <f t="shared" si="21"/>
        <v>Arnold UD</v>
      </c>
      <c r="T691" s="11" t="s">
        <v>5214</v>
      </c>
      <c r="V691" s="11" t="str">
        <f>INDEX('Lookup 1961'!$A$2:$A$1300, MATCH(S691, 'Lookup 1961'!$B$2:$B$1300,0))</f>
        <v>J04000046</v>
      </c>
      <c r="W691" s="11" t="str">
        <f>INDEX('Lookup 1961'!$F$2:$F$1300, MATCH(S691, 'Lookup 1961'!$B$2:$B$1300,0))</f>
        <v>e280844</v>
      </c>
      <c r="X691" s="11" t="str">
        <f>INDEX('Lookup 1961'!$C$2:$C$1300, MATCH(V691, 'Lookup 1961'!$A$2:$A$1300,0))</f>
        <v>Nottinghamshire</v>
      </c>
    </row>
    <row r="692" spans="1:24" ht="25.05" customHeight="1" x14ac:dyDescent="0.3">
      <c r="A692" s="2" t="s">
        <v>663</v>
      </c>
      <c r="B692" s="2" t="s">
        <v>663</v>
      </c>
      <c r="C692" s="1">
        <v>20</v>
      </c>
      <c r="D692" s="1">
        <v>0</v>
      </c>
      <c r="E692" s="1">
        <v>15</v>
      </c>
      <c r="F692" s="1">
        <v>0</v>
      </c>
      <c r="K692" s="6">
        <v>2270</v>
      </c>
      <c r="L692" s="6">
        <v>579999</v>
      </c>
      <c r="M692" s="1">
        <v>76.3</v>
      </c>
      <c r="N692" s="1">
        <v>8</v>
      </c>
      <c r="O692" s="1">
        <v>17</v>
      </c>
      <c r="P692" s="1">
        <v>38.799999999999997</v>
      </c>
      <c r="Q692" s="11">
        <f>'Table H'!$J$150</f>
        <v>0.9024874791512365</v>
      </c>
      <c r="R692" s="11">
        <f t="shared" si="20"/>
        <v>523441.83542023803</v>
      </c>
      <c r="S692" s="11" t="str">
        <f t="shared" si="21"/>
        <v>Beeston and Stapleford UD</v>
      </c>
      <c r="T692" s="11" t="s">
        <v>5214</v>
      </c>
      <c r="V692" s="11" t="str">
        <f>INDEX('Lookup 1961'!$A$2:$A$1300, MATCH(S692, 'Lookup 1961'!$B$2:$B$1300,0))</f>
        <v>J04000118</v>
      </c>
      <c r="W692" s="11" t="str">
        <f>INDEX('Lookup 1961'!$F$2:$F$1300, MATCH(S692, 'Lookup 1961'!$B$2:$B$1300,0))</f>
        <v>e280845</v>
      </c>
      <c r="X692" s="11" t="str">
        <f>INDEX('Lookup 1961'!$C$2:$C$1300, MATCH(V692, 'Lookup 1961'!$A$2:$A$1300,0))</f>
        <v>Nottinghamshire</v>
      </c>
    </row>
    <row r="693" spans="1:24" ht="25.05" customHeight="1" x14ac:dyDescent="0.3">
      <c r="A693" s="2" t="s">
        <v>664</v>
      </c>
      <c r="B693" s="2" t="s">
        <v>664</v>
      </c>
      <c r="C693" s="1">
        <v>20</v>
      </c>
      <c r="D693" s="1">
        <v>6</v>
      </c>
      <c r="E693" s="1">
        <v>15</v>
      </c>
      <c r="F693" s="1">
        <v>0</v>
      </c>
      <c r="K693" s="6">
        <v>1500</v>
      </c>
      <c r="L693" s="6">
        <v>369790</v>
      </c>
      <c r="M693" s="1">
        <v>78.8</v>
      </c>
      <c r="N693" s="1">
        <v>7</v>
      </c>
      <c r="O693" s="1">
        <v>8</v>
      </c>
      <c r="P693" s="1">
        <v>26.2</v>
      </c>
      <c r="Q693" s="11">
        <f>'Table H'!$J$150</f>
        <v>0.9024874791512365</v>
      </c>
      <c r="R693" s="11">
        <f t="shared" si="20"/>
        <v>333730.84491533577</v>
      </c>
      <c r="S693" s="11" t="str">
        <f t="shared" si="21"/>
        <v>Carlton UD</v>
      </c>
      <c r="T693" s="11" t="s">
        <v>5214</v>
      </c>
      <c r="V693" s="11" t="str">
        <f>INDEX('Lookup 1961'!$A$2:$A$1300, MATCH(S693, 'Lookup 1961'!$B$2:$B$1300,0))</f>
        <v>J04000266</v>
      </c>
      <c r="W693" s="11" t="str">
        <f>INDEX('Lookup 1961'!$F$2:$F$1300, MATCH(S693, 'Lookup 1961'!$B$2:$B$1300,0))</f>
        <v>e280846</v>
      </c>
      <c r="X693" s="11" t="str">
        <f>INDEX('Lookup 1961'!$C$2:$C$1300, MATCH(V693, 'Lookup 1961'!$A$2:$A$1300,0))</f>
        <v>Nottinghamshire</v>
      </c>
    </row>
    <row r="694" spans="1:24" ht="25.05" customHeight="1" x14ac:dyDescent="0.3">
      <c r="A694" s="2" t="s">
        <v>665</v>
      </c>
      <c r="B694" s="2" t="s">
        <v>5298</v>
      </c>
      <c r="C694" s="1">
        <v>21</v>
      </c>
      <c r="D694" s="1">
        <v>10</v>
      </c>
      <c r="E694" s="1">
        <v>17</v>
      </c>
      <c r="F694" s="1">
        <v>0</v>
      </c>
      <c r="K694" s="1">
        <v>321</v>
      </c>
      <c r="L694" s="6">
        <v>84532</v>
      </c>
      <c r="M694" s="1">
        <v>66.599999999999994</v>
      </c>
      <c r="N694" s="1">
        <v>6</v>
      </c>
      <c r="O694" s="1">
        <v>11</v>
      </c>
      <c r="P694" s="1">
        <v>23.8</v>
      </c>
      <c r="Q694" s="11">
        <f>'Table H'!$J$150</f>
        <v>0.9024874791512365</v>
      </c>
      <c r="R694" s="11">
        <f t="shared" si="20"/>
        <v>76289.071587612329</v>
      </c>
      <c r="S694" s="11" t="str">
        <f t="shared" si="21"/>
        <v>Eastwood UD</v>
      </c>
      <c r="T694" s="11" t="s">
        <v>5214</v>
      </c>
      <c r="V694" s="11" t="str">
        <f>INDEX('Lookup 1961'!$A$2:$A$1300, MATCH(S694, 'Lookup 1961'!$B$2:$B$1300,0))</f>
        <v>J04000459</v>
      </c>
      <c r="W694" s="11" t="str">
        <f>INDEX('Lookup 1961'!$F$2:$F$1300, MATCH(S694, 'Lookup 1961'!$B$2:$B$1300,0))</f>
        <v>e280848</v>
      </c>
      <c r="X694" s="11" t="str">
        <f>INDEX('Lookup 1961'!$C$2:$C$1300, MATCH(V694, 'Lookup 1961'!$A$2:$A$1300,0))</f>
        <v>Nottinghamshire</v>
      </c>
    </row>
    <row r="695" spans="1:24" ht="25.05" customHeight="1" x14ac:dyDescent="0.3">
      <c r="A695" s="2" t="s">
        <v>666</v>
      </c>
      <c r="B695" s="2" t="s">
        <v>666</v>
      </c>
      <c r="C695" s="1">
        <v>21</v>
      </c>
      <c r="D695" s="1">
        <v>6</v>
      </c>
      <c r="E695" s="1">
        <v>16</v>
      </c>
      <c r="F695" s="1">
        <v>6</v>
      </c>
      <c r="K695" s="1">
        <v>745</v>
      </c>
      <c r="L695" s="6">
        <v>193329</v>
      </c>
      <c r="M695" s="1">
        <v>69</v>
      </c>
      <c r="N695" s="1">
        <v>6</v>
      </c>
      <c r="O695" s="1">
        <v>8</v>
      </c>
      <c r="P695" s="1">
        <v>28.1</v>
      </c>
      <c r="Q695" s="11">
        <f>'Table H'!$J$150</f>
        <v>0.9024874791512365</v>
      </c>
      <c r="R695" s="11">
        <f t="shared" si="20"/>
        <v>174477.00185682939</v>
      </c>
      <c r="S695" s="11" t="str">
        <f t="shared" si="21"/>
        <v>Hucknall UD</v>
      </c>
      <c r="T695" s="11" t="s">
        <v>5214</v>
      </c>
      <c r="V695" s="11" t="str">
        <f>INDEX('Lookup 1961'!$A$2:$A$1300, MATCH(S695, 'Lookup 1961'!$B$2:$B$1300,0))</f>
        <v>J04000656</v>
      </c>
      <c r="W695" s="11" t="str">
        <f>INDEX('Lookup 1961'!$F$2:$F$1300, MATCH(S695, 'Lookup 1961'!$B$2:$B$1300,0))</f>
        <v>e280849</v>
      </c>
      <c r="X695" s="11" t="str">
        <f>INDEX('Lookup 1961'!$C$2:$C$1300, MATCH(V695, 'Lookup 1961'!$A$2:$A$1300,0))</f>
        <v>Nottinghamshire</v>
      </c>
    </row>
    <row r="696" spans="1:24" ht="25.05" customHeight="1" x14ac:dyDescent="0.3">
      <c r="A696" s="2" t="s">
        <v>667</v>
      </c>
      <c r="B696" s="2" t="s">
        <v>5276</v>
      </c>
      <c r="C696" s="1">
        <v>20</v>
      </c>
      <c r="D696" s="1">
        <v>6</v>
      </c>
      <c r="E696" s="1">
        <v>15</v>
      </c>
      <c r="F696" s="1">
        <v>6</v>
      </c>
      <c r="K696" s="1">
        <v>660</v>
      </c>
      <c r="L696" s="6">
        <v>170633</v>
      </c>
      <c r="M696" s="1">
        <v>78.7</v>
      </c>
      <c r="N696" s="1">
        <v>6</v>
      </c>
      <c r="O696" s="1">
        <v>1</v>
      </c>
      <c r="P696" s="1">
        <v>31.7</v>
      </c>
      <c r="Q696" s="11">
        <f>'Table H'!$J$150</f>
        <v>0.9024874791512365</v>
      </c>
      <c r="R696" s="11">
        <f t="shared" si="20"/>
        <v>153994.14603001293</v>
      </c>
      <c r="S696" s="11" t="str">
        <f t="shared" si="21"/>
        <v>Kirkby in Ashfield UD</v>
      </c>
      <c r="T696" s="11" t="s">
        <v>5214</v>
      </c>
      <c r="V696" s="11" t="str">
        <f>INDEX('Lookup 1961'!$A$2:$A$1300, MATCH(S696, 'Lookup 1961'!$B$2:$B$1300,0))</f>
        <v>J04000705</v>
      </c>
      <c r="W696" s="11" t="str">
        <f>INDEX('Lookup 1961'!$F$2:$F$1300, MATCH(S696, 'Lookup 1961'!$B$2:$B$1300,0))</f>
        <v>e280850</v>
      </c>
      <c r="X696" s="11" t="str">
        <f>INDEX('Lookup 1961'!$C$2:$C$1300, MATCH(V696, 'Lookup 1961'!$A$2:$A$1300,0))</f>
        <v>Nottinghamshire</v>
      </c>
    </row>
    <row r="697" spans="1:24" ht="25.05" customHeight="1" x14ac:dyDescent="0.3">
      <c r="A697" s="2" t="s">
        <v>668</v>
      </c>
      <c r="B697" s="2" t="s">
        <v>5299</v>
      </c>
      <c r="C697" s="1">
        <v>22</v>
      </c>
      <c r="D697" s="1">
        <v>8</v>
      </c>
      <c r="E697" s="1">
        <v>17</v>
      </c>
      <c r="F697" s="1">
        <v>0</v>
      </c>
      <c r="K697" s="1">
        <v>545</v>
      </c>
      <c r="L697" s="6">
        <v>142122</v>
      </c>
      <c r="M697" s="1">
        <v>76.900000000000006</v>
      </c>
      <c r="N697" s="1">
        <v>6</v>
      </c>
      <c r="O697" s="1">
        <v>11</v>
      </c>
      <c r="P697" s="1">
        <v>29.7</v>
      </c>
      <c r="Q697" s="11">
        <f>'Table H'!$J$150</f>
        <v>0.9024874791512365</v>
      </c>
      <c r="R697" s="11">
        <f t="shared" si="20"/>
        <v>128263.32551193204</v>
      </c>
      <c r="S697" s="11" t="str">
        <f t="shared" si="21"/>
        <v>Mansfield Woodhouse UD</v>
      </c>
      <c r="T697" s="11" t="s">
        <v>5214</v>
      </c>
      <c r="V697" s="11" t="str">
        <f>INDEX('Lookup 1961'!$A$2:$A$1300, MATCH(S697, 'Lookup 1961'!$B$2:$B$1300,0))</f>
        <v>J04000824</v>
      </c>
      <c r="W697" s="11" t="str">
        <f>INDEX('Lookup 1961'!$F$2:$F$1300, MATCH(S697, 'Lookup 1961'!$B$2:$B$1300,0))</f>
        <v>e280852</v>
      </c>
      <c r="X697" s="11" t="str">
        <f>INDEX('Lookup 1961'!$C$2:$C$1300, MATCH(V697, 'Lookup 1961'!$A$2:$A$1300,0))</f>
        <v>Nottinghamshire</v>
      </c>
    </row>
    <row r="698" spans="1:24" ht="25.05" customHeight="1" x14ac:dyDescent="0.3">
      <c r="A698" s="2" t="s">
        <v>669</v>
      </c>
      <c r="B698" s="2" t="s">
        <v>5277</v>
      </c>
      <c r="C698" s="1">
        <v>24</v>
      </c>
      <c r="D698" s="1">
        <v>0</v>
      </c>
      <c r="E698" s="1">
        <v>18</v>
      </c>
      <c r="F698" s="1">
        <v>0</v>
      </c>
      <c r="K698" s="6">
        <v>1300</v>
      </c>
      <c r="L698" s="6">
        <v>341528</v>
      </c>
      <c r="M698" s="1">
        <v>70.2</v>
      </c>
      <c r="N698" s="1">
        <v>7</v>
      </c>
      <c r="O698" s="1">
        <v>12</v>
      </c>
      <c r="P698" s="1">
        <v>34.6</v>
      </c>
      <c r="Q698" s="11">
        <f>'Table H'!$J$150</f>
        <v>0.9024874791512365</v>
      </c>
      <c r="R698" s="11">
        <f t="shared" si="20"/>
        <v>308224.74377956352</v>
      </c>
      <c r="S698" s="11" t="str">
        <f t="shared" si="21"/>
        <v>Sutton in Ashfield UD</v>
      </c>
      <c r="T698" s="11" t="s">
        <v>5214</v>
      </c>
      <c r="V698" s="11" t="str">
        <f>INDEX('Lookup 1961'!$A$2:$A$1300, MATCH(S698, 'Lookup 1961'!$B$2:$B$1300,0))</f>
        <v>J04001236</v>
      </c>
      <c r="W698" s="11" t="str">
        <f>INDEX('Lookup 1961'!$F$2:$F$1300, MATCH(S698, 'Lookup 1961'!$B$2:$B$1300,0))</f>
        <v>e280854</v>
      </c>
      <c r="X698" s="11" t="str">
        <f>INDEX('Lookup 1961'!$C$2:$C$1300, MATCH(V698, 'Lookup 1961'!$A$2:$A$1300,0))</f>
        <v>Nottinghamshire</v>
      </c>
    </row>
    <row r="699" spans="1:24" ht="25.05" customHeight="1" x14ac:dyDescent="0.3">
      <c r="A699" s="2" t="s">
        <v>670</v>
      </c>
      <c r="B699" s="2" t="s">
        <v>670</v>
      </c>
      <c r="C699" s="1">
        <v>22</v>
      </c>
      <c r="D699" s="1">
        <v>0</v>
      </c>
      <c r="E699" s="1">
        <v>17</v>
      </c>
      <c r="F699" s="1">
        <v>6</v>
      </c>
      <c r="K699" s="1">
        <v>348</v>
      </c>
      <c r="L699" s="6">
        <v>90104</v>
      </c>
      <c r="M699" s="1">
        <v>61.6</v>
      </c>
      <c r="N699" s="1">
        <v>6</v>
      </c>
      <c r="O699" s="1">
        <v>7</v>
      </c>
      <c r="P699" s="1">
        <v>22.6</v>
      </c>
      <c r="Q699" s="11">
        <f>'Table H'!$J$150</f>
        <v>0.9024874791512365</v>
      </c>
      <c r="R699" s="11">
        <f t="shared" si="20"/>
        <v>81317.731821443012</v>
      </c>
      <c r="S699" s="11" t="str">
        <f t="shared" si="21"/>
        <v>Warsop UD</v>
      </c>
      <c r="T699" s="11" t="s">
        <v>5214</v>
      </c>
      <c r="V699" s="11" t="str">
        <f>INDEX('Lookup 1961'!$A$2:$A$1300, MATCH(S699, 'Lookup 1961'!$B$2:$B$1300,0))</f>
        <v>J04001348</v>
      </c>
      <c r="W699" s="11" t="str">
        <f>INDEX('Lookup 1961'!$F$2:$F$1300, MATCH(S699, 'Lookup 1961'!$B$2:$B$1300,0))</f>
        <v>e280855</v>
      </c>
      <c r="X699" s="11" t="str">
        <f>INDEX('Lookup 1961'!$C$2:$C$1300, MATCH(V699, 'Lookup 1961'!$A$2:$A$1300,0))</f>
        <v>Nottinghamshire</v>
      </c>
    </row>
    <row r="700" spans="1:24" ht="25.05" customHeight="1" x14ac:dyDescent="0.3">
      <c r="A700" s="2" t="s">
        <v>671</v>
      </c>
      <c r="B700" s="2" t="s">
        <v>671</v>
      </c>
      <c r="C700" s="1">
        <v>20</v>
      </c>
      <c r="D700" s="1">
        <v>6</v>
      </c>
      <c r="E700" s="1">
        <v>15</v>
      </c>
      <c r="F700" s="1">
        <v>8</v>
      </c>
      <c r="K700" s="6">
        <v>1450</v>
      </c>
      <c r="L700" s="6">
        <v>362797</v>
      </c>
      <c r="M700" s="1">
        <v>61.6</v>
      </c>
      <c r="N700" s="1">
        <v>10</v>
      </c>
      <c r="O700" s="1">
        <v>16</v>
      </c>
      <c r="P700" s="1">
        <v>14.7</v>
      </c>
      <c r="Q700" s="11">
        <f>'Table H'!$J$150</f>
        <v>0.9024874791512365</v>
      </c>
      <c r="R700" s="11">
        <f t="shared" si="20"/>
        <v>327419.74997363117</v>
      </c>
      <c r="S700" s="11" t="str">
        <f t="shared" si="21"/>
        <v>West Bridgford UD</v>
      </c>
      <c r="T700" s="11" t="s">
        <v>5214</v>
      </c>
      <c r="V700" s="11" t="str">
        <f>INDEX('Lookup 1961'!$A$2:$A$1300, MATCH(S700, 'Lookup 1961'!$B$2:$B$1300,0))</f>
        <v>J04001380</v>
      </c>
      <c r="W700" s="11" t="str">
        <f>INDEX('Lookup 1961'!$F$2:$F$1300, MATCH(S700, 'Lookup 1961'!$B$2:$B$1300,0))</f>
        <v>e280856</v>
      </c>
      <c r="X700" s="11" t="str">
        <f>INDEX('Lookup 1961'!$C$2:$C$1300, MATCH(V700, 'Lookup 1961'!$A$2:$A$1300,0))</f>
        <v>Nottinghamshire</v>
      </c>
    </row>
    <row r="701" spans="1:24" ht="25.05" customHeight="1" x14ac:dyDescent="0.3">
      <c r="A701" s="2" t="s">
        <v>672</v>
      </c>
      <c r="B701" s="2" t="s">
        <v>672</v>
      </c>
      <c r="S701" s="11" t="str">
        <f t="shared" si="21"/>
        <v xml:space="preserve">OXFORD: </v>
      </c>
      <c r="V701" s="11" t="e">
        <f>INDEX('Lookup 1961'!$A$2:$A$1300, MATCH(S701, 'Lookup 1961'!$B$2:$B$1300,0))</f>
        <v>#N/A</v>
      </c>
      <c r="W701" s="11" t="e">
        <f>INDEX('Lookup 1961'!$F$2:$F$1300, MATCH(S701, 'Lookup 1961'!$B$2:$B$1300,0))</f>
        <v>#N/A</v>
      </c>
      <c r="X701" s="11" t="e">
        <f>INDEX('Lookup 1961'!$C$2:$C$1300, MATCH(V701, 'Lookup 1961'!$A$2:$A$1300,0))</f>
        <v>#N/A</v>
      </c>
    </row>
    <row r="702" spans="1:24" ht="25.05" customHeight="1" x14ac:dyDescent="0.3">
      <c r="A702" s="2" t="s">
        <v>146</v>
      </c>
      <c r="B702" s="2" t="s">
        <v>5257</v>
      </c>
      <c r="S702" s="11" t="str">
        <f t="shared" si="21"/>
        <v xml:space="preserve">Non County Boroughs  </v>
      </c>
      <c r="V702" s="11" t="e">
        <f>INDEX('Lookup 1961'!$A$2:$A$1300, MATCH(S702, 'Lookup 1961'!$B$2:$B$1300,0))</f>
        <v>#N/A</v>
      </c>
      <c r="W702" s="11" t="e">
        <f>INDEX('Lookup 1961'!$F$2:$F$1300, MATCH(S702, 'Lookup 1961'!$B$2:$B$1300,0))</f>
        <v>#N/A</v>
      </c>
      <c r="X702" s="11" t="e">
        <f>INDEX('Lookup 1961'!$C$2:$C$1300, MATCH(V702, 'Lookup 1961'!$A$2:$A$1300,0))</f>
        <v>#N/A</v>
      </c>
    </row>
    <row r="703" spans="1:24" ht="25.05" customHeight="1" x14ac:dyDescent="0.3">
      <c r="A703" s="2" t="s">
        <v>673</v>
      </c>
      <c r="B703" s="2" t="s">
        <v>673</v>
      </c>
      <c r="C703" s="1">
        <v>25</v>
      </c>
      <c r="D703" s="1">
        <v>0</v>
      </c>
      <c r="E703" s="1">
        <v>16</v>
      </c>
      <c r="F703" s="1">
        <v>8</v>
      </c>
      <c r="K703" s="6">
        <v>1200</v>
      </c>
      <c r="L703" s="6">
        <v>303593</v>
      </c>
      <c r="M703" s="1">
        <v>134.5</v>
      </c>
      <c r="N703" s="1">
        <v>12</v>
      </c>
      <c r="O703" s="1">
        <v>19</v>
      </c>
      <c r="P703" s="1">
        <v>18.100000000000001</v>
      </c>
      <c r="Q703" s="11">
        <f>'Table H'!$J$154</f>
        <v>0.93350070558210008</v>
      </c>
      <c r="R703" s="11">
        <f t="shared" si="20"/>
        <v>283404.27970978653</v>
      </c>
      <c r="S703" s="11" t="str">
        <f t="shared" si="21"/>
        <v>Banbury MB</v>
      </c>
      <c r="T703" s="11" t="s">
        <v>5211</v>
      </c>
      <c r="V703" s="11" t="str">
        <f>INDEX('Lookup 1961'!$A$2:$A$1300, MATCH(S703, 'Lookup 1961'!$B$2:$B$1300,0))</f>
        <v>J04000075</v>
      </c>
      <c r="W703" s="11" t="str">
        <f>INDEX('Lookup 1961'!$F$2:$F$1300, MATCH(S703, 'Lookup 1961'!$B$2:$B$1300,0))</f>
        <v>e290866</v>
      </c>
      <c r="X703" s="11" t="str">
        <f>INDEX('Lookup 1961'!$C$2:$C$1300, MATCH(V703, 'Lookup 1961'!$A$2:$A$1300,0))</f>
        <v>Oxfordshire</v>
      </c>
    </row>
    <row r="704" spans="1:24" ht="25.05" customHeight="1" x14ac:dyDescent="0.3">
      <c r="A704" s="2" t="s">
        <v>674</v>
      </c>
      <c r="B704" s="2" t="s">
        <v>674</v>
      </c>
      <c r="C704" s="1">
        <v>24</v>
      </c>
      <c r="D704" s="1">
        <v>10</v>
      </c>
      <c r="E704" s="1">
        <v>15</v>
      </c>
      <c r="F704" s="1">
        <v>6</v>
      </c>
      <c r="K704" s="1">
        <v>190</v>
      </c>
      <c r="L704" s="6">
        <v>47644</v>
      </c>
      <c r="M704" s="1">
        <v>128.80000000000001</v>
      </c>
      <c r="N704" s="1">
        <v>9</v>
      </c>
      <c r="O704" s="1">
        <v>18</v>
      </c>
      <c r="P704" s="1">
        <v>51.5</v>
      </c>
      <c r="Q704" s="11">
        <f>'Table H'!$J$154</f>
        <v>0.93350070558210008</v>
      </c>
      <c r="R704" s="11">
        <f t="shared" si="20"/>
        <v>44475.707616753578</v>
      </c>
      <c r="S704" s="11" t="str">
        <f t="shared" si="21"/>
        <v>Chipping Norton MB</v>
      </c>
      <c r="T704" s="11" t="s">
        <v>5211</v>
      </c>
      <c r="V704" s="11" t="str">
        <f>INDEX('Lookup 1961'!$A$2:$A$1300, MATCH(S704, 'Lookup 1961'!$B$2:$B$1300,0))</f>
        <v>J04000310</v>
      </c>
      <c r="W704" s="11" t="str">
        <f>INDEX('Lookup 1961'!$F$2:$F$1300, MATCH(S704, 'Lookup 1961'!$B$2:$B$1300,0))</f>
        <v>e290868</v>
      </c>
      <c r="X704" s="11" t="str">
        <f>INDEX('Lookup 1961'!$C$2:$C$1300, MATCH(V704, 'Lookup 1961'!$A$2:$A$1300,0))</f>
        <v>Oxfordshire</v>
      </c>
    </row>
    <row r="705" spans="1:24" ht="25.05" customHeight="1" x14ac:dyDescent="0.3">
      <c r="A705" s="2" t="s">
        <v>675</v>
      </c>
      <c r="B705" s="2" t="s">
        <v>5300</v>
      </c>
      <c r="C705" s="1">
        <v>25</v>
      </c>
      <c r="D705" s="1">
        <v>3</v>
      </c>
      <c r="E705" s="1">
        <v>16</v>
      </c>
      <c r="F705" s="1">
        <v>6</v>
      </c>
      <c r="K705" s="1">
        <v>440</v>
      </c>
      <c r="L705" s="6">
        <v>110104</v>
      </c>
      <c r="M705" s="1">
        <v>80</v>
      </c>
      <c r="N705" s="1">
        <v>11</v>
      </c>
      <c r="O705" s="1">
        <v>5</v>
      </c>
      <c r="P705" s="1">
        <v>18.100000000000001</v>
      </c>
      <c r="Q705" s="11">
        <f>'Table H'!$J$154</f>
        <v>0.93350070558210008</v>
      </c>
      <c r="R705" s="11">
        <f t="shared" si="20"/>
        <v>102782.16168741154</v>
      </c>
      <c r="S705" s="11" t="str">
        <f t="shared" si="21"/>
        <v>Henley on Thames MB</v>
      </c>
      <c r="T705" s="11" t="s">
        <v>5211</v>
      </c>
      <c r="V705" s="11" t="str">
        <f>INDEX('Lookup 1961'!$A$2:$A$1300, MATCH(S705, 'Lookup 1961'!$B$2:$B$1300,0))</f>
        <v>J04000608</v>
      </c>
      <c r="W705" s="11" t="str">
        <f>INDEX('Lookup 1961'!$F$2:$F$1300, MATCH(S705, 'Lookup 1961'!$B$2:$B$1300,0))</f>
        <v>e290869</v>
      </c>
      <c r="X705" s="11" t="str">
        <f>INDEX('Lookup 1961'!$C$2:$C$1300, MATCH(V705, 'Lookup 1961'!$A$2:$A$1300,0))</f>
        <v>Oxfordshire</v>
      </c>
    </row>
    <row r="706" spans="1:24" ht="25.05" customHeight="1" x14ac:dyDescent="0.3">
      <c r="A706" s="2" t="s">
        <v>676</v>
      </c>
      <c r="B706" s="2" t="s">
        <v>676</v>
      </c>
      <c r="C706" s="1">
        <v>28</v>
      </c>
      <c r="D706" s="1">
        <v>2</v>
      </c>
      <c r="E706" s="1">
        <v>16</v>
      </c>
      <c r="F706" s="1">
        <v>8</v>
      </c>
      <c r="K706" s="1">
        <v>75</v>
      </c>
      <c r="L706" s="6">
        <v>19822</v>
      </c>
      <c r="M706" s="1">
        <v>157.9</v>
      </c>
      <c r="N706" s="1">
        <v>9</v>
      </c>
      <c r="O706" s="1">
        <v>3</v>
      </c>
      <c r="P706" s="1">
        <v>48.7</v>
      </c>
      <c r="Q706" s="11">
        <f>'Table H'!$J$154</f>
        <v>0.93350070558210008</v>
      </c>
      <c r="R706" s="11">
        <f t="shared" si="20"/>
        <v>18503.850986048386</v>
      </c>
      <c r="S706" s="11" t="str">
        <f t="shared" si="21"/>
        <v>Woodstock MB</v>
      </c>
      <c r="T706" s="11" t="s">
        <v>5211</v>
      </c>
      <c r="V706" s="11" t="str">
        <f>INDEX('Lookup 1961'!$A$2:$A$1300, MATCH(S706, 'Lookup 1961'!$B$2:$B$1300,0))</f>
        <v>J04001448</v>
      </c>
      <c r="W706" s="11" t="str">
        <f>INDEX('Lookup 1961'!$F$2:$F$1300, MATCH(S706, 'Lookup 1961'!$B$2:$B$1300,0))</f>
        <v>e290872</v>
      </c>
      <c r="X706" s="11" t="str">
        <f>INDEX('Lookup 1961'!$C$2:$C$1300, MATCH(V706, 'Lookup 1961'!$A$2:$A$1300,0))</f>
        <v>Oxfordshire</v>
      </c>
    </row>
    <row r="707" spans="1:24" ht="25.05" customHeight="1" x14ac:dyDescent="0.3">
      <c r="A707" s="2" t="s">
        <v>150</v>
      </c>
      <c r="B707" s="2" t="s">
        <v>1221</v>
      </c>
      <c r="S707" s="11" t="str">
        <f t="shared" si="21"/>
        <v xml:space="preserve">Urban Districts  </v>
      </c>
      <c r="V707" s="11" t="e">
        <f>INDEX('Lookup 1961'!$A$2:$A$1300, MATCH(S707, 'Lookup 1961'!$B$2:$B$1300,0))</f>
        <v>#N/A</v>
      </c>
      <c r="W707" s="11" t="e">
        <f>INDEX('Lookup 1961'!$F$2:$F$1300, MATCH(S707, 'Lookup 1961'!$B$2:$B$1300,0))</f>
        <v>#N/A</v>
      </c>
      <c r="X707" s="11" t="e">
        <f>INDEX('Lookup 1961'!$C$2:$C$1300, MATCH(V707, 'Lookup 1961'!$A$2:$A$1300,0))</f>
        <v>#N/A</v>
      </c>
    </row>
    <row r="708" spans="1:24" ht="25.05" customHeight="1" x14ac:dyDescent="0.3">
      <c r="A708" s="2" t="s">
        <v>677</v>
      </c>
      <c r="B708" s="2" t="s">
        <v>677</v>
      </c>
      <c r="C708" s="1">
        <v>24</v>
      </c>
      <c r="D708" s="1">
        <v>8</v>
      </c>
      <c r="E708" s="1">
        <v>14</v>
      </c>
      <c r="F708" s="1">
        <v>6</v>
      </c>
      <c r="K708" s="1">
        <v>216</v>
      </c>
      <c r="L708" s="6">
        <v>56700</v>
      </c>
      <c r="M708" s="1">
        <v>133.30000000000001</v>
      </c>
      <c r="N708" s="1">
        <v>7</v>
      </c>
      <c r="O708" s="1">
        <v>12</v>
      </c>
      <c r="P708" s="1">
        <v>17.3</v>
      </c>
      <c r="Q708" s="11">
        <f>'Table H'!$J$155</f>
        <v>0.95550826755838314</v>
      </c>
      <c r="R708" s="11">
        <f t="shared" ref="R708:R771" si="22">Q708*L708</f>
        <v>54177.318770560327</v>
      </c>
      <c r="S708" s="11" t="str">
        <f t="shared" si="21"/>
        <v>Bicester UD</v>
      </c>
      <c r="T708" s="11" t="s">
        <v>5214</v>
      </c>
      <c r="V708" s="11" t="str">
        <f>INDEX('Lookup 1961'!$A$2:$A$1300, MATCH(S708, 'Lookup 1961'!$B$2:$B$1300,0))</f>
        <v>J04000137</v>
      </c>
      <c r="W708" s="11" t="str">
        <f>INDEX('Lookup 1961'!$F$2:$F$1300, MATCH(S708, 'Lookup 1961'!$B$2:$B$1300,0))</f>
        <v>e290867</v>
      </c>
      <c r="X708" s="11" t="str">
        <f>INDEX('Lookup 1961'!$C$2:$C$1300, MATCH(V708, 'Lookup 1961'!$A$2:$A$1300,0))</f>
        <v>Oxfordshire</v>
      </c>
    </row>
    <row r="709" spans="1:24" ht="25.05" customHeight="1" x14ac:dyDescent="0.3">
      <c r="A709" s="2" t="s">
        <v>678</v>
      </c>
      <c r="B709" s="2" t="s">
        <v>678</v>
      </c>
      <c r="C709" s="1">
        <v>26</v>
      </c>
      <c r="D709" s="1">
        <v>0</v>
      </c>
      <c r="E709" s="1">
        <v>17</v>
      </c>
      <c r="F709" s="1">
        <v>6</v>
      </c>
      <c r="K709" s="1">
        <v>155</v>
      </c>
      <c r="L709" s="6">
        <v>39324</v>
      </c>
      <c r="M709" s="1">
        <v>84.6</v>
      </c>
      <c r="N709" s="1">
        <v>8</v>
      </c>
      <c r="O709" s="1">
        <v>17</v>
      </c>
      <c r="P709" s="1">
        <v>22.7</v>
      </c>
      <c r="Q709" s="11">
        <f>'Table H'!$J$155</f>
        <v>0.95550826755838314</v>
      </c>
      <c r="R709" s="11">
        <f t="shared" si="22"/>
        <v>37574.407113465859</v>
      </c>
      <c r="S709" s="11" t="str">
        <f t="shared" ref="S709:S772" si="23">_xlfn.CONCAT(B709," ",T709)</f>
        <v>Thame UD</v>
      </c>
      <c r="T709" s="11" t="s">
        <v>5214</v>
      </c>
      <c r="V709" s="11" t="str">
        <f>INDEX('Lookup 1961'!$A$2:$A$1300, MATCH(S709, 'Lookup 1961'!$B$2:$B$1300,0))</f>
        <v>J04001265</v>
      </c>
      <c r="W709" s="11" t="str">
        <f>INDEX('Lookup 1961'!$F$2:$F$1300, MATCH(S709, 'Lookup 1961'!$B$2:$B$1300,0))</f>
        <v>e290870</v>
      </c>
      <c r="X709" s="11" t="str">
        <f>INDEX('Lookup 1961'!$C$2:$C$1300, MATCH(V709, 'Lookup 1961'!$A$2:$A$1300,0))</f>
        <v>Oxfordshire</v>
      </c>
    </row>
    <row r="710" spans="1:24" ht="25.05" customHeight="1" x14ac:dyDescent="0.3">
      <c r="A710" s="2" t="s">
        <v>679</v>
      </c>
      <c r="B710" s="2" t="s">
        <v>679</v>
      </c>
      <c r="C710" s="1">
        <v>26</v>
      </c>
      <c r="D710" s="1">
        <v>3</v>
      </c>
      <c r="E710" s="1">
        <v>17</v>
      </c>
      <c r="F710" s="1">
        <v>0</v>
      </c>
      <c r="K710" s="1">
        <v>350</v>
      </c>
      <c r="L710" s="6">
        <v>88190</v>
      </c>
      <c r="M710" s="1">
        <v>90.8</v>
      </c>
      <c r="N710" s="1">
        <v>9</v>
      </c>
      <c r="O710" s="1">
        <v>15</v>
      </c>
      <c r="P710" s="1">
        <v>19.399999999999999</v>
      </c>
      <c r="Q710" s="11">
        <f>'Table H'!$J$155</f>
        <v>0.95550826755838314</v>
      </c>
      <c r="R710" s="11">
        <f t="shared" si="22"/>
        <v>84266.274115973807</v>
      </c>
      <c r="S710" s="11" t="str">
        <f t="shared" si="23"/>
        <v>Witney UD</v>
      </c>
      <c r="T710" s="11" t="s">
        <v>5214</v>
      </c>
      <c r="V710" s="11" t="str">
        <f>INDEX('Lookup 1961'!$A$2:$A$1300, MATCH(S710, 'Lookup 1961'!$B$2:$B$1300,0))</f>
        <v>J04001437</v>
      </c>
      <c r="W710" s="11" t="str">
        <f>INDEX('Lookup 1961'!$F$2:$F$1300, MATCH(S710, 'Lookup 1961'!$B$2:$B$1300,0))</f>
        <v>e290871</v>
      </c>
      <c r="X710" s="11" t="str">
        <f>INDEX('Lookup 1961'!$C$2:$C$1300, MATCH(V710, 'Lookup 1961'!$A$2:$A$1300,0))</f>
        <v>Oxfordshire</v>
      </c>
    </row>
    <row r="711" spans="1:24" ht="25.05" customHeight="1" x14ac:dyDescent="0.3">
      <c r="A711" s="2" t="s">
        <v>680</v>
      </c>
      <c r="B711" s="2" t="s">
        <v>680</v>
      </c>
      <c r="S711" s="11" t="str">
        <f t="shared" si="23"/>
        <v xml:space="preserve">RUTLAND: </v>
      </c>
      <c r="V711" s="11" t="e">
        <f>INDEX('Lookup 1961'!$A$2:$A$1300, MATCH(S711, 'Lookup 1961'!$B$2:$B$1300,0))</f>
        <v>#N/A</v>
      </c>
      <c r="W711" s="11" t="e">
        <f>INDEX('Lookup 1961'!$F$2:$F$1300, MATCH(S711, 'Lookup 1961'!$B$2:$B$1300,0))</f>
        <v>#N/A</v>
      </c>
      <c r="X711" s="11" t="e">
        <f>INDEX('Lookup 1961'!$C$2:$C$1300, MATCH(V711, 'Lookup 1961'!$A$2:$A$1300,0))</f>
        <v>#N/A</v>
      </c>
    </row>
    <row r="712" spans="1:24" ht="25.05" customHeight="1" x14ac:dyDescent="0.3">
      <c r="A712" s="2" t="s">
        <v>150</v>
      </c>
      <c r="B712" s="2" t="s">
        <v>1221</v>
      </c>
      <c r="S712" s="11" t="str">
        <f t="shared" si="23"/>
        <v xml:space="preserve">Urban Districts  </v>
      </c>
      <c r="V712" s="11" t="e">
        <f>INDEX('Lookup 1961'!$A$2:$A$1300, MATCH(S712, 'Lookup 1961'!$B$2:$B$1300,0))</f>
        <v>#N/A</v>
      </c>
      <c r="W712" s="11" t="e">
        <f>INDEX('Lookup 1961'!$F$2:$F$1300, MATCH(S712, 'Lookup 1961'!$B$2:$B$1300,0))</f>
        <v>#N/A</v>
      </c>
      <c r="X712" s="11" t="e">
        <f>INDEX('Lookup 1961'!$C$2:$C$1300, MATCH(V712, 'Lookup 1961'!$A$2:$A$1300,0))</f>
        <v>#N/A</v>
      </c>
    </row>
    <row r="713" spans="1:24" ht="25.05" customHeight="1" x14ac:dyDescent="0.3">
      <c r="A713" s="2" t="s">
        <v>681</v>
      </c>
      <c r="B713" s="2" t="s">
        <v>681</v>
      </c>
      <c r="C713" s="1">
        <v>23</v>
      </c>
      <c r="D713" s="1">
        <v>6</v>
      </c>
      <c r="E713" s="1">
        <v>16</v>
      </c>
      <c r="F713" s="1">
        <v>6</v>
      </c>
      <c r="K713" s="1">
        <v>203</v>
      </c>
      <c r="L713" s="6">
        <v>51373</v>
      </c>
      <c r="M713" s="1">
        <v>76.5</v>
      </c>
      <c r="N713" s="1">
        <v>9</v>
      </c>
      <c r="O713" s="1">
        <v>17</v>
      </c>
      <c r="P713" s="1">
        <v>19.7</v>
      </c>
      <c r="Q713" s="11">
        <f>'Table H'!$J$159</f>
        <v>0.90430771027582579</v>
      </c>
      <c r="R713" s="11">
        <f t="shared" si="22"/>
        <v>46457</v>
      </c>
      <c r="S713" s="11" t="str">
        <f t="shared" si="23"/>
        <v>Oakham UD</v>
      </c>
      <c r="T713" s="11" t="s">
        <v>5214</v>
      </c>
      <c r="V713" s="11" t="str">
        <f>INDEX('Lookup 1961'!$A$2:$A$1300, MATCH(S713, 'Lookup 1961'!$B$2:$B$1300,0))</f>
        <v>J04000947</v>
      </c>
      <c r="W713" s="11" t="str">
        <f>INDEX('Lookup 1961'!$F$2:$F$1300, MATCH(S713, 'Lookup 1961'!$B$2:$B$1300,0))</f>
        <v>e300879</v>
      </c>
      <c r="X713" s="11" t="str">
        <f>INDEX('Lookup 1961'!$C$2:$C$1300, MATCH(V713, 'Lookup 1961'!$A$2:$A$1300,0))</f>
        <v>Leicestershire</v>
      </c>
    </row>
    <row r="714" spans="1:24" ht="25.05" customHeight="1" x14ac:dyDescent="0.3">
      <c r="A714" s="2" t="s">
        <v>683</v>
      </c>
      <c r="B714" s="2" t="s">
        <v>683</v>
      </c>
      <c r="L714" s="6"/>
      <c r="S714" s="11" t="str">
        <f t="shared" si="23"/>
        <v xml:space="preserve">SALOP: </v>
      </c>
      <c r="V714" s="11" t="e">
        <f>INDEX('Lookup 1961'!$A$2:$A$1300, MATCH(S714, 'Lookup 1961'!$B$2:$B$1300,0))</f>
        <v>#N/A</v>
      </c>
      <c r="W714" s="11" t="e">
        <f>INDEX('Lookup 1961'!$F$2:$F$1300, MATCH(S714, 'Lookup 1961'!$B$2:$B$1300,0))</f>
        <v>#N/A</v>
      </c>
      <c r="X714" s="11" t="e">
        <f>INDEX('Lookup 1961'!$C$2:$C$1300, MATCH(V714, 'Lookup 1961'!$A$2:$A$1300,0))</f>
        <v>#N/A</v>
      </c>
    </row>
    <row r="715" spans="1:24" ht="25.05" customHeight="1" x14ac:dyDescent="0.3">
      <c r="A715" s="2" t="s">
        <v>146</v>
      </c>
      <c r="B715" s="2" t="s">
        <v>5257</v>
      </c>
      <c r="S715" s="11" t="str">
        <f t="shared" si="23"/>
        <v xml:space="preserve">Non County Boroughs  </v>
      </c>
      <c r="V715" s="11" t="e">
        <f>INDEX('Lookup 1961'!$A$2:$A$1300, MATCH(S715, 'Lookup 1961'!$B$2:$B$1300,0))</f>
        <v>#N/A</v>
      </c>
      <c r="W715" s="11" t="e">
        <f>INDEX('Lookup 1961'!$F$2:$F$1300, MATCH(S715, 'Lookup 1961'!$B$2:$B$1300,0))</f>
        <v>#N/A</v>
      </c>
      <c r="X715" s="11" t="e">
        <f>INDEX('Lookup 1961'!$C$2:$C$1300, MATCH(V715, 'Lookup 1961'!$A$2:$A$1300,0))</f>
        <v>#N/A</v>
      </c>
    </row>
    <row r="716" spans="1:24" ht="25.05" customHeight="1" x14ac:dyDescent="0.3">
      <c r="A716" s="2" t="s">
        <v>682</v>
      </c>
      <c r="B716" s="2" t="s">
        <v>5301</v>
      </c>
      <c r="C716" s="1">
        <v>22</v>
      </c>
      <c r="D716" s="1">
        <v>0</v>
      </c>
      <c r="E716" s="1">
        <v>16</v>
      </c>
      <c r="F716" s="1">
        <v>10</v>
      </c>
      <c r="K716" s="1">
        <v>47</v>
      </c>
      <c r="L716" s="6">
        <v>12047</v>
      </c>
      <c r="M716" s="1">
        <v>78.5</v>
      </c>
      <c r="N716" s="1">
        <v>7</v>
      </c>
      <c r="O716" s="1">
        <v>15</v>
      </c>
      <c r="P716" s="1">
        <v>41.1</v>
      </c>
      <c r="Q716" s="11">
        <f>'Table H'!$J$163</f>
        <v>0.94734384299328123</v>
      </c>
      <c r="R716" s="11">
        <f t="shared" si="22"/>
        <v>11412.651276540058</v>
      </c>
      <c r="S716" s="11" t="str">
        <f t="shared" si="23"/>
        <v>Bishops Castle MB</v>
      </c>
      <c r="T716" s="11" t="s">
        <v>5211</v>
      </c>
      <c r="V716" s="11" t="str">
        <f>INDEX('Lookup 1961'!$A$2:$A$1300, MATCH(S716, 'Lookup 1961'!$B$2:$B$1300,0))</f>
        <v>J04000152</v>
      </c>
      <c r="W716" s="11" t="str">
        <f>INDEX('Lookup 1961'!$F$2:$F$1300, MATCH(S716, 'Lookup 1961'!$B$2:$B$1300,0))</f>
        <v>e310893</v>
      </c>
      <c r="X716" s="11" t="str">
        <f>INDEX('Lookup 1961'!$C$2:$C$1300, MATCH(V716, 'Lookup 1961'!$A$2:$A$1300,0))</f>
        <v>Shropshire</v>
      </c>
    </row>
    <row r="717" spans="1:24" ht="25.05" customHeight="1" x14ac:dyDescent="0.3">
      <c r="A717" s="2" t="s">
        <v>684</v>
      </c>
      <c r="B717" s="2" t="s">
        <v>684</v>
      </c>
      <c r="C717" s="1">
        <v>25</v>
      </c>
      <c r="D717" s="1">
        <v>0</v>
      </c>
      <c r="E717" s="1">
        <v>17</v>
      </c>
      <c r="F717" s="1">
        <v>10</v>
      </c>
      <c r="K717" s="1">
        <v>400</v>
      </c>
      <c r="L717" s="6">
        <v>99358</v>
      </c>
      <c r="M717" s="1">
        <v>178.2</v>
      </c>
      <c r="N717" s="1">
        <v>13</v>
      </c>
      <c r="O717" s="1">
        <v>8</v>
      </c>
      <c r="P717" s="1">
        <v>95.4</v>
      </c>
      <c r="Q717" s="11">
        <f>'Table H'!$J$163</f>
        <v>0.94734384299328123</v>
      </c>
      <c r="R717" s="11">
        <f t="shared" si="22"/>
        <v>94126.189552126438</v>
      </c>
      <c r="S717" s="11" t="str">
        <f t="shared" si="23"/>
        <v>Bridgnorth MB</v>
      </c>
      <c r="T717" s="11" t="s">
        <v>5211</v>
      </c>
      <c r="V717" s="11" t="str">
        <f>INDEX('Lookup 1961'!$A$2:$A$1300, MATCH(S717, 'Lookup 1961'!$B$2:$B$1300,0))</f>
        <v>J04000199</v>
      </c>
      <c r="W717" s="11" t="str">
        <f>INDEX('Lookup 1961'!$F$2:$F$1300, MATCH(S717, 'Lookup 1961'!$B$2:$B$1300,0))</f>
        <v>e310891</v>
      </c>
      <c r="X717" s="11" t="str">
        <f>INDEX('Lookup 1961'!$C$2:$C$1300, MATCH(V717, 'Lookup 1961'!$A$2:$A$1300,0))</f>
        <v>Shropshire</v>
      </c>
    </row>
    <row r="718" spans="1:24" ht="25.05" customHeight="1" x14ac:dyDescent="0.3">
      <c r="A718" s="2" t="s">
        <v>685</v>
      </c>
      <c r="B718" s="2" t="s">
        <v>685</v>
      </c>
      <c r="C718" s="1">
        <v>23</v>
      </c>
      <c r="D718" s="1">
        <v>6</v>
      </c>
      <c r="E718" s="1">
        <v>19</v>
      </c>
      <c r="F718" s="1">
        <v>6</v>
      </c>
      <c r="K718" s="1">
        <v>265</v>
      </c>
      <c r="L718" s="6">
        <v>69374</v>
      </c>
      <c r="M718" s="1">
        <v>69.5</v>
      </c>
      <c r="N718" s="1">
        <v>9</v>
      </c>
      <c r="O718" s="1">
        <v>18</v>
      </c>
      <c r="P718" s="1">
        <v>38.799999999999997</v>
      </c>
      <c r="Q718" s="11">
        <f>'Table H'!$J$163</f>
        <v>0.94734384299328123</v>
      </c>
      <c r="R718" s="11">
        <f t="shared" si="22"/>
        <v>65721.031763815889</v>
      </c>
      <c r="S718" s="11" t="str">
        <f t="shared" si="23"/>
        <v>Ludlow MB</v>
      </c>
      <c r="T718" s="11" t="s">
        <v>5211</v>
      </c>
      <c r="V718" s="11" t="str">
        <f>INDEX('Lookup 1961'!$A$2:$A$1300, MATCH(S718, 'Lookup 1961'!$B$2:$B$1300,0))</f>
        <v>J04000787</v>
      </c>
      <c r="W718" s="11" t="str">
        <f>INDEX('Lookup 1961'!$F$2:$F$1300, MATCH(S718, 'Lookup 1961'!$B$2:$B$1300,0))</f>
        <v>e310894</v>
      </c>
      <c r="X718" s="11" t="str">
        <f>INDEX('Lookup 1961'!$C$2:$C$1300, MATCH(V718, 'Lookup 1961'!$A$2:$A$1300,0))</f>
        <v>Shropshire</v>
      </c>
    </row>
    <row r="719" spans="1:24" ht="25.05" customHeight="1" x14ac:dyDescent="0.3">
      <c r="A719" s="2" t="s">
        <v>686</v>
      </c>
      <c r="B719" s="2" t="s">
        <v>686</v>
      </c>
      <c r="C719" s="1">
        <v>22</v>
      </c>
      <c r="D719" s="1">
        <v>6</v>
      </c>
      <c r="E719" s="1">
        <v>17</v>
      </c>
      <c r="F719" s="1">
        <v>6</v>
      </c>
      <c r="K719" s="1">
        <v>641</v>
      </c>
      <c r="L719" s="6">
        <v>155888</v>
      </c>
      <c r="M719" s="1">
        <v>78.900000000000006</v>
      </c>
      <c r="N719" s="1">
        <v>12</v>
      </c>
      <c r="O719" s="1">
        <v>2</v>
      </c>
      <c r="P719" s="1">
        <v>35.700000000000003</v>
      </c>
      <c r="Q719" s="11">
        <f>'Table H'!$J$163</f>
        <v>0.94734384299328123</v>
      </c>
      <c r="R719" s="11">
        <f t="shared" si="22"/>
        <v>147679.53699653663</v>
      </c>
      <c r="S719" s="11" t="str">
        <f t="shared" si="23"/>
        <v>Oswestry MB</v>
      </c>
      <c r="T719" s="11" t="s">
        <v>5211</v>
      </c>
      <c r="V719" s="11" t="str">
        <f>INDEX('Lookup 1961'!$A$2:$A$1300, MATCH(S719, 'Lookup 1961'!$B$2:$B$1300,0))</f>
        <v>J04000961</v>
      </c>
      <c r="W719" s="11" t="str">
        <f>INDEX('Lookup 1961'!$F$2:$F$1300, MATCH(S719, 'Lookup 1961'!$B$2:$B$1300,0))</f>
        <v>e310897</v>
      </c>
      <c r="X719" s="11" t="str">
        <f>INDEX('Lookup 1961'!$C$2:$C$1300, MATCH(V719, 'Lookup 1961'!$A$2:$A$1300,0))</f>
        <v>Shropshire</v>
      </c>
    </row>
    <row r="720" spans="1:24" ht="25.05" customHeight="1" x14ac:dyDescent="0.3">
      <c r="A720" s="2" t="s">
        <v>687</v>
      </c>
      <c r="B720" s="2" t="s">
        <v>687</v>
      </c>
      <c r="C720" s="1">
        <v>24</v>
      </c>
      <c r="D720" s="1">
        <v>8</v>
      </c>
      <c r="E720" s="1">
        <v>19</v>
      </c>
      <c r="F720" s="1">
        <v>6</v>
      </c>
      <c r="K720" s="6">
        <v>2515</v>
      </c>
      <c r="L720" s="6">
        <v>634179</v>
      </c>
      <c r="M720" s="1">
        <v>72.7</v>
      </c>
      <c r="N720" s="1">
        <v>12</v>
      </c>
      <c r="O720" s="1">
        <v>13</v>
      </c>
      <c r="P720" s="1">
        <v>33.5</v>
      </c>
      <c r="Q720" s="11">
        <f>'Table H'!$J$163</f>
        <v>0.94734384299328123</v>
      </c>
      <c r="R720" s="11">
        <f t="shared" si="22"/>
        <v>600785.57100563613</v>
      </c>
      <c r="S720" s="11" t="str">
        <f t="shared" si="23"/>
        <v>Shrewsbury MB</v>
      </c>
      <c r="T720" s="11" t="s">
        <v>5211</v>
      </c>
      <c r="V720" s="11" t="str">
        <f>INDEX('Lookup 1961'!$A$2:$A$1300, MATCH(S720, 'Lookup 1961'!$B$2:$B$1300,0))</f>
        <v>J04001140</v>
      </c>
      <c r="W720" s="11" t="str">
        <f>INDEX('Lookup 1961'!$F$2:$F$1300, MATCH(S720, 'Lookup 1961'!$B$2:$B$1300,0))</f>
        <v>e310887</v>
      </c>
      <c r="X720" s="11" t="str">
        <f>INDEX('Lookup 1961'!$C$2:$C$1300, MATCH(V720, 'Lookup 1961'!$A$2:$A$1300,0))</f>
        <v>Shropshire</v>
      </c>
    </row>
    <row r="721" spans="1:24" ht="25.05" customHeight="1" x14ac:dyDescent="0.3">
      <c r="A721" s="2" t="s">
        <v>688</v>
      </c>
      <c r="B721" s="2" t="s">
        <v>688</v>
      </c>
      <c r="C721" s="1">
        <v>25</v>
      </c>
      <c r="D721" s="1">
        <v>8</v>
      </c>
      <c r="E721" s="1">
        <v>17</v>
      </c>
      <c r="F721" s="1">
        <v>6</v>
      </c>
      <c r="K721" s="1">
        <v>567</v>
      </c>
      <c r="L721" s="6">
        <v>144826</v>
      </c>
      <c r="M721" s="1">
        <v>156.4</v>
      </c>
      <c r="N721" s="1">
        <v>7</v>
      </c>
      <c r="O721" s="1">
        <v>18</v>
      </c>
      <c r="P721" s="1">
        <v>76.599999999999994</v>
      </c>
      <c r="Q721" s="11">
        <f>'Table H'!$J$163</f>
        <v>0.94734384299328123</v>
      </c>
      <c r="R721" s="11">
        <f t="shared" si="22"/>
        <v>137200.01940534494</v>
      </c>
      <c r="S721" s="11" t="str">
        <f t="shared" si="23"/>
        <v>Wenlock MB</v>
      </c>
      <c r="T721" s="11" t="s">
        <v>5211</v>
      </c>
      <c r="V721" s="11" t="str">
        <f>INDEX('Lookup 1961'!$A$2:$A$1300, MATCH(S721, 'Lookup 1961'!$B$2:$B$1300,0))</f>
        <v>J04001377</v>
      </c>
      <c r="W721" s="11" t="str">
        <f>INDEX('Lookup 1961'!$F$2:$F$1300, MATCH(S721, 'Lookup 1961'!$B$2:$B$1300,0))</f>
        <v>e310883</v>
      </c>
      <c r="X721" s="11" t="str">
        <f>INDEX('Lookup 1961'!$C$2:$C$1300, MATCH(V721, 'Lookup 1961'!$A$2:$A$1300,0))</f>
        <v>Shropshire</v>
      </c>
    </row>
    <row r="722" spans="1:24" ht="25.05" customHeight="1" x14ac:dyDescent="0.3">
      <c r="A722" s="2" t="s">
        <v>150</v>
      </c>
      <c r="B722" s="2" t="s">
        <v>1221</v>
      </c>
      <c r="S722" s="11" t="str">
        <f t="shared" si="23"/>
        <v xml:space="preserve">Urban Districts  </v>
      </c>
      <c r="V722" s="11" t="e">
        <f>INDEX('Lookup 1961'!$A$2:$A$1300, MATCH(S722, 'Lookup 1961'!$B$2:$B$1300,0))</f>
        <v>#N/A</v>
      </c>
      <c r="W722" s="11" t="e">
        <f>INDEX('Lookup 1961'!$F$2:$F$1300, MATCH(S722, 'Lookup 1961'!$B$2:$B$1300,0))</f>
        <v>#N/A</v>
      </c>
      <c r="X722" s="11" t="e">
        <f>INDEX('Lookup 1961'!$C$2:$C$1300, MATCH(V722, 'Lookup 1961'!$A$2:$A$1300,0))</f>
        <v>#N/A</v>
      </c>
    </row>
    <row r="723" spans="1:24" ht="25.05" customHeight="1" x14ac:dyDescent="0.3">
      <c r="A723" s="2" t="s">
        <v>689</v>
      </c>
      <c r="B723" s="2" t="s">
        <v>689</v>
      </c>
      <c r="C723" s="1">
        <v>23</v>
      </c>
      <c r="D723" s="1">
        <v>7</v>
      </c>
      <c r="E723" s="1">
        <v>18</v>
      </c>
      <c r="F723" s="1">
        <v>0</v>
      </c>
      <c r="K723" s="1">
        <v>154</v>
      </c>
      <c r="L723" s="6">
        <v>39179</v>
      </c>
      <c r="M723" s="1">
        <v>56.6</v>
      </c>
      <c r="N723" s="1">
        <v>12</v>
      </c>
      <c r="O723" s="1">
        <v>3</v>
      </c>
      <c r="P723" s="1">
        <v>19.600000000000001</v>
      </c>
      <c r="Q723" s="11">
        <f>'Table H'!$J$164</f>
        <v>0.94737665630667012</v>
      </c>
      <c r="R723" s="11">
        <f t="shared" si="22"/>
        <v>37117.270017439027</v>
      </c>
      <c r="S723" s="11" t="str">
        <f t="shared" si="23"/>
        <v>Church Stretton UD</v>
      </c>
      <c r="T723" s="11" t="s">
        <v>5214</v>
      </c>
      <c r="V723" s="11" t="str">
        <f>INDEX('Lookup 1961'!$A$2:$A$1300, MATCH(S723, 'Lookup 1961'!$B$2:$B$1300,0))</f>
        <v>J04000317</v>
      </c>
      <c r="W723" s="11" t="str">
        <f>INDEX('Lookup 1961'!$F$2:$F$1300, MATCH(S723, 'Lookup 1961'!$B$2:$B$1300,0))</f>
        <v>e310894</v>
      </c>
      <c r="X723" s="11" t="str">
        <f>INDEX('Lookup 1961'!$C$2:$C$1300, MATCH(V723, 'Lookup 1961'!$A$2:$A$1300,0))</f>
        <v>Shropshire</v>
      </c>
    </row>
    <row r="724" spans="1:24" ht="25.05" customHeight="1" x14ac:dyDescent="0.3">
      <c r="A724" s="2" t="s">
        <v>690</v>
      </c>
      <c r="B724" s="2" t="s">
        <v>690</v>
      </c>
      <c r="C724" s="1">
        <v>29</v>
      </c>
      <c r="D724" s="1">
        <v>0</v>
      </c>
      <c r="E724" s="1">
        <v>19</v>
      </c>
      <c r="F724" s="1">
        <v>10</v>
      </c>
      <c r="K724" s="1">
        <v>256</v>
      </c>
      <c r="L724" s="6">
        <v>66970</v>
      </c>
      <c r="M724" s="1">
        <v>172.6</v>
      </c>
      <c r="N724" s="1">
        <v>6</v>
      </c>
      <c r="O724" s="1">
        <v>4</v>
      </c>
      <c r="P724" s="1">
        <v>49.6</v>
      </c>
      <c r="Q724" s="11">
        <f>'Table H'!$J$164</f>
        <v>0.94737665630667012</v>
      </c>
      <c r="R724" s="11">
        <f t="shared" si="22"/>
        <v>63445.814672857698</v>
      </c>
      <c r="S724" s="11" t="str">
        <f t="shared" si="23"/>
        <v>Dawley UD</v>
      </c>
      <c r="T724" s="11" t="s">
        <v>5214</v>
      </c>
      <c r="V724" s="11" t="str">
        <f>INDEX('Lookup 1961'!$A$2:$A$1300, MATCH(S724, 'Lookup 1961'!$B$2:$B$1300,0))</f>
        <v>J04000390</v>
      </c>
      <c r="W724" s="11" t="str">
        <f>INDEX('Lookup 1961'!$F$2:$F$1300, MATCH(S724, 'Lookup 1961'!$B$2:$B$1300,0))</f>
        <v>e310883</v>
      </c>
      <c r="X724" s="11" t="str">
        <f>INDEX('Lookup 1961'!$C$2:$C$1300, MATCH(V724, 'Lookup 1961'!$A$2:$A$1300,0))</f>
        <v>Shropshire</v>
      </c>
    </row>
    <row r="725" spans="1:24" ht="25.05" customHeight="1" x14ac:dyDescent="0.3">
      <c r="A725" s="2" t="s">
        <v>691</v>
      </c>
      <c r="B725" s="2" t="s">
        <v>691</v>
      </c>
      <c r="C725" s="1">
        <v>26</v>
      </c>
      <c r="D725" s="1">
        <v>0</v>
      </c>
      <c r="E725" s="1">
        <v>20</v>
      </c>
      <c r="F725" s="1">
        <v>0</v>
      </c>
      <c r="K725" s="1">
        <v>102</v>
      </c>
      <c r="L725" s="6">
        <v>25989</v>
      </c>
      <c r="M725" s="1">
        <v>87.6</v>
      </c>
      <c r="N725" s="1">
        <v>10</v>
      </c>
      <c r="O725" s="1">
        <v>19</v>
      </c>
      <c r="P725" s="1">
        <v>44</v>
      </c>
      <c r="Q725" s="11">
        <f>'Table H'!$J$164</f>
        <v>0.94737665630667012</v>
      </c>
      <c r="R725" s="11">
        <f t="shared" si="22"/>
        <v>24621.371920754049</v>
      </c>
      <c r="S725" s="11" t="str">
        <f t="shared" si="23"/>
        <v>Ellesmere UD</v>
      </c>
      <c r="T725" s="11" t="s">
        <v>5214</v>
      </c>
      <c r="V725" s="11" t="str">
        <f>INDEX('Lookup 1961'!$A$2:$A$1300, MATCH(S725, 'Lookup 1961'!$B$2:$B$1300,0))</f>
        <v>J04000469</v>
      </c>
      <c r="W725" s="11" t="str">
        <f>INDEX('Lookup 1961'!$F$2:$F$1300, MATCH(S725, 'Lookup 1961'!$B$2:$B$1300,0))</f>
        <v>e310896</v>
      </c>
      <c r="X725" s="11" t="str">
        <f>INDEX('Lookup 1961'!$C$2:$C$1300, MATCH(V725, 'Lookup 1961'!$A$2:$A$1300,0))</f>
        <v>Shropshire</v>
      </c>
    </row>
    <row r="726" spans="1:24" ht="25.05" customHeight="1" x14ac:dyDescent="0.3">
      <c r="A726" s="2" t="s">
        <v>692</v>
      </c>
      <c r="B726" s="2" t="s">
        <v>692</v>
      </c>
      <c r="C726" s="1">
        <v>24</v>
      </c>
      <c r="D726" s="1">
        <v>4</v>
      </c>
      <c r="E726" s="1">
        <v>17</v>
      </c>
      <c r="F726" s="1">
        <v>4</v>
      </c>
      <c r="K726" s="1">
        <v>352</v>
      </c>
      <c r="L726" s="6">
        <v>88035</v>
      </c>
      <c r="M726" s="1">
        <v>148.6</v>
      </c>
      <c r="N726" s="1">
        <v>10</v>
      </c>
      <c r="O726" s="1">
        <v>10</v>
      </c>
      <c r="P726" s="1">
        <v>44.9</v>
      </c>
      <c r="Q726" s="11">
        <f>'Table H'!$J$164</f>
        <v>0.94737665630667012</v>
      </c>
      <c r="R726" s="11">
        <f t="shared" si="22"/>
        <v>83402.303937957709</v>
      </c>
      <c r="S726" s="11" t="str">
        <f t="shared" si="23"/>
        <v>Market Drayton UD</v>
      </c>
      <c r="T726" s="11" t="s">
        <v>5214</v>
      </c>
      <c r="V726" s="11" t="str">
        <f>INDEX('Lookup 1961'!$A$2:$A$1300, MATCH(S726, 'Lookup 1961'!$B$2:$B$1300,0))</f>
        <v>J04000828</v>
      </c>
      <c r="W726" s="11" t="str">
        <f>INDEX('Lookup 1961'!$F$2:$F$1300, MATCH(S726, 'Lookup 1961'!$B$2:$B$1300,0))</f>
        <v>e310895</v>
      </c>
      <c r="X726" s="11" t="str">
        <f>INDEX('Lookup 1961'!$C$2:$C$1300, MATCH(V726, 'Lookup 1961'!$A$2:$A$1300,0))</f>
        <v>Shropshire</v>
      </c>
    </row>
    <row r="727" spans="1:24" ht="25.05" customHeight="1" x14ac:dyDescent="0.3">
      <c r="A727" s="2" t="s">
        <v>417</v>
      </c>
      <c r="B727" s="2" t="s">
        <v>417</v>
      </c>
      <c r="C727" s="1">
        <v>21</v>
      </c>
      <c r="D727" s="1">
        <v>8</v>
      </c>
      <c r="E727" s="1">
        <v>16</v>
      </c>
      <c r="F727" s="1">
        <v>8</v>
      </c>
      <c r="K727" s="1">
        <v>214</v>
      </c>
      <c r="L727" s="6">
        <v>53159</v>
      </c>
      <c r="M727" s="1">
        <v>120.6</v>
      </c>
      <c r="N727" s="1">
        <v>10</v>
      </c>
      <c r="O727" s="1">
        <v>13</v>
      </c>
      <c r="P727" s="1">
        <v>67.3</v>
      </c>
      <c r="Q727" s="11">
        <f>'Table H'!$J$164</f>
        <v>0.94737665630667012</v>
      </c>
      <c r="R727" s="11">
        <f t="shared" si="22"/>
        <v>50361.59567260628</v>
      </c>
      <c r="S727" s="11" t="str">
        <f t="shared" si="23"/>
        <v>Newport UD</v>
      </c>
      <c r="T727" s="11" t="s">
        <v>5214</v>
      </c>
      <c r="V727" s="11" t="str">
        <f>INDEX('Lookup 1961'!$A$2:$A$1300, MATCH(S727, 'Lookup 1961'!$B$2:$B$1300,0))</f>
        <v>J04000911</v>
      </c>
      <c r="W727" s="11" t="str">
        <f>INDEX('Lookup 1961'!$F$2:$F$1300, MATCH(S727, 'Lookup 1961'!$B$2:$B$1300,0))</f>
        <v>e310885</v>
      </c>
      <c r="X727" s="11" t="str">
        <f>INDEX('Lookup 1961'!$C$2:$C$1300, MATCH(V727, 'Lookup 1961'!$A$2:$A$1300,0))</f>
        <v>Shropshire</v>
      </c>
    </row>
    <row r="728" spans="1:24" ht="25.05" customHeight="1" x14ac:dyDescent="0.3">
      <c r="A728" s="2" t="s">
        <v>693</v>
      </c>
      <c r="B728" s="2" t="s">
        <v>693</v>
      </c>
      <c r="C728" s="1">
        <v>26</v>
      </c>
      <c r="D728" s="1">
        <v>3</v>
      </c>
      <c r="E728" s="1">
        <v>20</v>
      </c>
      <c r="F728" s="1">
        <v>0</v>
      </c>
      <c r="K728" s="1">
        <v>510</v>
      </c>
      <c r="L728" s="6">
        <v>128995</v>
      </c>
      <c r="M728" s="1">
        <v>157.69999999999999</v>
      </c>
      <c r="N728" s="1">
        <v>9</v>
      </c>
      <c r="O728" s="1">
        <v>16</v>
      </c>
      <c r="P728" s="1">
        <v>90.7</v>
      </c>
      <c r="Q728" s="11">
        <f>'Table H'!$J$164</f>
        <v>0.94737665630667012</v>
      </c>
      <c r="R728" s="11">
        <f t="shared" si="22"/>
        <v>122206.85178027891</v>
      </c>
      <c r="S728" s="11" t="str">
        <f t="shared" si="23"/>
        <v>Oakengates UD</v>
      </c>
      <c r="T728" s="11" t="s">
        <v>5214</v>
      </c>
      <c r="V728" s="11" t="str">
        <f>INDEX('Lookup 1961'!$A$2:$A$1300, MATCH(S728, 'Lookup 1961'!$B$2:$B$1300,0))</f>
        <v>J04000945</v>
      </c>
      <c r="W728" s="11" t="str">
        <f>INDEX('Lookup 1961'!$F$2:$F$1300, MATCH(S728, 'Lookup 1961'!$B$2:$B$1300,0))</f>
        <v>e310886</v>
      </c>
      <c r="X728" s="11" t="str">
        <f>INDEX('Lookup 1961'!$C$2:$C$1300, MATCH(V728, 'Lookup 1961'!$A$2:$A$1300,0))</f>
        <v>Shropshire</v>
      </c>
    </row>
    <row r="729" spans="1:24" ht="25.05" customHeight="1" x14ac:dyDescent="0.3">
      <c r="A729" s="2" t="s">
        <v>694</v>
      </c>
      <c r="B729" s="2" t="s">
        <v>694</v>
      </c>
      <c r="C729" s="1">
        <v>26</v>
      </c>
      <c r="D729" s="1">
        <v>6</v>
      </c>
      <c r="E729" s="1">
        <v>18</v>
      </c>
      <c r="F729" s="1">
        <v>0</v>
      </c>
      <c r="K729" s="1">
        <v>805</v>
      </c>
      <c r="L729" s="6">
        <v>209426</v>
      </c>
      <c r="M729" s="1">
        <v>140.80000000000001</v>
      </c>
      <c r="N729" s="1">
        <v>11</v>
      </c>
      <c r="O729" s="1">
        <v>4</v>
      </c>
      <c r="P729" s="1">
        <v>25.3</v>
      </c>
      <c r="Q729" s="11">
        <f>'Table H'!$J$164</f>
        <v>0.94737665630667012</v>
      </c>
      <c r="R729" s="11">
        <f t="shared" si="22"/>
        <v>198405.30362368069</v>
      </c>
      <c r="S729" s="11" t="str">
        <f t="shared" si="23"/>
        <v>Wellington UD</v>
      </c>
      <c r="T729" s="11" t="s">
        <v>5214</v>
      </c>
      <c r="V729" s="11" t="str">
        <f>INDEX('Lookup 1961'!$A$2:$A$1300, MATCH(S729, 'Lookup 1961'!$B$2:$B$1300,0))</f>
        <v>J04001365</v>
      </c>
      <c r="W729" s="11" t="str">
        <f>INDEX('Lookup 1961'!$F$2:$F$1300, MATCH(S729, 'Lookup 1961'!$B$2:$B$1300,0))</f>
        <v>e310888</v>
      </c>
      <c r="X729" s="11" t="str">
        <f>INDEX('Lookup 1961'!$C$2:$C$1300, MATCH(V729, 'Lookup 1961'!$A$2:$A$1300,0))</f>
        <v>Shropshire</v>
      </c>
    </row>
    <row r="730" spans="1:24" ht="25.05" customHeight="1" x14ac:dyDescent="0.3">
      <c r="A730" s="2" t="s">
        <v>604</v>
      </c>
      <c r="B730" s="2" t="s">
        <v>1115</v>
      </c>
      <c r="C730" s="1">
        <v>26</v>
      </c>
      <c r="D730" s="1">
        <v>0</v>
      </c>
      <c r="E730" s="1">
        <v>20</v>
      </c>
      <c r="F730" s="1">
        <v>0</v>
      </c>
      <c r="K730" s="1">
        <v>135</v>
      </c>
      <c r="L730" s="6">
        <v>34317</v>
      </c>
      <c r="M730" s="1">
        <v>135.9</v>
      </c>
      <c r="N730" s="1">
        <v>11</v>
      </c>
      <c r="O730" s="1">
        <v>19</v>
      </c>
      <c r="P730" s="1">
        <v>55.4</v>
      </c>
      <c r="Q730" s="11">
        <f>'Table H'!$J$164</f>
        <v>0.94737665630667012</v>
      </c>
      <c r="R730" s="11">
        <f t="shared" si="22"/>
        <v>32511.124714475998</v>
      </c>
      <c r="S730" s="11" t="str">
        <f t="shared" si="23"/>
        <v>Wem UD</v>
      </c>
      <c r="T730" s="11" t="s">
        <v>5214</v>
      </c>
      <c r="V730" s="11" t="str">
        <f>INDEX('Lookup 1961'!$A$2:$A$1300, MATCH(S730, 'Lookup 1961'!$B$2:$B$1300,0))</f>
        <v>J04001375</v>
      </c>
      <c r="W730" s="11" t="str">
        <f>INDEX('Lookup 1961'!$F$2:$F$1300, MATCH(S730, 'Lookup 1961'!$B$2:$B$1300,0))</f>
        <v>e310896</v>
      </c>
      <c r="X730" s="11" t="str">
        <f>INDEX('Lookup 1961'!$C$2:$C$1300, MATCH(V730, 'Lookup 1961'!$A$2:$A$1300,0))</f>
        <v>Shropshire</v>
      </c>
    </row>
    <row r="731" spans="1:24" ht="25.05" customHeight="1" x14ac:dyDescent="0.3">
      <c r="A731" s="2" t="s">
        <v>695</v>
      </c>
      <c r="B731" s="2" t="s">
        <v>695</v>
      </c>
      <c r="C731" s="1">
        <v>22</v>
      </c>
      <c r="D731" s="1">
        <v>8</v>
      </c>
      <c r="E731" s="1">
        <v>17</v>
      </c>
      <c r="F731" s="1">
        <v>0</v>
      </c>
      <c r="K731" s="1">
        <v>417</v>
      </c>
      <c r="L731" s="6">
        <v>102678</v>
      </c>
      <c r="M731" s="1">
        <v>143.69999999999999</v>
      </c>
      <c r="N731" s="1">
        <v>12</v>
      </c>
      <c r="O731" s="1">
        <v>2</v>
      </c>
      <c r="P731" s="1">
        <v>82</v>
      </c>
      <c r="Q731" s="11">
        <f>'Table H'!$J$164</f>
        <v>0.94737665630667012</v>
      </c>
      <c r="R731" s="11">
        <f t="shared" si="22"/>
        <v>97274.74031625627</v>
      </c>
      <c r="S731" s="11" t="str">
        <f t="shared" si="23"/>
        <v>Whitchurch UD</v>
      </c>
      <c r="T731" s="11" t="s">
        <v>5214</v>
      </c>
      <c r="V731" s="11" t="str">
        <f>INDEX('Lookup 1961'!$A$2:$A$1300, MATCH(S731, 'Lookup 1961'!$B$2:$B$1300,0))</f>
        <v>J04001401</v>
      </c>
      <c r="W731" s="11" t="str">
        <f>INDEX('Lookup 1961'!$F$2:$F$1300, MATCH(S731, 'Lookup 1961'!$B$2:$B$1300,0))</f>
        <v>e310896</v>
      </c>
      <c r="X731" s="11" t="str">
        <f>INDEX('Lookup 1961'!$C$2:$C$1300, MATCH(V731, 'Lookup 1961'!$A$2:$A$1300,0))</f>
        <v>Shropshire</v>
      </c>
    </row>
    <row r="732" spans="1:24" ht="25.05" customHeight="1" x14ac:dyDescent="0.3">
      <c r="A732" s="2" t="s">
        <v>696</v>
      </c>
      <c r="B732" s="2" t="s">
        <v>696</v>
      </c>
      <c r="S732" s="11" t="str">
        <f t="shared" si="23"/>
        <v xml:space="preserve">SOKE OF PETERBOROUGH: </v>
      </c>
      <c r="V732" s="11" t="e">
        <f>INDEX('Lookup 1961'!$A$2:$A$1300, MATCH(S732, 'Lookup 1961'!$B$2:$B$1300,0))</f>
        <v>#N/A</v>
      </c>
      <c r="W732" s="11" t="e">
        <f>INDEX('Lookup 1961'!$F$2:$F$1300, MATCH(S732, 'Lookup 1961'!$B$2:$B$1300,0))</f>
        <v>#N/A</v>
      </c>
      <c r="X732" s="11" t="e">
        <f>INDEX('Lookup 1961'!$C$2:$C$1300, MATCH(V732, 'Lookup 1961'!$A$2:$A$1300,0))</f>
        <v>#N/A</v>
      </c>
    </row>
    <row r="733" spans="1:24" ht="25.05" customHeight="1" x14ac:dyDescent="0.3">
      <c r="A733" s="2" t="s">
        <v>146</v>
      </c>
      <c r="B733" s="2" t="s">
        <v>5257</v>
      </c>
      <c r="S733" s="11" t="str">
        <f t="shared" si="23"/>
        <v xml:space="preserve">Non County Boroughs  </v>
      </c>
      <c r="V733" s="11" t="e">
        <f>INDEX('Lookup 1961'!$A$2:$A$1300, MATCH(S733, 'Lookup 1961'!$B$2:$B$1300,0))</f>
        <v>#N/A</v>
      </c>
      <c r="W733" s="11" t="e">
        <f>INDEX('Lookup 1961'!$F$2:$F$1300, MATCH(S733, 'Lookup 1961'!$B$2:$B$1300,0))</f>
        <v>#N/A</v>
      </c>
      <c r="X733" s="11" t="e">
        <f>INDEX('Lookup 1961'!$C$2:$C$1300, MATCH(V733, 'Lookup 1961'!$A$2:$A$1300,0))</f>
        <v>#N/A</v>
      </c>
    </row>
    <row r="734" spans="1:24" ht="25.05" customHeight="1" x14ac:dyDescent="0.3">
      <c r="A734" s="2" t="s">
        <v>697</v>
      </c>
      <c r="B734" s="2" t="s">
        <v>697</v>
      </c>
      <c r="C734" s="1">
        <v>26</v>
      </c>
      <c r="D734" s="1">
        <v>0</v>
      </c>
      <c r="E734" s="1">
        <v>18</v>
      </c>
      <c r="F734" s="1">
        <v>8</v>
      </c>
      <c r="K734" s="6">
        <v>3150</v>
      </c>
      <c r="L734" s="6">
        <v>800353</v>
      </c>
      <c r="M734" s="1">
        <v>101.5</v>
      </c>
      <c r="N734" s="1">
        <v>13</v>
      </c>
      <c r="O734" s="1">
        <v>12</v>
      </c>
      <c r="P734" s="1">
        <v>43</v>
      </c>
      <c r="Q734" s="11">
        <f>'Table H'!$J$168</f>
        <v>0.92650243080240846</v>
      </c>
      <c r="R734" s="11">
        <f t="shared" si="22"/>
        <v>741529</v>
      </c>
      <c r="S734" s="11" t="str">
        <f t="shared" si="23"/>
        <v>Peterborough MB</v>
      </c>
      <c r="T734" s="11" t="s">
        <v>5211</v>
      </c>
      <c r="V734" s="11" t="str">
        <f>'Lookup 1961'!$A$76</f>
        <v>J04000988</v>
      </c>
      <c r="W734" s="11" t="str">
        <f>'Lookup 1961'!$F$76</f>
        <v>e180498</v>
      </c>
      <c r="X734" s="11" t="str">
        <f>INDEX('Lookup 1961'!$C$2:$C$1300, MATCH(V734, 'Lookup 1961'!$A$2:$A$1300,0))</f>
        <v>Cambridgeshire</v>
      </c>
    </row>
    <row r="735" spans="1:24" ht="25.05" customHeight="1" x14ac:dyDescent="0.3">
      <c r="A735" s="2" t="s">
        <v>698</v>
      </c>
      <c r="B735" s="2" t="s">
        <v>698</v>
      </c>
      <c r="S735" s="11" t="str">
        <f t="shared" si="23"/>
        <v xml:space="preserve">SOMERSET: </v>
      </c>
      <c r="V735" s="11" t="e">
        <f>INDEX('Lookup 1961'!$A$2:$A$1300, MATCH(S735, 'Lookup 1961'!$B$2:$B$1300,0))</f>
        <v>#N/A</v>
      </c>
      <c r="W735" s="11" t="e">
        <f>INDEX('Lookup 1961'!$F$2:$F$1300, MATCH(S735, 'Lookup 1961'!$B$2:$B$1300,0))</f>
        <v>#N/A</v>
      </c>
      <c r="X735" s="11" t="e">
        <f>INDEX('Lookup 1961'!$C$2:$C$1300, MATCH(V735, 'Lookup 1961'!$A$2:$A$1300,0))</f>
        <v>#N/A</v>
      </c>
    </row>
    <row r="736" spans="1:24" ht="25.05" customHeight="1" x14ac:dyDescent="0.3">
      <c r="A736" s="2" t="s">
        <v>146</v>
      </c>
      <c r="B736" s="2" t="s">
        <v>5257</v>
      </c>
      <c r="S736" s="11" t="str">
        <f t="shared" si="23"/>
        <v xml:space="preserve">Non County Boroughs  </v>
      </c>
      <c r="V736" s="11" t="e">
        <f>INDEX('Lookup 1961'!$A$2:$A$1300, MATCH(S736, 'Lookup 1961'!$B$2:$B$1300,0))</f>
        <v>#N/A</v>
      </c>
      <c r="W736" s="11" t="e">
        <f>INDEX('Lookup 1961'!$F$2:$F$1300, MATCH(S736, 'Lookup 1961'!$B$2:$B$1300,0))</f>
        <v>#N/A</v>
      </c>
      <c r="X736" s="11" t="e">
        <f>INDEX('Lookup 1961'!$C$2:$C$1300, MATCH(V736, 'Lookup 1961'!$A$2:$A$1300,0))</f>
        <v>#N/A</v>
      </c>
    </row>
    <row r="737" spans="1:24" ht="25.05" customHeight="1" x14ac:dyDescent="0.3">
      <c r="A737" s="2" t="s">
        <v>699</v>
      </c>
      <c r="B737" s="2" t="s">
        <v>699</v>
      </c>
      <c r="C737" s="1">
        <v>25</v>
      </c>
      <c r="D737" s="1">
        <v>8</v>
      </c>
      <c r="E737" s="1">
        <v>19</v>
      </c>
      <c r="F737" s="1">
        <v>4</v>
      </c>
      <c r="K737" s="6">
        <v>1170</v>
      </c>
      <c r="L737" s="6">
        <v>301059</v>
      </c>
      <c r="M737" s="1">
        <v>98.4</v>
      </c>
      <c r="N737" s="1">
        <v>12</v>
      </c>
      <c r="O737" s="1">
        <v>2</v>
      </c>
      <c r="P737" s="1">
        <v>53.7</v>
      </c>
      <c r="Q737" s="11">
        <f>'Table H'!$J$172</f>
        <v>0.95465025560347327</v>
      </c>
      <c r="R737" s="11">
        <f t="shared" si="22"/>
        <v>287406.05130172608</v>
      </c>
      <c r="S737" s="11" t="str">
        <f t="shared" si="23"/>
        <v>Bridgwater MB</v>
      </c>
      <c r="T737" s="11" t="s">
        <v>5211</v>
      </c>
      <c r="V737" s="11" t="str">
        <f>INDEX('Lookup 1961'!$A$2:$A$1300, MATCH(S737, 'Lookup 1961'!$B$2:$B$1300,0))</f>
        <v>J04000201</v>
      </c>
      <c r="W737" s="11" t="str">
        <f>INDEX('Lookup 1961'!$F$2:$F$1300, MATCH(S737, 'Lookup 1961'!$B$2:$B$1300,0))</f>
        <v>e320903</v>
      </c>
      <c r="X737" s="11" t="str">
        <f>INDEX('Lookup 1961'!$C$2:$C$1300, MATCH(V737, 'Lookup 1961'!$A$2:$A$1300,0))</f>
        <v>Somerset</v>
      </c>
    </row>
    <row r="738" spans="1:24" ht="25.05" customHeight="1" x14ac:dyDescent="0.3">
      <c r="A738" s="2" t="s">
        <v>700</v>
      </c>
      <c r="B738" s="2" t="s">
        <v>700</v>
      </c>
      <c r="C738" s="1">
        <v>25</v>
      </c>
      <c r="D738" s="1">
        <v>8</v>
      </c>
      <c r="E738" s="1">
        <v>19</v>
      </c>
      <c r="F738" s="1">
        <v>10</v>
      </c>
      <c r="K738" s="1">
        <v>220</v>
      </c>
      <c r="L738" s="6">
        <v>63355</v>
      </c>
      <c r="M738" s="1">
        <v>84.2</v>
      </c>
      <c r="N738" s="1">
        <v>11</v>
      </c>
      <c r="O738" s="1">
        <v>8</v>
      </c>
      <c r="P738" s="1">
        <v>41.4</v>
      </c>
      <c r="Q738" s="11">
        <f>'Table H'!$J$172</f>
        <v>0.95465025560347327</v>
      </c>
      <c r="R738" s="11">
        <f t="shared" si="22"/>
        <v>60481.866943758047</v>
      </c>
      <c r="S738" s="11" t="str">
        <f t="shared" si="23"/>
        <v>Chard MB</v>
      </c>
      <c r="T738" s="11" t="s">
        <v>5211</v>
      </c>
      <c r="V738" s="11" t="str">
        <f>INDEX('Lookup 1961'!$A$2:$A$1300, MATCH(S738, 'Lookup 1961'!$B$2:$B$1300,0))</f>
        <v>J04000281</v>
      </c>
      <c r="W738" s="11" t="str">
        <f>INDEX('Lookup 1961'!$F$2:$F$1300, MATCH(S738, 'Lookup 1961'!$B$2:$B$1300,0))</f>
        <v>e320905</v>
      </c>
      <c r="X738" s="11" t="str">
        <f>INDEX('Lookup 1961'!$C$2:$C$1300, MATCH(V738, 'Lookup 1961'!$A$2:$A$1300,0))</f>
        <v>Somerset</v>
      </c>
    </row>
    <row r="739" spans="1:24" ht="25.05" customHeight="1" x14ac:dyDescent="0.3">
      <c r="A739" s="2" t="s">
        <v>701</v>
      </c>
      <c r="B739" s="2" t="s">
        <v>701</v>
      </c>
      <c r="C739" s="1">
        <v>24</v>
      </c>
      <c r="D739" s="1">
        <v>0</v>
      </c>
      <c r="E739" s="1">
        <v>17</v>
      </c>
      <c r="F739" s="1">
        <v>6</v>
      </c>
      <c r="K739" s="1">
        <v>185</v>
      </c>
      <c r="L739" s="6">
        <v>57433</v>
      </c>
      <c r="M739" s="1">
        <v>80.599999999999994</v>
      </c>
      <c r="N739" s="1">
        <v>7</v>
      </c>
      <c r="O739" s="1">
        <v>16</v>
      </c>
      <c r="P739" s="1">
        <v>8</v>
      </c>
      <c r="Q739" s="11">
        <f>'Table H'!$J$172</f>
        <v>0.95465025560347327</v>
      </c>
      <c r="R739" s="11">
        <f t="shared" si="22"/>
        <v>54828.42813007428</v>
      </c>
      <c r="S739" s="11" t="str">
        <f t="shared" si="23"/>
        <v>Glastonbury MB</v>
      </c>
      <c r="T739" s="11" t="s">
        <v>5211</v>
      </c>
      <c r="V739" s="11" t="str">
        <f>INDEX('Lookup 1961'!$A$2:$A$1300, MATCH(S739, 'Lookup 1961'!$B$2:$B$1300,0))</f>
        <v>J04000533</v>
      </c>
      <c r="W739" s="11" t="str">
        <f>INDEX('Lookup 1961'!$F$2:$F$1300, MATCH(S739, 'Lookup 1961'!$B$2:$B$1300,0))</f>
        <v>e320909</v>
      </c>
      <c r="X739" s="11" t="str">
        <f>INDEX('Lookup 1961'!$C$2:$C$1300, MATCH(V739, 'Lookup 1961'!$A$2:$A$1300,0))</f>
        <v>Somerset</v>
      </c>
    </row>
    <row r="740" spans="1:24" ht="25.05" customHeight="1" x14ac:dyDescent="0.3">
      <c r="A740" s="2" t="s">
        <v>702</v>
      </c>
      <c r="B740" s="2" t="s">
        <v>702</v>
      </c>
      <c r="C740" s="1">
        <v>26</v>
      </c>
      <c r="D740" s="1">
        <v>8</v>
      </c>
      <c r="E740" s="1">
        <v>20</v>
      </c>
      <c r="F740" s="1">
        <v>6</v>
      </c>
      <c r="K740" s="6">
        <v>2050</v>
      </c>
      <c r="L740" s="6">
        <v>529211</v>
      </c>
      <c r="M740" s="1">
        <v>96.4</v>
      </c>
      <c r="N740" s="1">
        <v>15</v>
      </c>
      <c r="O740" s="1">
        <v>13</v>
      </c>
      <c r="P740" s="1">
        <v>54.7</v>
      </c>
      <c r="Q740" s="11">
        <f>'Table H'!$J$172</f>
        <v>0.95465025560347327</v>
      </c>
      <c r="R740" s="11">
        <f t="shared" si="22"/>
        <v>505211.41641816968</v>
      </c>
      <c r="S740" s="11" t="str">
        <f t="shared" si="23"/>
        <v>Taunton MB</v>
      </c>
      <c r="T740" s="11" t="s">
        <v>5211</v>
      </c>
      <c r="V740" s="11" t="str">
        <f>INDEX('Lookup 1961'!$A$2:$A$1300, MATCH(S740, 'Lookup 1961'!$B$2:$B$1300,0))</f>
        <v>J04001251</v>
      </c>
      <c r="W740" s="11" t="str">
        <f>INDEX('Lookup 1961'!$F$2:$F$1300, MATCH(S740, 'Lookup 1961'!$B$2:$B$1300,0))</f>
        <v>e320917</v>
      </c>
      <c r="X740" s="11" t="str">
        <f>INDEX('Lookup 1961'!$C$2:$C$1300, MATCH(V740, 'Lookup 1961'!$A$2:$A$1300,0))</f>
        <v>Somerset</v>
      </c>
    </row>
    <row r="741" spans="1:24" ht="25.05" customHeight="1" x14ac:dyDescent="0.3">
      <c r="A741" s="2" t="s">
        <v>703</v>
      </c>
      <c r="B741" s="2" t="s">
        <v>5302</v>
      </c>
      <c r="C741" s="1">
        <v>23</v>
      </c>
      <c r="D741" s="1">
        <v>10</v>
      </c>
      <c r="E741" s="1">
        <v>18</v>
      </c>
      <c r="F741" s="1">
        <v>11</v>
      </c>
      <c r="K741" s="1">
        <v>293</v>
      </c>
      <c r="L741" s="6">
        <v>81395</v>
      </c>
      <c r="M741" s="1">
        <v>63.2</v>
      </c>
      <c r="N741" s="1">
        <v>12</v>
      </c>
      <c r="O741" s="1">
        <v>6</v>
      </c>
      <c r="P741" s="1">
        <v>29.9</v>
      </c>
      <c r="Q741" s="11">
        <f>'Table H'!$J$172</f>
        <v>0.95465025560347327</v>
      </c>
      <c r="R741" s="11">
        <f t="shared" si="22"/>
        <v>77703.757554844706</v>
      </c>
      <c r="S741" s="11" t="str">
        <f t="shared" si="23"/>
        <v>Wells, city of MB</v>
      </c>
      <c r="T741" s="11" t="s">
        <v>5211</v>
      </c>
      <c r="V741" s="11" t="str">
        <f>INDEX('Lookup 1961'!$A$2:$A$1300, MATCH(S741, 'Lookup 1961'!$B$2:$B$1300,0))</f>
        <v>J04001369</v>
      </c>
      <c r="W741" s="11" t="str">
        <f>INDEX('Lookup 1961'!$F$2:$F$1300, MATCH(S741, 'Lookup 1961'!$B$2:$B$1300,0))</f>
        <v>e320920</v>
      </c>
      <c r="X741" s="11" t="str">
        <f>INDEX('Lookup 1961'!$C$2:$C$1300, MATCH(V741, 'Lookup 1961'!$A$2:$A$1300,0))</f>
        <v>Somerset</v>
      </c>
    </row>
    <row r="742" spans="1:24" ht="25.05" customHeight="1" x14ac:dyDescent="0.3">
      <c r="A742" s="2" t="s">
        <v>704</v>
      </c>
      <c r="B742" s="2" t="s">
        <v>704</v>
      </c>
      <c r="C742" s="1">
        <v>25</v>
      </c>
      <c r="D742" s="1">
        <v>0</v>
      </c>
      <c r="E742" s="1">
        <v>18</v>
      </c>
      <c r="F742" s="1">
        <v>8</v>
      </c>
      <c r="K742" s="6">
        <v>2750</v>
      </c>
      <c r="L742" s="6">
        <v>728305</v>
      </c>
      <c r="M742" s="1">
        <v>64.099999999999994</v>
      </c>
      <c r="N742" s="1">
        <v>16</v>
      </c>
      <c r="O742" s="1">
        <v>0</v>
      </c>
      <c r="P742" s="1">
        <v>17.899999999999999</v>
      </c>
      <c r="Q742" s="11">
        <f>'Table H'!$J$172</f>
        <v>0.95465025560347327</v>
      </c>
      <c r="R742" s="11">
        <f t="shared" si="22"/>
        <v>695276.55440728762</v>
      </c>
      <c r="S742" s="11" t="str">
        <f t="shared" si="23"/>
        <v>Weston-super-Mare MB</v>
      </c>
      <c r="T742" s="11" t="s">
        <v>5211</v>
      </c>
      <c r="V742" s="11" t="str">
        <f>INDEX('Lookup 1961'!$A$2:$A$1300, MATCH(S742, 'Lookup 1961'!$B$2:$B$1300,0))</f>
        <v>J04001392</v>
      </c>
      <c r="W742" s="11" t="str">
        <f>INDEX('Lookup 1961'!$F$2:$F$1300, MATCH(S742, 'Lookup 1961'!$B$2:$B$1300,0))</f>
        <v>e320921</v>
      </c>
      <c r="X742" s="11" t="str">
        <f>INDEX('Lookup 1961'!$C$2:$C$1300, MATCH(V742, 'Lookup 1961'!$A$2:$A$1300,0))</f>
        <v>Avon</v>
      </c>
    </row>
    <row r="743" spans="1:24" ht="25.05" customHeight="1" x14ac:dyDescent="0.3">
      <c r="A743" s="2" t="s">
        <v>705</v>
      </c>
      <c r="B743" s="2" t="s">
        <v>705</v>
      </c>
      <c r="C743" s="1">
        <v>23</v>
      </c>
      <c r="D743" s="1">
        <v>10</v>
      </c>
      <c r="E743" s="1">
        <v>17</v>
      </c>
      <c r="F743" s="1">
        <v>10</v>
      </c>
      <c r="K743" s="6">
        <v>1679</v>
      </c>
      <c r="L743" s="6">
        <v>415660</v>
      </c>
      <c r="M743" s="1">
        <v>113.9</v>
      </c>
      <c r="N743" s="1">
        <v>15</v>
      </c>
      <c r="O743" s="1">
        <v>2</v>
      </c>
      <c r="P743" s="1">
        <v>58.3</v>
      </c>
      <c r="Q743" s="11">
        <f>'Table H'!$J$172</f>
        <v>0.95465025560347327</v>
      </c>
      <c r="R743" s="11">
        <f t="shared" si="22"/>
        <v>396809.92524413968</v>
      </c>
      <c r="S743" s="11" t="str">
        <f t="shared" si="23"/>
        <v>Yeovil MB</v>
      </c>
      <c r="T743" s="11" t="s">
        <v>5211</v>
      </c>
      <c r="V743" s="11" t="str">
        <f>INDEX('Lookup 1961'!$A$2:$A$1300, MATCH(S743, 'Lookup 1961'!$B$2:$B$1300,0))</f>
        <v>J04001463</v>
      </c>
      <c r="W743" s="11" t="str">
        <f>INDEX('Lookup 1961'!$F$2:$F$1300, MATCH(S743, 'Lookup 1961'!$B$2:$B$1300,0))</f>
        <v>e320922</v>
      </c>
      <c r="X743" s="11" t="str">
        <f>INDEX('Lookup 1961'!$C$2:$C$1300, MATCH(V743, 'Lookup 1961'!$A$2:$A$1300,0))</f>
        <v>Somerset</v>
      </c>
    </row>
    <row r="744" spans="1:24" ht="25.05" customHeight="1" x14ac:dyDescent="0.3">
      <c r="A744" s="2" t="s">
        <v>150</v>
      </c>
      <c r="B744" s="2" t="s">
        <v>1221</v>
      </c>
      <c r="S744" s="11" t="str">
        <f t="shared" si="23"/>
        <v xml:space="preserve">Urban Districts  </v>
      </c>
      <c r="V744" s="11" t="e">
        <f>INDEX('Lookup 1961'!$A$2:$A$1300, MATCH(S744, 'Lookup 1961'!$B$2:$B$1300,0))</f>
        <v>#N/A</v>
      </c>
      <c r="W744" s="11" t="e">
        <f>INDEX('Lookup 1961'!$F$2:$F$1300, MATCH(S744, 'Lookup 1961'!$B$2:$B$1300,0))</f>
        <v>#N/A</v>
      </c>
      <c r="X744" s="11" t="e">
        <f>INDEX('Lookup 1961'!$C$2:$C$1300, MATCH(V744, 'Lookup 1961'!$A$2:$A$1300,0))</f>
        <v>#N/A</v>
      </c>
    </row>
    <row r="745" spans="1:24" ht="25.05" customHeight="1" x14ac:dyDescent="0.3">
      <c r="A745" s="2" t="s">
        <v>706</v>
      </c>
      <c r="B745" s="2" t="s">
        <v>706</v>
      </c>
      <c r="C745" s="1">
        <v>24</v>
      </c>
      <c r="D745" s="1">
        <v>10</v>
      </c>
      <c r="E745" s="1">
        <v>19</v>
      </c>
      <c r="F745" s="1">
        <v>8</v>
      </c>
      <c r="K745" s="1">
        <v>495</v>
      </c>
      <c r="L745" s="6">
        <v>129645</v>
      </c>
      <c r="M745" s="1">
        <v>71.5</v>
      </c>
      <c r="N745" s="1">
        <v>12</v>
      </c>
      <c r="O745" s="1">
        <v>14</v>
      </c>
      <c r="P745" s="1">
        <v>35.200000000000003</v>
      </c>
      <c r="Q745" s="11">
        <f>'Table H'!$J$173</f>
        <v>0.92338748553798689</v>
      </c>
      <c r="R745" s="11">
        <f t="shared" si="22"/>
        <v>119712.57056257231</v>
      </c>
      <c r="S745" s="11" t="str">
        <f t="shared" si="23"/>
        <v>Burnham-on-Sea UD</v>
      </c>
      <c r="T745" s="11" t="s">
        <v>5214</v>
      </c>
      <c r="V745" s="11" t="str">
        <f>INDEX('Lookup 1961'!$A$2:$A$1300, MATCH(S745, 'Lookup 1961'!$B$2:$B$1300,0))</f>
        <v>J04000238</v>
      </c>
      <c r="W745" s="11" t="str">
        <f>INDEX('Lookup 1961'!$F$2:$F$1300, MATCH(S745, 'Lookup 1961'!$B$2:$B$1300,0))</f>
        <v>e320904</v>
      </c>
      <c r="X745" s="11" t="str">
        <f>INDEX('Lookup 1961'!$C$2:$C$1300, MATCH(V745, 'Lookup 1961'!$A$2:$A$1300,0))</f>
        <v>Somerset</v>
      </c>
    </row>
    <row r="746" spans="1:24" ht="25.05" customHeight="1" x14ac:dyDescent="0.3">
      <c r="A746" s="2" t="s">
        <v>707</v>
      </c>
      <c r="B746" s="2" t="s">
        <v>707</v>
      </c>
      <c r="C746" s="1">
        <v>23</v>
      </c>
      <c r="D746" s="1">
        <v>2</v>
      </c>
      <c r="E746" s="1">
        <v>18</v>
      </c>
      <c r="F746" s="1">
        <v>4</v>
      </c>
      <c r="K746" s="1">
        <v>542</v>
      </c>
      <c r="L746" s="6">
        <v>139563</v>
      </c>
      <c r="M746" s="1">
        <v>65.8</v>
      </c>
      <c r="N746" s="1">
        <v>13</v>
      </c>
      <c r="O746" s="1">
        <v>13</v>
      </c>
      <c r="P746" s="1">
        <v>39.4</v>
      </c>
      <c r="Q746" s="11">
        <f>'Table H'!$J$173</f>
        <v>0.92338748553798689</v>
      </c>
      <c r="R746" s="11">
        <f t="shared" si="22"/>
        <v>128870.72764413807</v>
      </c>
      <c r="S746" s="11" t="str">
        <f t="shared" si="23"/>
        <v>Clevedon UD</v>
      </c>
      <c r="T746" s="11" t="s">
        <v>5214</v>
      </c>
      <c r="V746" s="11" t="str">
        <f>INDEX('Lookup 1961'!$A$2:$A$1300, MATCH(S746, 'Lookup 1961'!$B$2:$B$1300,0))</f>
        <v>J04000327</v>
      </c>
      <c r="W746" s="11" t="str">
        <f>INDEX('Lookup 1961'!$F$2:$F$1300, MATCH(S746, 'Lookup 1961'!$B$2:$B$1300,0))</f>
        <v>e320906</v>
      </c>
      <c r="X746" s="11" t="str">
        <f>INDEX('Lookup 1961'!$C$2:$C$1300, MATCH(V746, 'Lookup 1961'!$A$2:$A$1300,0))</f>
        <v>Avon</v>
      </c>
    </row>
    <row r="747" spans="1:24" ht="25.05" customHeight="1" x14ac:dyDescent="0.3">
      <c r="A747" s="2" t="s">
        <v>708</v>
      </c>
      <c r="B747" s="2" t="s">
        <v>708</v>
      </c>
      <c r="C747" s="1">
        <v>22</v>
      </c>
      <c r="D747" s="1">
        <v>6</v>
      </c>
      <c r="E747" s="1">
        <v>16</v>
      </c>
      <c r="F747" s="1">
        <v>4</v>
      </c>
      <c r="K747" s="1">
        <v>161</v>
      </c>
      <c r="L747" s="6">
        <v>43108</v>
      </c>
      <c r="M747" s="1">
        <v>80</v>
      </c>
      <c r="N747" s="1">
        <v>8</v>
      </c>
      <c r="O747" s="1">
        <v>7</v>
      </c>
      <c r="P747" s="1">
        <v>28.8</v>
      </c>
      <c r="Q747" s="11">
        <f>'Table H'!$J$173</f>
        <v>0.92338748553798689</v>
      </c>
      <c r="R747" s="11">
        <f t="shared" si="22"/>
        <v>39805.387726571542</v>
      </c>
      <c r="S747" s="11" t="str">
        <f t="shared" si="23"/>
        <v>Crewkerne UD</v>
      </c>
      <c r="T747" s="11" t="s">
        <v>5214</v>
      </c>
      <c r="V747" s="11" t="str">
        <f>INDEX('Lookup 1961'!$A$2:$A$1300, MATCH(S747, 'Lookup 1961'!$B$2:$B$1300,0))</f>
        <v>J04000362</v>
      </c>
      <c r="W747" s="11" t="str">
        <f>INDEX('Lookup 1961'!$F$2:$F$1300, MATCH(S747, 'Lookup 1961'!$B$2:$B$1300,0))</f>
        <v>e320907</v>
      </c>
      <c r="X747" s="11" t="str">
        <f>INDEX('Lookup 1961'!$C$2:$C$1300, MATCH(V747, 'Lookup 1961'!$A$2:$A$1300,0))</f>
        <v>Somerset</v>
      </c>
    </row>
    <row r="748" spans="1:24" ht="25.05" customHeight="1" x14ac:dyDescent="0.3">
      <c r="A748" s="2" t="s">
        <v>709</v>
      </c>
      <c r="B748" s="2" t="s">
        <v>709</v>
      </c>
      <c r="C748" s="1">
        <v>23</v>
      </c>
      <c r="D748" s="1">
        <v>10</v>
      </c>
      <c r="E748" s="1">
        <v>18</v>
      </c>
      <c r="F748" s="1">
        <v>4</v>
      </c>
      <c r="K748" s="1">
        <v>510</v>
      </c>
      <c r="L748" s="6">
        <v>127659</v>
      </c>
      <c r="M748" s="1">
        <v>75.7</v>
      </c>
      <c r="N748" s="1">
        <v>9</v>
      </c>
      <c r="O748" s="1">
        <v>18</v>
      </c>
      <c r="P748" s="1">
        <v>35.5</v>
      </c>
      <c r="Q748" s="11">
        <f>'Table H'!$J$173</f>
        <v>0.92338748553798689</v>
      </c>
      <c r="R748" s="11">
        <f t="shared" si="22"/>
        <v>117878.72301629386</v>
      </c>
      <c r="S748" s="11" t="str">
        <f t="shared" si="23"/>
        <v>Frome UD</v>
      </c>
      <c r="T748" s="11" t="s">
        <v>5214</v>
      </c>
      <c r="V748" s="11" t="str">
        <f>INDEX('Lookup 1961'!$A$2:$A$1300, MATCH(S748, 'Lookup 1961'!$B$2:$B$1300,0))</f>
        <v>J04000520</v>
      </c>
      <c r="W748" s="11" t="str">
        <f>INDEX('Lookup 1961'!$F$2:$F$1300, MATCH(S748, 'Lookup 1961'!$B$2:$B$1300,0))</f>
        <v>e320908</v>
      </c>
      <c r="X748" s="11" t="str">
        <f>INDEX('Lookup 1961'!$C$2:$C$1300, MATCH(V748, 'Lookup 1961'!$A$2:$A$1300,0))</f>
        <v>Somerset</v>
      </c>
    </row>
    <row r="749" spans="1:24" ht="25.05" customHeight="1" x14ac:dyDescent="0.3">
      <c r="A749" s="2" t="s">
        <v>710</v>
      </c>
      <c r="B749" s="2" t="s">
        <v>710</v>
      </c>
      <c r="C749" s="1">
        <v>23</v>
      </c>
      <c r="D749" s="1">
        <v>6</v>
      </c>
      <c r="E749" s="1">
        <v>16</v>
      </c>
      <c r="F749" s="1">
        <v>10</v>
      </c>
      <c r="K749" s="1">
        <v>115</v>
      </c>
      <c r="L749" s="6">
        <v>31051</v>
      </c>
      <c r="M749" s="1">
        <v>90.1</v>
      </c>
      <c r="N749" s="1">
        <v>8</v>
      </c>
      <c r="O749" s="1">
        <v>19</v>
      </c>
      <c r="P749" s="1">
        <v>35.700000000000003</v>
      </c>
      <c r="Q749" s="11">
        <f>'Table H'!$J$173</f>
        <v>0.92338748553798689</v>
      </c>
      <c r="R749" s="11">
        <f t="shared" si="22"/>
        <v>28672.10481344003</v>
      </c>
      <c r="S749" s="11" t="str">
        <f t="shared" si="23"/>
        <v>Ilminster UD</v>
      </c>
      <c r="T749" s="11" t="s">
        <v>5214</v>
      </c>
      <c r="V749" s="11" t="str">
        <f>INDEX('Lookup 1961'!$A$2:$A$1300, MATCH(S749, 'Lookup 1961'!$B$2:$B$1300,0))</f>
        <v>J04000669</v>
      </c>
      <c r="W749" s="11" t="str">
        <f>INDEX('Lookup 1961'!$F$2:$F$1300, MATCH(S749, 'Lookup 1961'!$B$2:$B$1300,0))</f>
        <v>e320910</v>
      </c>
      <c r="X749" s="11" t="str">
        <f>INDEX('Lookup 1961'!$C$2:$C$1300, MATCH(V749, 'Lookup 1961'!$A$2:$A$1300,0))</f>
        <v>Somerset</v>
      </c>
    </row>
    <row r="750" spans="1:24" ht="25.05" customHeight="1" x14ac:dyDescent="0.3">
      <c r="A750" s="2" t="s">
        <v>711</v>
      </c>
      <c r="B750" s="2" t="s">
        <v>711</v>
      </c>
      <c r="C750" s="1">
        <v>23</v>
      </c>
      <c r="D750" s="1">
        <v>6</v>
      </c>
      <c r="E750" s="1">
        <v>17</v>
      </c>
      <c r="F750" s="1">
        <v>10</v>
      </c>
      <c r="K750" s="1">
        <v>622</v>
      </c>
      <c r="L750" s="6">
        <v>155397</v>
      </c>
      <c r="M750" s="1">
        <v>113.3</v>
      </c>
      <c r="N750" s="1">
        <v>11</v>
      </c>
      <c r="O750" s="1">
        <v>13</v>
      </c>
      <c r="P750" s="1">
        <v>43.3</v>
      </c>
      <c r="Q750" s="11">
        <f>'Table H'!$J$173</f>
        <v>0.92338748553798689</v>
      </c>
      <c r="R750" s="11">
        <f t="shared" si="22"/>
        <v>143491.64509014654</v>
      </c>
      <c r="S750" s="11" t="str">
        <f t="shared" si="23"/>
        <v>Keynsham UD</v>
      </c>
      <c r="T750" s="11" t="s">
        <v>5214</v>
      </c>
      <c r="V750" s="11" t="str">
        <f>INDEX('Lookup 1961'!$A$2:$A$1300, MATCH(S750, 'Lookup 1961'!$B$2:$B$1300,0))</f>
        <v>J04000690</v>
      </c>
      <c r="W750" s="11" t="str">
        <f>INDEX('Lookup 1961'!$F$2:$F$1300, MATCH(S750, 'Lookup 1961'!$B$2:$B$1300,0))</f>
        <v>e320911</v>
      </c>
      <c r="X750" s="11" t="str">
        <f>INDEX('Lookup 1961'!$C$2:$C$1300, MATCH(V750, 'Lookup 1961'!$A$2:$A$1300,0))</f>
        <v>Avon</v>
      </c>
    </row>
    <row r="751" spans="1:24" ht="25.05" customHeight="1" x14ac:dyDescent="0.3">
      <c r="A751" s="2" t="s">
        <v>712</v>
      </c>
      <c r="B751" s="2" t="s">
        <v>712</v>
      </c>
      <c r="C751" s="1">
        <v>22</v>
      </c>
      <c r="D751" s="1">
        <v>9</v>
      </c>
      <c r="E751" s="1">
        <v>18</v>
      </c>
      <c r="F751" s="1">
        <v>0</v>
      </c>
      <c r="K751" s="1">
        <v>580</v>
      </c>
      <c r="L751" s="6">
        <v>148017</v>
      </c>
      <c r="M751" s="1">
        <v>75.3</v>
      </c>
      <c r="N751" s="1">
        <v>17</v>
      </c>
      <c r="O751" s="1">
        <v>11</v>
      </c>
      <c r="P751" s="1">
        <v>36.700000000000003</v>
      </c>
      <c r="Q751" s="11">
        <f>'Table H'!$J$173</f>
        <v>0.92338748553798689</v>
      </c>
      <c r="R751" s="11">
        <f t="shared" si="22"/>
        <v>136677.0454468762</v>
      </c>
      <c r="S751" s="11" t="str">
        <f t="shared" si="23"/>
        <v>Minehead UD</v>
      </c>
      <c r="T751" s="11" t="s">
        <v>5214</v>
      </c>
      <c r="V751" s="11" t="str">
        <f>INDEX('Lookup 1961'!$A$2:$A$1300, MATCH(S751, 'Lookup 1961'!$B$2:$B$1300,0))</f>
        <v>J04000860</v>
      </c>
      <c r="W751" s="11" t="str">
        <f>INDEX('Lookup 1961'!$F$2:$F$1300, MATCH(S751, 'Lookup 1961'!$B$2:$B$1300,0))</f>
        <v>e320912</v>
      </c>
      <c r="X751" s="11" t="str">
        <f>INDEX('Lookup 1961'!$C$2:$C$1300, MATCH(V751, 'Lookup 1961'!$A$2:$A$1300,0))</f>
        <v>Somerset</v>
      </c>
    </row>
    <row r="752" spans="1:24" ht="25.05" customHeight="1" x14ac:dyDescent="0.3">
      <c r="A752" s="2" t="s">
        <v>713</v>
      </c>
      <c r="B752" s="2" t="s">
        <v>5278</v>
      </c>
      <c r="C752" s="1">
        <v>25</v>
      </c>
      <c r="D752" s="1">
        <v>0</v>
      </c>
      <c r="E752" s="1">
        <v>18</v>
      </c>
      <c r="F752" s="1">
        <v>0</v>
      </c>
      <c r="K752" s="1">
        <v>355</v>
      </c>
      <c r="L752" s="6">
        <v>94989</v>
      </c>
      <c r="M752" s="1">
        <v>94.1</v>
      </c>
      <c r="N752" s="1">
        <v>6</v>
      </c>
      <c r="O752" s="1">
        <v>18</v>
      </c>
      <c r="P752" s="1">
        <v>35.9</v>
      </c>
      <c r="Q752" s="11">
        <f>'Table H'!$J$173</f>
        <v>0.92338748553798689</v>
      </c>
      <c r="R752" s="11">
        <f t="shared" si="22"/>
        <v>87711.653863767831</v>
      </c>
      <c r="S752" s="11" t="str">
        <f t="shared" si="23"/>
        <v>Norton Radstock UD</v>
      </c>
      <c r="T752" s="11" t="s">
        <v>5214</v>
      </c>
      <c r="V752" s="11" t="str">
        <f>INDEX('Lookup 1961'!$A$2:$A$1300, MATCH(S752, 'Lookup 1961'!$B$2:$B$1300,0))</f>
        <v>J04000938</v>
      </c>
      <c r="W752" s="11" t="str">
        <f>INDEX('Lookup 1961'!$F$2:$F$1300, MATCH(S752, 'Lookup 1961'!$B$2:$B$1300,0))</f>
        <v>e320913</v>
      </c>
      <c r="X752" s="11" t="str">
        <f>INDEX('Lookup 1961'!$C$2:$C$1300, MATCH(V752, 'Lookup 1961'!$A$2:$A$1300,0))</f>
        <v>Avon</v>
      </c>
    </row>
    <row r="753" spans="1:24" ht="25.05" customHeight="1" x14ac:dyDescent="0.3">
      <c r="A753" s="2" t="s">
        <v>714</v>
      </c>
      <c r="B753" s="2" t="s">
        <v>714</v>
      </c>
      <c r="C753" s="1">
        <v>24</v>
      </c>
      <c r="D753" s="1">
        <v>0</v>
      </c>
      <c r="E753" s="1">
        <v>18</v>
      </c>
      <c r="F753" s="1">
        <v>6</v>
      </c>
      <c r="K753" s="1">
        <v>250</v>
      </c>
      <c r="L753" s="6">
        <v>68447</v>
      </c>
      <c r="M753" s="1">
        <v>89.3</v>
      </c>
      <c r="N753" s="1">
        <v>11</v>
      </c>
      <c r="O753" s="1">
        <v>14</v>
      </c>
      <c r="P753" s="1">
        <v>22.9</v>
      </c>
      <c r="Q753" s="11">
        <f>'Table H'!$J$173</f>
        <v>0.92338748553798689</v>
      </c>
      <c r="R753" s="11">
        <f t="shared" si="22"/>
        <v>63203.103222618585</v>
      </c>
      <c r="S753" s="11" t="str">
        <f t="shared" si="23"/>
        <v>Portishead UD</v>
      </c>
      <c r="T753" s="11" t="s">
        <v>5214</v>
      </c>
      <c r="V753" s="11" t="str">
        <f>INDEX('Lookup 1961'!$A$2:$A$1300, MATCH(S753, 'Lookup 1961'!$B$2:$B$1300,0))</f>
        <v>J04001008</v>
      </c>
      <c r="W753" s="11" t="str">
        <f>INDEX('Lookup 1961'!$F$2:$F$1300, MATCH(S753, 'Lookup 1961'!$B$2:$B$1300,0))</f>
        <v>e320914</v>
      </c>
      <c r="X753" s="11" t="str">
        <f>INDEX('Lookup 1961'!$C$2:$C$1300, MATCH(V753, 'Lookup 1961'!$A$2:$A$1300,0))</f>
        <v>Avon</v>
      </c>
    </row>
    <row r="754" spans="1:24" ht="25.05" customHeight="1" x14ac:dyDescent="0.3">
      <c r="A754" s="2" t="s">
        <v>715</v>
      </c>
      <c r="B754" s="2" t="s">
        <v>715</v>
      </c>
      <c r="C754" s="1">
        <v>24</v>
      </c>
      <c r="D754" s="1">
        <v>0</v>
      </c>
      <c r="E754" s="1">
        <v>19</v>
      </c>
      <c r="F754" s="1">
        <v>0</v>
      </c>
      <c r="K754" s="1">
        <v>207</v>
      </c>
      <c r="L754" s="6">
        <v>53977</v>
      </c>
      <c r="M754" s="1">
        <v>77.400000000000006</v>
      </c>
      <c r="N754" s="1">
        <v>9</v>
      </c>
      <c r="O754" s="1">
        <v>13</v>
      </c>
      <c r="P754" s="1">
        <v>41.6</v>
      </c>
      <c r="Q754" s="11">
        <f>'Table H'!$J$173</f>
        <v>0.92338748553798689</v>
      </c>
      <c r="R754" s="11">
        <f t="shared" si="22"/>
        <v>49841.686306883916</v>
      </c>
      <c r="S754" s="11" t="str">
        <f t="shared" si="23"/>
        <v>Shepton Mallet UD</v>
      </c>
      <c r="T754" s="11" t="s">
        <v>5214</v>
      </c>
      <c r="V754" s="11" t="str">
        <f>INDEX('Lookup 1961'!$A$2:$A$1300, MATCH(S754, 'Lookup 1961'!$B$2:$B$1300,0))</f>
        <v>J04001130</v>
      </c>
      <c r="W754" s="11" t="str">
        <f>INDEX('Lookup 1961'!$F$2:$F$1300, MATCH(S754, 'Lookup 1961'!$B$2:$B$1300,0))</f>
        <v>e320915</v>
      </c>
      <c r="X754" s="11" t="str">
        <f>INDEX('Lookup 1961'!$C$2:$C$1300, MATCH(V754, 'Lookup 1961'!$A$2:$A$1300,0))</f>
        <v>Somerset</v>
      </c>
    </row>
    <row r="755" spans="1:24" ht="25.05" customHeight="1" x14ac:dyDescent="0.3">
      <c r="A755" s="2" t="s">
        <v>716</v>
      </c>
      <c r="B755" s="2" t="s">
        <v>716</v>
      </c>
      <c r="C755" s="1">
        <v>22</v>
      </c>
      <c r="D755" s="1">
        <v>6</v>
      </c>
      <c r="E755" s="1">
        <v>16</v>
      </c>
      <c r="F755" s="1">
        <v>4</v>
      </c>
      <c r="K755" s="1">
        <v>245</v>
      </c>
      <c r="L755" s="6">
        <v>65061</v>
      </c>
      <c r="M755" s="1">
        <v>114.3</v>
      </c>
      <c r="N755" s="1">
        <v>8</v>
      </c>
      <c r="O755" s="1">
        <v>0</v>
      </c>
      <c r="P755" s="1">
        <v>38.5</v>
      </c>
      <c r="Q755" s="11">
        <f>'Table H'!$J$173</f>
        <v>0.92338748553798689</v>
      </c>
      <c r="R755" s="11">
        <f t="shared" si="22"/>
        <v>60076.513196586966</v>
      </c>
      <c r="S755" s="11" t="str">
        <f t="shared" si="23"/>
        <v>Street UD</v>
      </c>
      <c r="T755" s="11" t="s">
        <v>5214</v>
      </c>
      <c r="V755" s="11" t="str">
        <f>INDEX('Lookup 1961'!$A$2:$A$1300, MATCH(S755, 'Lookup 1961'!$B$2:$B$1300,0))</f>
        <v>J04001223</v>
      </c>
      <c r="W755" s="11" t="str">
        <f>INDEX('Lookup 1961'!$F$2:$F$1300, MATCH(S755, 'Lookup 1961'!$B$2:$B$1300,0))</f>
        <v>e320916</v>
      </c>
      <c r="X755" s="11" t="str">
        <f>INDEX('Lookup 1961'!$C$2:$C$1300, MATCH(V755, 'Lookup 1961'!$A$2:$A$1300,0))</f>
        <v>Somerset</v>
      </c>
    </row>
    <row r="756" spans="1:24" ht="25.05" customHeight="1" x14ac:dyDescent="0.3">
      <c r="A756" s="2" t="s">
        <v>717</v>
      </c>
      <c r="B756" s="2" t="s">
        <v>717</v>
      </c>
      <c r="C756" s="1">
        <v>21</v>
      </c>
      <c r="D756" s="1">
        <v>6</v>
      </c>
      <c r="E756" s="1">
        <v>16</v>
      </c>
      <c r="F756" s="1">
        <v>0</v>
      </c>
      <c r="K756" s="1">
        <v>85</v>
      </c>
      <c r="L756" s="6">
        <v>23610</v>
      </c>
      <c r="M756" s="1">
        <v>91.7</v>
      </c>
      <c r="N756" s="1">
        <v>7</v>
      </c>
      <c r="O756" s="1">
        <v>2</v>
      </c>
      <c r="P756" s="1">
        <v>47.2</v>
      </c>
      <c r="Q756" s="11">
        <f>'Table H'!$J$173</f>
        <v>0.92338748553798689</v>
      </c>
      <c r="R756" s="11">
        <f t="shared" si="22"/>
        <v>21801.178533551869</v>
      </c>
      <c r="S756" s="11" t="str">
        <f t="shared" si="23"/>
        <v>Watchet UD</v>
      </c>
      <c r="T756" s="11" t="s">
        <v>5214</v>
      </c>
      <c r="V756" s="11" t="str">
        <f>INDEX('Lookup 1961'!$A$2:$A$1300, MATCH(S756, 'Lookup 1961'!$B$2:$B$1300,0))</f>
        <v>J04001352</v>
      </c>
      <c r="W756" s="11" t="str">
        <f>INDEX('Lookup 1961'!$F$2:$F$1300, MATCH(S756, 'Lookup 1961'!$B$2:$B$1300,0))</f>
        <v>e320918</v>
      </c>
      <c r="X756" s="11" t="str">
        <f>INDEX('Lookup 1961'!$C$2:$C$1300, MATCH(V756, 'Lookup 1961'!$A$2:$A$1300,0))</f>
        <v>Somerset</v>
      </c>
    </row>
    <row r="757" spans="1:24" ht="25.05" customHeight="1" x14ac:dyDescent="0.3">
      <c r="A757" s="2" t="s">
        <v>694</v>
      </c>
      <c r="B757" s="2" t="s">
        <v>694</v>
      </c>
      <c r="C757" s="1">
        <v>25</v>
      </c>
      <c r="D757" s="1">
        <v>6</v>
      </c>
      <c r="E757" s="1">
        <v>18</v>
      </c>
      <c r="F757" s="1">
        <v>8</v>
      </c>
      <c r="K757" s="1">
        <v>313</v>
      </c>
      <c r="L757" s="6">
        <v>81140</v>
      </c>
      <c r="M757" s="1">
        <v>90.5</v>
      </c>
      <c r="N757" s="1">
        <v>9</v>
      </c>
      <c r="O757" s="1">
        <v>19</v>
      </c>
      <c r="P757" s="1">
        <v>39.299999999999997</v>
      </c>
      <c r="Q757" s="11">
        <f>'Table H'!$J$173</f>
        <v>0.92338748553798689</v>
      </c>
      <c r="R757" s="11">
        <f t="shared" si="22"/>
        <v>74923.660576552254</v>
      </c>
      <c r="S757" s="11" t="str">
        <f t="shared" si="23"/>
        <v>Wellington UD</v>
      </c>
      <c r="T757" s="11" t="s">
        <v>5214</v>
      </c>
      <c r="V757" s="11" t="s">
        <v>4388</v>
      </c>
      <c r="W757" s="11" t="s">
        <v>4389</v>
      </c>
      <c r="X757" s="11" t="str">
        <f>INDEX('Lookup 1961'!$C$2:$C$1300, MATCH(V757, 'Lookup 1961'!$A$2:$A$1300,0))</f>
        <v>Somerset</v>
      </c>
    </row>
    <row r="758" spans="1:24" ht="25.05" customHeight="1" x14ac:dyDescent="0.3">
      <c r="A758" s="2" t="s">
        <v>718</v>
      </c>
      <c r="B758" s="2" t="s">
        <v>718</v>
      </c>
      <c r="S758" s="11" t="str">
        <f t="shared" si="23"/>
        <v xml:space="preserve">SOUTHAMPTON: </v>
      </c>
      <c r="V758" s="11" t="e">
        <f>INDEX('Lookup 1961'!$A$2:$A$1300, MATCH(S758, 'Lookup 1961'!$B$2:$B$1300,0))</f>
        <v>#N/A</v>
      </c>
      <c r="W758" s="11" t="e">
        <f>INDEX('Lookup 1961'!$F$2:$F$1300, MATCH(S758, 'Lookup 1961'!$B$2:$B$1300,0))</f>
        <v>#N/A</v>
      </c>
      <c r="X758" s="11" t="e">
        <f>INDEX('Lookup 1961'!$C$2:$C$1300, MATCH(V758, 'Lookup 1961'!$A$2:$A$1300,0))</f>
        <v>#N/A</v>
      </c>
    </row>
    <row r="759" spans="1:24" ht="25.05" customHeight="1" x14ac:dyDescent="0.3">
      <c r="A759" s="2" t="s">
        <v>146</v>
      </c>
      <c r="B759" s="2" t="s">
        <v>5257</v>
      </c>
      <c r="S759" s="11" t="str">
        <f t="shared" si="23"/>
        <v xml:space="preserve">Non County Boroughs  </v>
      </c>
      <c r="V759" s="11" t="e">
        <f>INDEX('Lookup 1961'!$A$2:$A$1300, MATCH(S759, 'Lookup 1961'!$B$2:$B$1300,0))</f>
        <v>#N/A</v>
      </c>
      <c r="W759" s="11" t="e">
        <f>INDEX('Lookup 1961'!$F$2:$F$1300, MATCH(S759, 'Lookup 1961'!$B$2:$B$1300,0))</f>
        <v>#N/A</v>
      </c>
      <c r="X759" s="11" t="e">
        <f>INDEX('Lookup 1961'!$C$2:$C$1300, MATCH(V759, 'Lookup 1961'!$A$2:$A$1300,0))</f>
        <v>#N/A</v>
      </c>
    </row>
    <row r="760" spans="1:24" ht="25.05" customHeight="1" x14ac:dyDescent="0.3">
      <c r="A760" s="2" t="s">
        <v>719</v>
      </c>
      <c r="B760" s="2" t="s">
        <v>719</v>
      </c>
      <c r="C760" s="1">
        <v>22</v>
      </c>
      <c r="D760" s="1">
        <v>6</v>
      </c>
      <c r="E760" s="1">
        <v>15</v>
      </c>
      <c r="F760" s="1">
        <v>0</v>
      </c>
      <c r="K760" s="6">
        <v>2200</v>
      </c>
      <c r="L760" s="6">
        <v>489626</v>
      </c>
      <c r="M760" s="1">
        <v>60</v>
      </c>
      <c r="N760" s="1">
        <v>11</v>
      </c>
      <c r="O760" s="1">
        <v>2</v>
      </c>
      <c r="P760" s="1">
        <v>34</v>
      </c>
      <c r="Q760" s="11">
        <f>'Table H'!$J$177</f>
        <v>0.90561020237410894</v>
      </c>
      <c r="R760" s="11">
        <f t="shared" si="22"/>
        <v>443410.30094762548</v>
      </c>
      <c r="S760" s="11" t="str">
        <f t="shared" si="23"/>
        <v>Aldershot MB</v>
      </c>
      <c r="T760" s="11" t="s">
        <v>5211</v>
      </c>
      <c r="V760" s="11" t="str">
        <f>INDEX('Lookup 1961'!$A$2:$A$1300, MATCH(S760, 'Lookup 1961'!$B$2:$B$1300,0))</f>
        <v>J04000023</v>
      </c>
      <c r="W760" s="11" t="str">
        <f>INDEX('Lookup 1961'!$F$2:$F$1300, MATCH(S760, 'Lookup 1961'!$B$2:$B$1300,0))</f>
        <v>e150414</v>
      </c>
      <c r="X760" s="11" t="str">
        <f>INDEX('Lookup 1961'!$C$2:$C$1300, MATCH(V760, 'Lookup 1961'!$A$2:$A$1300,0))</f>
        <v>Hampshire</v>
      </c>
    </row>
    <row r="761" spans="1:24" ht="25.05" customHeight="1" x14ac:dyDescent="0.3">
      <c r="A761" s="2" t="s">
        <v>720</v>
      </c>
      <c r="B761" s="2" t="s">
        <v>720</v>
      </c>
      <c r="C761" s="1">
        <v>24</v>
      </c>
      <c r="D761" s="1">
        <v>4</v>
      </c>
      <c r="E761" s="1">
        <v>15</v>
      </c>
      <c r="F761" s="1">
        <v>6</v>
      </c>
      <c r="K761" s="1">
        <v>975</v>
      </c>
      <c r="L761" s="6">
        <v>244962</v>
      </c>
      <c r="M761" s="1">
        <v>106</v>
      </c>
      <c r="N761" s="1">
        <v>11</v>
      </c>
      <c r="O761" s="1">
        <v>11</v>
      </c>
      <c r="P761" s="1">
        <v>26.1</v>
      </c>
      <c r="Q761" s="11">
        <f>'Table H'!$J$177</f>
        <v>0.90561020237410894</v>
      </c>
      <c r="R761" s="11">
        <f t="shared" si="22"/>
        <v>221840.08639396649</v>
      </c>
      <c r="S761" s="11" t="str">
        <f t="shared" si="23"/>
        <v>Andover MB</v>
      </c>
      <c r="T761" s="11" t="s">
        <v>5211</v>
      </c>
      <c r="V761" s="11" t="str">
        <f>INDEX('Lookup 1961'!$A$2:$A$1300, MATCH(S761, 'Lookup 1961'!$B$2:$B$1300,0))</f>
        <v>J04000043</v>
      </c>
      <c r="W761" s="11" t="str">
        <f>INDEX('Lookup 1961'!$F$2:$F$1300, MATCH(S761, 'Lookup 1961'!$B$2:$B$1300,0))</f>
        <v>e150416</v>
      </c>
      <c r="X761" s="11" t="str">
        <f>INDEX('Lookup 1961'!$C$2:$C$1300, MATCH(V761, 'Lookup 1961'!$A$2:$A$1300,0))</f>
        <v>Hampshire</v>
      </c>
    </row>
    <row r="762" spans="1:24" ht="25.05" customHeight="1" x14ac:dyDescent="0.3">
      <c r="A762" s="2" t="s">
        <v>721</v>
      </c>
      <c r="B762" s="2" t="s">
        <v>721</v>
      </c>
      <c r="C762" s="1">
        <v>23</v>
      </c>
      <c r="D762" s="1">
        <v>0</v>
      </c>
      <c r="E762" s="1">
        <v>16</v>
      </c>
      <c r="F762" s="1">
        <v>0</v>
      </c>
      <c r="K762" s="6">
        <v>1250</v>
      </c>
      <c r="L762" s="6">
        <v>312590</v>
      </c>
      <c r="M762" s="1">
        <v>87.6</v>
      </c>
      <c r="N762" s="1">
        <v>12</v>
      </c>
      <c r="O762" s="1">
        <v>8</v>
      </c>
      <c r="P762" s="1">
        <v>27.9</v>
      </c>
      <c r="Q762" s="11">
        <f>'Table H'!$J$177</f>
        <v>0.90561020237410894</v>
      </c>
      <c r="R762" s="11">
        <f t="shared" si="22"/>
        <v>283084.69316012273</v>
      </c>
      <c r="S762" s="11" t="str">
        <f t="shared" si="23"/>
        <v>Basingstoke MB</v>
      </c>
      <c r="T762" s="11" t="s">
        <v>5211</v>
      </c>
      <c r="V762" s="11" t="str">
        <f>INDEX('Lookup 1961'!$A$2:$A$1300, MATCH(S762, 'Lookup 1961'!$B$2:$B$1300,0))</f>
        <v>J04000097</v>
      </c>
      <c r="W762" s="11" t="str">
        <f>INDEX('Lookup 1961'!$F$2:$F$1300, MATCH(S762, 'Lookup 1961'!$B$2:$B$1300,0))</f>
        <v>e150417</v>
      </c>
      <c r="X762" s="11" t="str">
        <f>INDEX('Lookup 1961'!$C$2:$C$1300, MATCH(V762, 'Lookup 1961'!$A$2:$A$1300,0))</f>
        <v>Hampshire</v>
      </c>
    </row>
    <row r="763" spans="1:24" ht="25.05" customHeight="1" x14ac:dyDescent="0.3">
      <c r="A763" s="2" t="s">
        <v>722</v>
      </c>
      <c r="B763" s="2" t="s">
        <v>722</v>
      </c>
      <c r="C763" s="1">
        <v>21</v>
      </c>
      <c r="D763" s="1">
        <v>6</v>
      </c>
      <c r="E763" s="1">
        <v>15</v>
      </c>
      <c r="F763" s="1">
        <v>2</v>
      </c>
      <c r="K763" s="6">
        <v>1375</v>
      </c>
      <c r="L763" s="6">
        <v>354392</v>
      </c>
      <c r="M763" s="1">
        <v>77.5</v>
      </c>
      <c r="N763" s="1">
        <v>11</v>
      </c>
      <c r="O763" s="1">
        <v>14</v>
      </c>
      <c r="P763" s="1">
        <v>22.8</v>
      </c>
      <c r="Q763" s="11">
        <f>'Table H'!$J$177</f>
        <v>0.90561020237410894</v>
      </c>
      <c r="R763" s="11">
        <f t="shared" si="22"/>
        <v>320941.01083976519</v>
      </c>
      <c r="S763" s="11" t="str">
        <f t="shared" si="23"/>
        <v>Christchurch MB</v>
      </c>
      <c r="T763" s="11" t="s">
        <v>5211</v>
      </c>
      <c r="V763" s="11" t="str">
        <f>INDEX('Lookup 1961'!$A$2:$A$1300, MATCH(S763, 'Lookup 1961'!$B$2:$B$1300,0))</f>
        <v>J04000316</v>
      </c>
      <c r="W763" s="11" t="str">
        <f>INDEX('Lookup 1961'!$F$2:$F$1300, MATCH(S763, 'Lookup 1961'!$B$2:$B$1300,0))</f>
        <v>e150418</v>
      </c>
      <c r="X763" s="11" t="str">
        <f>INDEX('Lookup 1961'!$C$2:$C$1300, MATCH(V763, 'Lookup 1961'!$A$2:$A$1300,0))</f>
        <v>Dorset</v>
      </c>
    </row>
    <row r="764" spans="1:24" ht="25.05" customHeight="1" x14ac:dyDescent="0.3">
      <c r="A764" s="2" t="s">
        <v>723</v>
      </c>
      <c r="B764" s="2" t="s">
        <v>723</v>
      </c>
      <c r="C764" s="1">
        <v>25</v>
      </c>
      <c r="D764" s="1">
        <v>6</v>
      </c>
      <c r="E764" s="1">
        <v>17</v>
      </c>
      <c r="F764" s="1">
        <v>2</v>
      </c>
      <c r="K764" s="6">
        <v>1575</v>
      </c>
      <c r="L764" s="6">
        <v>384148</v>
      </c>
      <c r="M764" s="1">
        <v>79.599999999999994</v>
      </c>
      <c r="N764" s="1">
        <v>10</v>
      </c>
      <c r="O764" s="1">
        <v>3</v>
      </c>
      <c r="P764" s="1">
        <v>19</v>
      </c>
      <c r="Q764" s="11">
        <f>'Table H'!$J$177</f>
        <v>0.90561020237410894</v>
      </c>
      <c r="R764" s="11">
        <f t="shared" si="22"/>
        <v>347888.34802160918</v>
      </c>
      <c r="S764" s="11" t="str">
        <f t="shared" si="23"/>
        <v>Eastleigh MB</v>
      </c>
      <c r="T764" s="11" t="s">
        <v>5211</v>
      </c>
      <c r="V764" s="11" t="str">
        <f>INDEX('Lookup 1961'!$A$2:$A$1300, MATCH(S764, 'Lookup 1961'!$B$2:$B$1300,0))</f>
        <v>J04000457</v>
      </c>
      <c r="W764" s="11" t="str">
        <f>INDEX('Lookup 1961'!$F$2:$F$1300, MATCH(S764, 'Lookup 1961'!$B$2:$B$1300,0))</f>
        <v>e150419</v>
      </c>
      <c r="X764" s="11" t="str">
        <f>INDEX('Lookup 1961'!$C$2:$C$1300, MATCH(V764, 'Lookup 1961'!$A$2:$A$1300,0))</f>
        <v>Hampshire</v>
      </c>
    </row>
    <row r="765" spans="1:24" ht="25.05" customHeight="1" x14ac:dyDescent="0.3">
      <c r="A765" s="2" t="s">
        <v>724</v>
      </c>
      <c r="B765" s="2" t="s">
        <v>724</v>
      </c>
      <c r="C765" s="1">
        <v>20</v>
      </c>
      <c r="D765" s="1">
        <v>6</v>
      </c>
      <c r="E765" s="1">
        <v>15</v>
      </c>
      <c r="F765" s="1">
        <v>0</v>
      </c>
      <c r="K765" s="6">
        <v>3130</v>
      </c>
      <c r="L765" s="6">
        <v>721667</v>
      </c>
      <c r="M765" s="1">
        <v>47.7</v>
      </c>
      <c r="N765" s="1">
        <v>9</v>
      </c>
      <c r="O765" s="1">
        <v>0</v>
      </c>
      <c r="P765" s="1">
        <v>13</v>
      </c>
      <c r="Q765" s="11">
        <f>'Table H'!$J$177</f>
        <v>0.90561020237410894</v>
      </c>
      <c r="R765" s="11">
        <f t="shared" si="22"/>
        <v>653548.99791671603</v>
      </c>
      <c r="S765" s="11" t="str">
        <f t="shared" si="23"/>
        <v>Gosport MB</v>
      </c>
      <c r="T765" s="11" t="s">
        <v>5211</v>
      </c>
      <c r="V765" s="11" t="str">
        <f>INDEX('Lookup 1961'!$A$2:$A$1300, MATCH(S765, 'Lookup 1961'!$B$2:$B$1300,0))</f>
        <v>J04000545</v>
      </c>
      <c r="W765" s="11" t="str">
        <f>INDEX('Lookup 1961'!$F$2:$F$1300, MATCH(S765, 'Lookup 1961'!$B$2:$B$1300,0))</f>
        <v>e150423</v>
      </c>
      <c r="X765" s="11" t="str">
        <f>INDEX('Lookup 1961'!$C$2:$C$1300, MATCH(V765, 'Lookup 1961'!$A$2:$A$1300,0))</f>
        <v>Hampshire</v>
      </c>
    </row>
    <row r="766" spans="1:24" ht="25.05" customHeight="1" x14ac:dyDescent="0.3">
      <c r="A766" s="2" t="s">
        <v>725</v>
      </c>
      <c r="B766" s="2" t="s">
        <v>725</v>
      </c>
      <c r="C766" s="1">
        <v>22</v>
      </c>
      <c r="D766" s="1">
        <v>10</v>
      </c>
      <c r="E766" s="1">
        <v>14</v>
      </c>
      <c r="F766" s="1">
        <v>2</v>
      </c>
      <c r="K766" s="6">
        <v>1600</v>
      </c>
      <c r="L766" s="6">
        <v>413882</v>
      </c>
      <c r="M766" s="1">
        <v>110.6</v>
      </c>
      <c r="N766" s="1">
        <v>11</v>
      </c>
      <c r="O766" s="1">
        <v>17</v>
      </c>
      <c r="P766" s="1">
        <v>23</v>
      </c>
      <c r="Q766" s="11">
        <f>'Table H'!$J$177</f>
        <v>0.90561020237410894</v>
      </c>
      <c r="R766" s="11">
        <f t="shared" si="22"/>
        <v>374815.76177900098</v>
      </c>
      <c r="S766" s="11" t="str">
        <f t="shared" si="23"/>
        <v>Lymington MB</v>
      </c>
      <c r="T766" s="11" t="s">
        <v>5211</v>
      </c>
      <c r="V766" s="11" t="str">
        <f>INDEX('Lookup 1961'!$A$2:$A$1300, MATCH(S766, 'Lookup 1961'!$B$2:$B$1300,0))</f>
        <v>J04000796</v>
      </c>
      <c r="W766" s="11" t="str">
        <f>INDEX('Lookup 1961'!$F$2:$F$1300, MATCH(S766, 'Lookup 1961'!$B$2:$B$1300,0))</f>
        <v>e150425</v>
      </c>
      <c r="X766" s="11" t="str">
        <f>INDEX('Lookup 1961'!$C$2:$C$1300, MATCH(V766, 'Lookup 1961'!$A$2:$A$1300,0))</f>
        <v>Hampshire</v>
      </c>
    </row>
    <row r="767" spans="1:24" ht="25.05" customHeight="1" x14ac:dyDescent="0.3">
      <c r="A767" s="2" t="s">
        <v>726</v>
      </c>
      <c r="B767" s="2" t="s">
        <v>726</v>
      </c>
      <c r="C767" s="1">
        <v>24</v>
      </c>
      <c r="D767" s="1">
        <v>8</v>
      </c>
      <c r="E767" s="1">
        <v>15</v>
      </c>
      <c r="F767" s="1">
        <v>8</v>
      </c>
      <c r="K767" s="1">
        <v>344</v>
      </c>
      <c r="L767" s="6">
        <v>87016</v>
      </c>
      <c r="M767" s="1">
        <v>89.1</v>
      </c>
      <c r="N767" s="1">
        <v>10</v>
      </c>
      <c r="O767" s="1">
        <v>0</v>
      </c>
      <c r="P767" s="1">
        <v>19.8</v>
      </c>
      <c r="Q767" s="11">
        <f>'Table H'!$J$177</f>
        <v>0.90561020237410894</v>
      </c>
      <c r="R767" s="11">
        <f t="shared" si="22"/>
        <v>78802.57736978546</v>
      </c>
      <c r="S767" s="11" t="str">
        <f t="shared" si="23"/>
        <v>Romsey MB</v>
      </c>
      <c r="T767" s="11" t="s">
        <v>5211</v>
      </c>
      <c r="V767" s="11" t="str">
        <f>INDEX('Lookup 1961'!$A$2:$A$1300, MATCH(S767, 'Lookup 1961'!$B$2:$B$1300,0))</f>
        <v>J04001063</v>
      </c>
      <c r="W767" s="11" t="str">
        <f>INDEX('Lookup 1961'!$F$2:$F$1300, MATCH(S767, 'Lookup 1961'!$B$2:$B$1300,0))</f>
        <v>e150427</v>
      </c>
      <c r="X767" s="11" t="str">
        <f>INDEX('Lookup 1961'!$C$2:$C$1300, MATCH(V767, 'Lookup 1961'!$A$2:$A$1300,0))</f>
        <v>Hampshire</v>
      </c>
    </row>
    <row r="768" spans="1:24" ht="25.05" customHeight="1" x14ac:dyDescent="0.3">
      <c r="A768" s="2" t="s">
        <v>727</v>
      </c>
      <c r="B768" s="2" t="s">
        <v>5303</v>
      </c>
      <c r="C768" s="1">
        <v>23</v>
      </c>
      <c r="D768" s="1">
        <v>0</v>
      </c>
      <c r="E768" s="1">
        <v>16</v>
      </c>
      <c r="F768" s="1">
        <v>0</v>
      </c>
      <c r="K768" s="6">
        <v>2025</v>
      </c>
      <c r="L768" s="6">
        <v>490040</v>
      </c>
      <c r="M768" s="1">
        <v>64.900000000000006</v>
      </c>
      <c r="N768" s="1">
        <v>14</v>
      </c>
      <c r="O768" s="1">
        <v>6</v>
      </c>
      <c r="P768" s="1">
        <v>16.399999999999999</v>
      </c>
      <c r="Q768" s="11">
        <f>'Table H'!$J$177</f>
        <v>0.90561020237410894</v>
      </c>
      <c r="R768" s="11">
        <f t="shared" si="22"/>
        <v>443785.22357140837</v>
      </c>
      <c r="S768" s="11" t="str">
        <f t="shared" si="23"/>
        <v>Winchester, city of MB</v>
      </c>
      <c r="T768" s="11" t="s">
        <v>5211</v>
      </c>
      <c r="V768" s="11" t="str">
        <f>INDEX('Lookup 1961'!$A$2:$A$1300, MATCH(S768, 'Lookup 1961'!$B$2:$B$1300,0))</f>
        <v>J04001423</v>
      </c>
      <c r="W768" s="11" t="str">
        <f>INDEX('Lookup 1961'!$F$2:$F$1300, MATCH(S768, 'Lookup 1961'!$B$2:$B$1300,0))</f>
        <v>e150428</v>
      </c>
      <c r="X768" s="11" t="str">
        <f>INDEX('Lookup 1961'!$C$2:$C$1300, MATCH(V768, 'Lookup 1961'!$A$2:$A$1300,0))</f>
        <v>Hampshire</v>
      </c>
    </row>
    <row r="769" spans="1:24" ht="25.05" customHeight="1" x14ac:dyDescent="0.3">
      <c r="A769" s="2" t="s">
        <v>150</v>
      </c>
      <c r="B769" s="2" t="s">
        <v>1221</v>
      </c>
      <c r="S769" s="11" t="str">
        <f t="shared" si="23"/>
        <v xml:space="preserve">Urban Districts  </v>
      </c>
      <c r="V769" s="11" t="e">
        <f>INDEX('Lookup 1961'!$A$2:$A$1300, MATCH(S769, 'Lookup 1961'!$B$2:$B$1300,0))</f>
        <v>#N/A</v>
      </c>
      <c r="W769" s="11" t="e">
        <f>INDEX('Lookup 1961'!$F$2:$F$1300, MATCH(S769, 'Lookup 1961'!$B$2:$B$1300,0))</f>
        <v>#N/A</v>
      </c>
      <c r="X769" s="11" t="e">
        <f>INDEX('Lookup 1961'!$C$2:$C$1300, MATCH(V769, 'Lookup 1961'!$A$2:$A$1300,0))</f>
        <v>#N/A</v>
      </c>
    </row>
    <row r="770" spans="1:24" ht="25.05" customHeight="1" x14ac:dyDescent="0.3">
      <c r="A770" s="2" t="s">
        <v>728</v>
      </c>
      <c r="B770" s="2" t="s">
        <v>728</v>
      </c>
      <c r="C770" s="1">
        <v>23</v>
      </c>
      <c r="D770" s="1">
        <v>8</v>
      </c>
      <c r="E770" s="1">
        <v>16</v>
      </c>
      <c r="F770" s="1">
        <v>4</v>
      </c>
      <c r="K770" s="1">
        <v>448</v>
      </c>
      <c r="L770" s="6">
        <v>107790</v>
      </c>
      <c r="M770" s="1">
        <v>61.8</v>
      </c>
      <c r="N770" s="1">
        <v>10</v>
      </c>
      <c r="O770" s="1">
        <v>1</v>
      </c>
      <c r="P770" s="1">
        <v>17.7</v>
      </c>
      <c r="Q770" s="11">
        <f>'Table H'!$J$178</f>
        <v>0.92971964290017939</v>
      </c>
      <c r="R770" s="11">
        <f t="shared" si="22"/>
        <v>100214.48030821033</v>
      </c>
      <c r="S770" s="11" t="str">
        <f t="shared" si="23"/>
        <v>Alton UD</v>
      </c>
      <c r="T770" s="11" t="s">
        <v>5214</v>
      </c>
      <c r="V770" s="11" t="str">
        <f>INDEX('Lookup 1961'!$A$2:$A$1300, MATCH(S770, 'Lookup 1961'!$B$2:$B$1300,0))</f>
        <v>J04000033</v>
      </c>
      <c r="W770" s="11" t="str">
        <f>INDEX('Lookup 1961'!$F$2:$F$1300, MATCH(S770, 'Lookup 1961'!$B$2:$B$1300,0))</f>
        <v>e150415</v>
      </c>
      <c r="X770" s="11" t="str">
        <f>INDEX('Lookup 1961'!$C$2:$C$1300, MATCH(V770, 'Lookup 1961'!$A$2:$A$1300,0))</f>
        <v>Hampshire</v>
      </c>
    </row>
    <row r="771" spans="1:24" ht="25.05" customHeight="1" x14ac:dyDescent="0.3">
      <c r="A771" s="2" t="s">
        <v>729</v>
      </c>
      <c r="B771" s="2" t="s">
        <v>729</v>
      </c>
      <c r="C771" s="1">
        <v>23</v>
      </c>
      <c r="D771" s="1">
        <v>0</v>
      </c>
      <c r="E771" s="1">
        <v>15</v>
      </c>
      <c r="F771" s="1">
        <v>0</v>
      </c>
      <c r="K771" s="6">
        <v>2380</v>
      </c>
      <c r="L771" s="6">
        <v>574210</v>
      </c>
      <c r="M771" s="1">
        <v>79.400000000000006</v>
      </c>
      <c r="N771" s="1">
        <v>8</v>
      </c>
      <c r="O771" s="1">
        <v>16</v>
      </c>
      <c r="P771" s="1">
        <v>12.7</v>
      </c>
      <c r="Q771" s="11">
        <f>'Table H'!$J$178</f>
        <v>0.92971964290017939</v>
      </c>
      <c r="R771" s="11">
        <f t="shared" si="22"/>
        <v>533854.31614971196</v>
      </c>
      <c r="S771" s="11" t="str">
        <f t="shared" si="23"/>
        <v>Fareham UD</v>
      </c>
      <c r="T771" s="11" t="s">
        <v>5214</v>
      </c>
      <c r="V771" s="11" t="str">
        <f>INDEX('Lookup 1961'!$A$2:$A$1300, MATCH(S771, 'Lookup 1961'!$B$2:$B$1300,0))</f>
        <v>J04000491</v>
      </c>
      <c r="W771" s="11" t="str">
        <f>INDEX('Lookup 1961'!$F$2:$F$1300, MATCH(S771, 'Lookup 1961'!$B$2:$B$1300,0))</f>
        <v>e150420</v>
      </c>
      <c r="X771" s="11" t="str">
        <f>INDEX('Lookup 1961'!$C$2:$C$1300, MATCH(V771, 'Lookup 1961'!$A$2:$A$1300,0))</f>
        <v>Hampshire</v>
      </c>
    </row>
    <row r="772" spans="1:24" ht="25.05" customHeight="1" x14ac:dyDescent="0.3">
      <c r="A772" s="2" t="s">
        <v>730</v>
      </c>
      <c r="B772" s="2" t="s">
        <v>730</v>
      </c>
      <c r="C772" s="1">
        <v>21</v>
      </c>
      <c r="D772" s="1">
        <v>0</v>
      </c>
      <c r="E772" s="1">
        <v>14</v>
      </c>
      <c r="F772" s="1">
        <v>6</v>
      </c>
      <c r="K772" s="6">
        <v>1677</v>
      </c>
      <c r="L772" s="6">
        <v>367612</v>
      </c>
      <c r="M772" s="1">
        <v>53</v>
      </c>
      <c r="N772" s="1">
        <v>11</v>
      </c>
      <c r="O772" s="1">
        <v>3</v>
      </c>
      <c r="P772" s="1">
        <v>27.1</v>
      </c>
      <c r="Q772" s="11">
        <f>'Table H'!$J$178</f>
        <v>0.92971964290017939</v>
      </c>
      <c r="R772" s="11">
        <f t="shared" ref="R772:R835" si="24">Q772*L772</f>
        <v>341776.09736582072</v>
      </c>
      <c r="S772" s="11" t="str">
        <f t="shared" si="23"/>
        <v>Farnborough UD</v>
      </c>
      <c r="T772" s="11" t="s">
        <v>5214</v>
      </c>
      <c r="V772" s="11" t="str">
        <f>INDEX('Lookup 1961'!$A$2:$A$1300, MATCH(S772, 'Lookup 1961'!$B$2:$B$1300,0))</f>
        <v>J04000493</v>
      </c>
      <c r="W772" s="11" t="str">
        <f>INDEX('Lookup 1961'!$F$2:$F$1300, MATCH(S772, 'Lookup 1961'!$B$2:$B$1300,0))</f>
        <v>e150421</v>
      </c>
      <c r="X772" s="11" t="str">
        <f>INDEX('Lookup 1961'!$C$2:$C$1300, MATCH(V772, 'Lookup 1961'!$A$2:$A$1300,0))</f>
        <v>Hampshire</v>
      </c>
    </row>
    <row r="773" spans="1:24" ht="25.05" customHeight="1" x14ac:dyDescent="0.3">
      <c r="A773" s="2" t="s">
        <v>731</v>
      </c>
      <c r="B773" s="2" t="s">
        <v>731</v>
      </c>
      <c r="C773" s="1">
        <v>24</v>
      </c>
      <c r="D773" s="1">
        <v>2</v>
      </c>
      <c r="E773" s="1">
        <v>16</v>
      </c>
      <c r="F773" s="1">
        <v>6</v>
      </c>
      <c r="K773" s="1">
        <v>580</v>
      </c>
      <c r="L773" s="6">
        <v>152273</v>
      </c>
      <c r="M773" s="1">
        <v>78.3</v>
      </c>
      <c r="N773" s="1">
        <v>12</v>
      </c>
      <c r="O773" s="1">
        <v>13</v>
      </c>
      <c r="P773" s="1">
        <v>19.399999999999999</v>
      </c>
      <c r="Q773" s="11">
        <f>'Table H'!$J$178</f>
        <v>0.92971964290017939</v>
      </c>
      <c r="R773" s="11">
        <f t="shared" si="24"/>
        <v>141571.19918333902</v>
      </c>
      <c r="S773" s="11" t="str">
        <f t="shared" ref="S773:S836" si="25">_xlfn.CONCAT(B773," ",T773)</f>
        <v>Fleet UD</v>
      </c>
      <c r="T773" s="11" t="s">
        <v>5214</v>
      </c>
      <c r="V773" s="11" t="str">
        <f>INDEX('Lookup 1961'!$A$2:$A$1300, MATCH(S773, 'Lookup 1961'!$B$2:$B$1300,0))</f>
        <v>J04000507</v>
      </c>
      <c r="W773" s="11" t="str">
        <f>INDEX('Lookup 1961'!$F$2:$F$1300, MATCH(S773, 'Lookup 1961'!$B$2:$B$1300,0))</f>
        <v>e150422</v>
      </c>
      <c r="X773" s="11" t="str">
        <f>INDEX('Lookup 1961'!$C$2:$C$1300, MATCH(V773, 'Lookup 1961'!$A$2:$A$1300,0))</f>
        <v>Hampshire</v>
      </c>
    </row>
    <row r="774" spans="1:24" ht="25.05" customHeight="1" x14ac:dyDescent="0.3">
      <c r="A774" s="2" t="s">
        <v>732</v>
      </c>
      <c r="B774" s="2" t="s">
        <v>732</v>
      </c>
      <c r="C774" s="1">
        <v>23</v>
      </c>
      <c r="D774" s="1">
        <v>8</v>
      </c>
      <c r="E774" s="1">
        <v>16</v>
      </c>
      <c r="F774" s="1">
        <v>10</v>
      </c>
      <c r="K774" s="6">
        <v>2900</v>
      </c>
      <c r="L774" s="6">
        <v>725510</v>
      </c>
      <c r="M774" s="1">
        <v>103.2</v>
      </c>
      <c r="N774" s="1">
        <v>11</v>
      </c>
      <c r="O774" s="1">
        <v>10</v>
      </c>
      <c r="P774" s="1">
        <v>36.5</v>
      </c>
      <c r="Q774" s="11">
        <f>'Table H'!$J$178</f>
        <v>0.92971964290017939</v>
      </c>
      <c r="R774" s="11">
        <f t="shared" si="24"/>
        <v>674520.89812050911</v>
      </c>
      <c r="S774" s="11" t="str">
        <f t="shared" si="25"/>
        <v>Havant and Waterloo UD</v>
      </c>
      <c r="T774" s="11" t="s">
        <v>5214</v>
      </c>
      <c r="V774" s="11" t="str">
        <f>INDEX('Lookup 1961'!$A$2:$A$1300, MATCH(S774, 'Lookup 1961'!$B$2:$B$1300,0))</f>
        <v>J04000586</v>
      </c>
      <c r="W774" s="11" t="str">
        <f>INDEX('Lookup 1961'!$F$2:$F$1300, MATCH(S774, 'Lookup 1961'!$B$2:$B$1300,0))</f>
        <v>e150424</v>
      </c>
      <c r="X774" s="11" t="str">
        <f>INDEX('Lookup 1961'!$C$2:$C$1300, MATCH(V774, 'Lookup 1961'!$A$2:$A$1300,0))</f>
        <v>Hampshire</v>
      </c>
    </row>
    <row r="775" spans="1:24" ht="25.05" customHeight="1" x14ac:dyDescent="0.3">
      <c r="A775" s="2" t="s">
        <v>733</v>
      </c>
      <c r="B775" s="2" t="s">
        <v>733</v>
      </c>
      <c r="C775" s="1">
        <v>20</v>
      </c>
      <c r="D775" s="1">
        <v>6</v>
      </c>
      <c r="E775" s="1">
        <v>14</v>
      </c>
      <c r="F775" s="1">
        <v>2</v>
      </c>
      <c r="K775" s="1">
        <v>402</v>
      </c>
      <c r="L775" s="6">
        <v>105762</v>
      </c>
      <c r="M775" s="1">
        <v>62</v>
      </c>
      <c r="N775" s="1">
        <v>10</v>
      </c>
      <c r="O775" s="1">
        <v>3</v>
      </c>
      <c r="P775" s="1">
        <v>10.8</v>
      </c>
      <c r="Q775" s="11">
        <f>'Table H'!$J$178</f>
        <v>0.92971964290017939</v>
      </c>
      <c r="R775" s="11">
        <f t="shared" si="24"/>
        <v>98329.008872408769</v>
      </c>
      <c r="S775" s="11" t="str">
        <f t="shared" si="25"/>
        <v>Petersfield UD</v>
      </c>
      <c r="T775" s="11" t="s">
        <v>5214</v>
      </c>
      <c r="V775" s="11" t="str">
        <f>INDEX('Lookup 1961'!$A$2:$A$1300, MATCH(S775, 'Lookup 1961'!$B$2:$B$1300,0))</f>
        <v>J04000990</v>
      </c>
      <c r="W775" s="11" t="str">
        <f>INDEX('Lookup 1961'!$F$2:$F$1300, MATCH(S775, 'Lookup 1961'!$B$2:$B$1300,0))</f>
        <v>e150426</v>
      </c>
      <c r="X775" s="11" t="str">
        <f>INDEX('Lookup 1961'!$C$2:$C$1300, MATCH(V775, 'Lookup 1961'!$A$2:$A$1300,0))</f>
        <v>Hampshire</v>
      </c>
    </row>
    <row r="776" spans="1:24" ht="25.05" customHeight="1" x14ac:dyDescent="0.3">
      <c r="A776" s="2" t="s">
        <v>734</v>
      </c>
      <c r="B776" s="2" t="s">
        <v>734</v>
      </c>
      <c r="S776" s="11" t="str">
        <f t="shared" si="25"/>
        <v xml:space="preserve">STAFFORD: </v>
      </c>
      <c r="V776" s="11" t="e">
        <f>INDEX('Lookup 1961'!$A$2:$A$1300, MATCH(S776, 'Lookup 1961'!$B$2:$B$1300,0))</f>
        <v>#N/A</v>
      </c>
      <c r="W776" s="11" t="e">
        <f>INDEX('Lookup 1961'!$F$2:$F$1300, MATCH(S776, 'Lookup 1961'!$B$2:$B$1300,0))</f>
        <v>#N/A</v>
      </c>
      <c r="X776" s="11" t="e">
        <f>INDEX('Lookup 1961'!$C$2:$C$1300, MATCH(V776, 'Lookup 1961'!$A$2:$A$1300,0))</f>
        <v>#N/A</v>
      </c>
    </row>
    <row r="777" spans="1:24" ht="25.05" customHeight="1" x14ac:dyDescent="0.3">
      <c r="A777" s="2" t="s">
        <v>146</v>
      </c>
      <c r="B777" s="2" t="s">
        <v>5257</v>
      </c>
      <c r="S777" s="11" t="str">
        <f t="shared" si="25"/>
        <v xml:space="preserve">Non County Boroughs  </v>
      </c>
      <c r="V777" s="11" t="e">
        <f>INDEX('Lookup 1961'!$A$2:$A$1300, MATCH(S777, 'Lookup 1961'!$B$2:$B$1300,0))</f>
        <v>#N/A</v>
      </c>
      <c r="W777" s="11" t="e">
        <f>INDEX('Lookup 1961'!$F$2:$F$1300, MATCH(S777, 'Lookup 1961'!$B$2:$B$1300,0))</f>
        <v>#N/A</v>
      </c>
      <c r="X777" s="11" t="e">
        <f>INDEX('Lookup 1961'!$C$2:$C$1300, MATCH(V777, 'Lookup 1961'!$A$2:$A$1300,0))</f>
        <v>#N/A</v>
      </c>
    </row>
    <row r="778" spans="1:24" ht="25.05" customHeight="1" x14ac:dyDescent="0.3">
      <c r="A778" s="2" t="s">
        <v>735</v>
      </c>
      <c r="B778" s="2" t="s">
        <v>5387</v>
      </c>
      <c r="C778" s="1">
        <v>22</v>
      </c>
      <c r="D778" s="1">
        <v>6</v>
      </c>
      <c r="E778" s="1">
        <v>16</v>
      </c>
      <c r="F778" s="1">
        <v>6</v>
      </c>
      <c r="K778" s="6">
        <v>1350</v>
      </c>
      <c r="L778" s="6">
        <v>340436</v>
      </c>
      <c r="M778" s="1">
        <v>108.1</v>
      </c>
      <c r="N778" s="1">
        <v>7</v>
      </c>
      <c r="O778" s="1">
        <v>19</v>
      </c>
      <c r="P778" s="1">
        <v>49.1</v>
      </c>
      <c r="Q778" s="11">
        <f>'Table H'!$J$182</f>
        <v>0.87323598274839831</v>
      </c>
      <c r="R778" s="11">
        <f t="shared" si="24"/>
        <v>297280.96502293373</v>
      </c>
      <c r="S778" s="11" t="str">
        <f t="shared" si="25"/>
        <v>Bilston MB</v>
      </c>
      <c r="T778" s="11" t="s">
        <v>5211</v>
      </c>
      <c r="V778" s="11" t="str">
        <f>INDEX('Lookup 1961'!$A$2:$A$1300, MATCH(S778, 'Lookup 1961'!$B$2:$B$1300,0))</f>
        <v>J04000146</v>
      </c>
      <c r="W778" s="11" t="str">
        <f>INDEX('Lookup 1961'!$F$2:$F$1300, MATCH(S778, 'Lookup 1961'!$B$2:$B$1300,0))</f>
        <v>e330945</v>
      </c>
      <c r="X778" s="11" t="str">
        <f>INDEX('Lookup 1961'!$C$2:$C$1300, MATCH(V778, 'Lookup 1961'!$A$2:$A$1300,0))</f>
        <v>West Midlands</v>
      </c>
    </row>
    <row r="779" spans="1:24" ht="25.05" customHeight="1" x14ac:dyDescent="0.3">
      <c r="A779" s="2" t="s">
        <v>736</v>
      </c>
      <c r="B779" s="2" t="s">
        <v>5386</v>
      </c>
      <c r="C779" s="1">
        <v>22</v>
      </c>
      <c r="D779" s="1">
        <v>6</v>
      </c>
      <c r="E779" s="1">
        <v>17</v>
      </c>
      <c r="F779" s="1">
        <v>0</v>
      </c>
      <c r="K779" s="1">
        <v>550</v>
      </c>
      <c r="L779" s="6">
        <v>140263</v>
      </c>
      <c r="M779" s="1">
        <v>101.5</v>
      </c>
      <c r="N779" s="1">
        <v>10</v>
      </c>
      <c r="O779" s="1">
        <v>8</v>
      </c>
      <c r="P779" s="1">
        <v>49.5</v>
      </c>
      <c r="Q779" s="11">
        <f>'Table H'!$J$182</f>
        <v>0.87323598274839831</v>
      </c>
      <c r="R779" s="11">
        <f t="shared" si="24"/>
        <v>122482.6986482386</v>
      </c>
      <c r="S779" s="11" t="str">
        <f t="shared" si="25"/>
        <v>Lichfield, city and county of MB</v>
      </c>
      <c r="T779" s="11" t="s">
        <v>5211</v>
      </c>
      <c r="V779" s="11" t="str">
        <f>INDEX('Lookup 1961'!$A$2:$A$1300, MATCH(S779, 'Lookup 1961'!$B$2:$B$1300,0))</f>
        <v>J04000745</v>
      </c>
      <c r="W779" s="11" t="str">
        <f>INDEX('Lookup 1961'!$F$2:$F$1300, MATCH(S779, 'Lookup 1961'!$B$2:$B$1300,0))</f>
        <v>e330951</v>
      </c>
      <c r="X779" s="11" t="str">
        <f>INDEX('Lookup 1961'!$C$2:$C$1300, MATCH(V779, 'Lookup 1961'!$A$2:$A$1300,0))</f>
        <v>Staffordshire</v>
      </c>
    </row>
    <row r="780" spans="1:24" ht="25.05" customHeight="1" x14ac:dyDescent="0.3">
      <c r="A780" s="2" t="s">
        <v>737</v>
      </c>
      <c r="B780" s="2" t="s">
        <v>5279</v>
      </c>
      <c r="C780" s="1">
        <v>24</v>
      </c>
      <c r="D780" s="1">
        <v>0</v>
      </c>
      <c r="E780" s="1">
        <v>16</v>
      </c>
      <c r="F780" s="1">
        <v>6</v>
      </c>
      <c r="K780" s="6">
        <v>2780</v>
      </c>
      <c r="L780" s="6">
        <v>728107</v>
      </c>
      <c r="M780" s="1">
        <v>98.8</v>
      </c>
      <c r="N780" s="1">
        <v>8</v>
      </c>
      <c r="O780" s="1">
        <v>1</v>
      </c>
      <c r="P780" s="1">
        <v>39.200000000000003</v>
      </c>
      <c r="Q780" s="11">
        <f>'Table H'!$J$182</f>
        <v>0.87323598274839831</v>
      </c>
      <c r="R780" s="11">
        <f t="shared" si="24"/>
        <v>635809.23169098806</v>
      </c>
      <c r="S780" s="11" t="str">
        <f t="shared" si="25"/>
        <v>Newcastle under Lyme MB</v>
      </c>
      <c r="T780" s="11" t="s">
        <v>5211</v>
      </c>
      <c r="V780" s="11" t="str">
        <f>INDEX('Lookup 1961'!$A$2:$A$1300, MATCH(S780, 'Lookup 1961'!$B$2:$B$1300,0))</f>
        <v>J04000900</v>
      </c>
      <c r="W780" s="11" t="str">
        <f>INDEX('Lookup 1961'!$F$2:$F$1300, MATCH(S780, 'Lookup 1961'!$B$2:$B$1300,0))</f>
        <v>e330952</v>
      </c>
      <c r="X780" s="11" t="str">
        <f>INDEX('Lookup 1961'!$C$2:$C$1300, MATCH(V780, 'Lookup 1961'!$A$2:$A$1300,0))</f>
        <v>Staffordshire</v>
      </c>
    </row>
    <row r="781" spans="1:24" ht="25.05" customHeight="1" x14ac:dyDescent="0.3">
      <c r="A781" s="2" t="s">
        <v>738</v>
      </c>
      <c r="B781" s="2" t="s">
        <v>738</v>
      </c>
      <c r="C781" s="1">
        <v>25</v>
      </c>
      <c r="D781" s="1">
        <v>6</v>
      </c>
      <c r="E781" s="1">
        <v>15</v>
      </c>
      <c r="F781" s="1">
        <v>6</v>
      </c>
      <c r="K781" s="6">
        <v>1837</v>
      </c>
      <c r="L781" s="6">
        <v>464367</v>
      </c>
      <c r="M781" s="1">
        <v>127.2</v>
      </c>
      <c r="N781" s="1">
        <v>7</v>
      </c>
      <c r="O781" s="1">
        <v>0</v>
      </c>
      <c r="P781" s="1">
        <v>38.6</v>
      </c>
      <c r="Q781" s="11">
        <f>'Table H'!$J$182</f>
        <v>0.87323598274839831</v>
      </c>
      <c r="R781" s="11">
        <f t="shared" si="24"/>
        <v>405501.97360092547</v>
      </c>
      <c r="S781" s="11" t="str">
        <f t="shared" si="25"/>
        <v>Rowley Regis MB</v>
      </c>
      <c r="T781" s="11" t="s">
        <v>5211</v>
      </c>
      <c r="V781" s="11" t="str">
        <f>INDEX('Lookup 1961'!$A$2:$A$1300, MATCH(S781, 'Lookup 1961'!$B$2:$B$1300,0))</f>
        <v>J04001071</v>
      </c>
      <c r="W781" s="11" t="str">
        <f>INDEX('Lookup 1961'!$F$2:$F$1300, MATCH(S781, 'Lookup 1961'!$B$2:$B$1300,0))</f>
        <v>e431127</v>
      </c>
      <c r="X781" s="11" t="str">
        <f>INDEX('Lookup 1961'!$C$2:$C$1300, MATCH(V781, 'Lookup 1961'!$A$2:$A$1300,0))</f>
        <v>West Midlands</v>
      </c>
    </row>
    <row r="782" spans="1:24" ht="25.05" customHeight="1" x14ac:dyDescent="0.3">
      <c r="A782" s="2" t="s">
        <v>739</v>
      </c>
      <c r="B782" s="2" t="s">
        <v>739</v>
      </c>
      <c r="C782" s="1">
        <v>22</v>
      </c>
      <c r="D782" s="1">
        <v>6</v>
      </c>
      <c r="E782" s="1">
        <v>15</v>
      </c>
      <c r="F782" s="1">
        <v>6</v>
      </c>
      <c r="K782" s="6">
        <v>2281</v>
      </c>
      <c r="L782" s="6">
        <v>562025</v>
      </c>
      <c r="M782" s="1">
        <v>104.3</v>
      </c>
      <c r="N782" s="1">
        <v>10</v>
      </c>
      <c r="O782" s="1">
        <v>10</v>
      </c>
      <c r="P782" s="1">
        <v>43.4</v>
      </c>
      <c r="Q782" s="11">
        <f>'Table H'!$J$182</f>
        <v>0.87323598274839831</v>
      </c>
      <c r="R782" s="11">
        <f t="shared" si="24"/>
        <v>490780.45320416859</v>
      </c>
      <c r="S782" s="11" t="str">
        <f t="shared" si="25"/>
        <v>Stafford MB</v>
      </c>
      <c r="T782" s="11" t="s">
        <v>5211</v>
      </c>
      <c r="V782" s="11" t="str">
        <f>INDEX('Lookup 1961'!$A$2:$A$1300, MATCH(S782, 'Lookup 1961'!$B$2:$B$1300,0))</f>
        <v>J04001196</v>
      </c>
      <c r="W782" s="11" t="str">
        <f>INDEX('Lookup 1961'!$F$2:$F$1300, MATCH(S782, 'Lookup 1961'!$B$2:$B$1300,0))</f>
        <v>e330954</v>
      </c>
      <c r="X782" s="11" t="str">
        <f>INDEX('Lookup 1961'!$C$2:$C$1300, MATCH(V782, 'Lookup 1961'!$A$2:$A$1300,0))</f>
        <v>Staffordshire</v>
      </c>
    </row>
    <row r="783" spans="1:24" ht="25.05" customHeight="1" x14ac:dyDescent="0.3">
      <c r="A783" s="2" t="s">
        <v>740</v>
      </c>
      <c r="B783" s="2" t="s">
        <v>740</v>
      </c>
      <c r="C783" s="1">
        <v>23</v>
      </c>
      <c r="D783" s="1">
        <v>10</v>
      </c>
      <c r="E783" s="1">
        <v>17</v>
      </c>
      <c r="F783" s="1">
        <v>0</v>
      </c>
      <c r="K783" s="1">
        <v>625</v>
      </c>
      <c r="L783" s="6">
        <v>161120</v>
      </c>
      <c r="M783" s="1">
        <v>90.2</v>
      </c>
      <c r="N783" s="1">
        <v>10</v>
      </c>
      <c r="O783" s="1">
        <v>5</v>
      </c>
      <c r="P783" s="1">
        <v>41.5</v>
      </c>
      <c r="Q783" s="11">
        <f>'Table H'!$J$182</f>
        <v>0.87323598274839831</v>
      </c>
      <c r="R783" s="11">
        <f t="shared" si="24"/>
        <v>140695.78154042194</v>
      </c>
      <c r="S783" s="11" t="str">
        <f t="shared" si="25"/>
        <v>Tamworth MB</v>
      </c>
      <c r="T783" s="11" t="s">
        <v>5211</v>
      </c>
      <c r="V783" s="11" t="str">
        <f>INDEX('Lookup 1961'!$A$2:$A$1300, MATCH(S783, 'Lookup 1961'!$B$2:$B$1300,0))</f>
        <v>J04001248</v>
      </c>
      <c r="W783" s="11" t="str">
        <f>INDEX('Lookup 1961'!$F$2:$F$1300, MATCH(S783, 'Lookup 1961'!$B$2:$B$1300,0))</f>
        <v>e330956</v>
      </c>
      <c r="X783" s="11" t="str">
        <f>INDEX('Lookup 1961'!$C$2:$C$1300, MATCH(V783, 'Lookup 1961'!$A$2:$A$1300,0))</f>
        <v>Staffordshire</v>
      </c>
    </row>
    <row r="784" spans="1:24" ht="25.05" customHeight="1" x14ac:dyDescent="0.3">
      <c r="A784" s="2" t="s">
        <v>741</v>
      </c>
      <c r="B784" s="2" t="s">
        <v>741</v>
      </c>
      <c r="C784" s="1">
        <v>24</v>
      </c>
      <c r="D784" s="1">
        <v>6</v>
      </c>
      <c r="E784" s="1">
        <v>17</v>
      </c>
      <c r="F784" s="1">
        <v>6</v>
      </c>
      <c r="K784" s="6">
        <v>1352</v>
      </c>
      <c r="L784" s="6">
        <v>340718</v>
      </c>
      <c r="M784" s="1">
        <v>111.7</v>
      </c>
      <c r="N784" s="1">
        <v>7</v>
      </c>
      <c r="O784" s="1">
        <v>8</v>
      </c>
      <c r="P784" s="1">
        <v>54.4</v>
      </c>
      <c r="Q784" s="11">
        <f>'Table H'!$J$182</f>
        <v>0.87323598274839831</v>
      </c>
      <c r="R784" s="11">
        <f t="shared" si="24"/>
        <v>297527.21757006878</v>
      </c>
      <c r="S784" s="11" t="str">
        <f t="shared" si="25"/>
        <v>Tipton MB</v>
      </c>
      <c r="T784" s="11" t="s">
        <v>5211</v>
      </c>
      <c r="V784" s="11" t="str">
        <f>INDEX('Lookup 1961'!$A$2:$A$1300, MATCH(S784, 'Lookup 1961'!$B$2:$B$1300,0))</f>
        <v>J04001278</v>
      </c>
      <c r="W784" s="11" t="str">
        <f>INDEX('Lookup 1961'!$F$2:$F$1300, MATCH(S784, 'Lookup 1961'!$B$2:$B$1300,0))</f>
        <v>e330944</v>
      </c>
      <c r="X784" s="11" t="str">
        <f>INDEX('Lookup 1961'!$C$2:$C$1300, MATCH(V784, 'Lookup 1961'!$A$2:$A$1300,0))</f>
        <v>West Midlands</v>
      </c>
    </row>
    <row r="785" spans="1:24" ht="25.05" customHeight="1" x14ac:dyDescent="0.3">
      <c r="A785" s="2" t="s">
        <v>742</v>
      </c>
      <c r="B785" s="2" t="s">
        <v>742</v>
      </c>
      <c r="C785" s="1">
        <v>22</v>
      </c>
      <c r="D785" s="1">
        <v>0</v>
      </c>
      <c r="E785" s="1">
        <v>15</v>
      </c>
      <c r="F785" s="1">
        <v>6</v>
      </c>
      <c r="K785" s="6">
        <v>1330</v>
      </c>
      <c r="L785" s="6">
        <v>337693</v>
      </c>
      <c r="M785" s="1">
        <v>95.2</v>
      </c>
      <c r="N785" s="1">
        <v>7</v>
      </c>
      <c r="O785" s="1">
        <v>6</v>
      </c>
      <c r="P785" s="1">
        <v>35.9</v>
      </c>
      <c r="Q785" s="11">
        <f>'Table H'!$J$182</f>
        <v>0.87323598274839831</v>
      </c>
      <c r="R785" s="11">
        <f t="shared" si="24"/>
        <v>294885.67872225487</v>
      </c>
      <c r="S785" s="11" t="str">
        <f t="shared" si="25"/>
        <v>Wednesbury MB</v>
      </c>
      <c r="T785" s="11" t="s">
        <v>5211</v>
      </c>
      <c r="V785" s="11" t="str">
        <f>INDEX('Lookup 1961'!$A$2:$A$1300, MATCH(S785, 'Lookup 1961'!$B$2:$B$1300,0))</f>
        <v>J04001359</v>
      </c>
      <c r="W785" s="11" t="str">
        <f>INDEX('Lookup 1961'!$F$2:$F$1300, MATCH(S785, 'Lookup 1961'!$B$2:$B$1300,0))</f>
        <v>e330944</v>
      </c>
      <c r="X785" s="11" t="str">
        <f>INDEX('Lookup 1961'!$C$2:$C$1300, MATCH(V785, 'Lookup 1961'!$A$2:$A$1300,0))</f>
        <v>West Midlands</v>
      </c>
    </row>
    <row r="786" spans="1:24" ht="25.05" customHeight="1" x14ac:dyDescent="0.3">
      <c r="A786" s="2" t="s">
        <v>150</v>
      </c>
      <c r="B786" s="2" t="s">
        <v>1221</v>
      </c>
      <c r="S786" s="11" t="str">
        <f t="shared" si="25"/>
        <v xml:space="preserve">Urban Districts  </v>
      </c>
      <c r="V786" s="11" t="e">
        <f>INDEX('Lookup 1961'!$A$2:$A$1300, MATCH(S786, 'Lookup 1961'!$B$2:$B$1300,0))</f>
        <v>#N/A</v>
      </c>
      <c r="W786" s="11" t="e">
        <f>INDEX('Lookup 1961'!$F$2:$F$1300, MATCH(S786, 'Lookup 1961'!$B$2:$B$1300,0))</f>
        <v>#N/A</v>
      </c>
      <c r="X786" s="11" t="e">
        <f>INDEX('Lookup 1961'!$C$2:$C$1300, MATCH(V786, 'Lookup 1961'!$A$2:$A$1300,0))</f>
        <v>#N/A</v>
      </c>
    </row>
    <row r="787" spans="1:24" ht="25.05" customHeight="1" x14ac:dyDescent="0.3">
      <c r="A787" s="2" t="s">
        <v>743</v>
      </c>
      <c r="B787" s="2" t="s">
        <v>743</v>
      </c>
      <c r="C787" s="1">
        <v>22</v>
      </c>
      <c r="D787" s="1">
        <v>0</v>
      </c>
      <c r="E787" s="1">
        <v>16</v>
      </c>
      <c r="F787" s="1">
        <v>8</v>
      </c>
      <c r="K787" s="6">
        <v>1210</v>
      </c>
      <c r="L787" s="6">
        <v>304391</v>
      </c>
      <c r="M787" s="1">
        <v>91</v>
      </c>
      <c r="N787" s="1">
        <v>7</v>
      </c>
      <c r="O787" s="1">
        <v>3</v>
      </c>
      <c r="P787" s="1">
        <v>32.5</v>
      </c>
      <c r="Q787" s="11">
        <f>'Table H'!$J$183</f>
        <v>0.87616959094606062</v>
      </c>
      <c r="R787" s="11">
        <f t="shared" si="24"/>
        <v>266698.13795766234</v>
      </c>
      <c r="S787" s="11" t="str">
        <f t="shared" si="25"/>
        <v>Aldridge UD</v>
      </c>
      <c r="T787" s="11" t="s">
        <v>5214</v>
      </c>
      <c r="V787" s="11" t="str">
        <f>INDEX('Lookup 1961'!$A$2:$A$1300, MATCH(S787, 'Lookup 1961'!$B$2:$B$1300,0))</f>
        <v>J04000024</v>
      </c>
      <c r="W787" s="11" t="str">
        <f>INDEX('Lookup 1961'!$F$2:$F$1300, MATCH(S787, 'Lookup 1961'!$B$2:$B$1300,0))</f>
        <v>e330946</v>
      </c>
      <c r="X787" s="11" t="str">
        <f>INDEX('Lookup 1961'!$C$2:$C$1300, MATCH(V787, 'Lookup 1961'!$A$2:$A$1300,0))</f>
        <v>West Midlands</v>
      </c>
    </row>
    <row r="788" spans="1:24" ht="25.05" customHeight="1" x14ac:dyDescent="0.3">
      <c r="A788" s="2" t="s">
        <v>744</v>
      </c>
      <c r="B788" s="2" t="s">
        <v>744</v>
      </c>
      <c r="C788" s="1">
        <v>19</v>
      </c>
      <c r="D788" s="1">
        <v>6</v>
      </c>
      <c r="E788" s="1">
        <v>13</v>
      </c>
      <c r="F788" s="1">
        <v>6</v>
      </c>
      <c r="K788" s="1">
        <v>158</v>
      </c>
      <c r="L788" s="6">
        <v>41898</v>
      </c>
      <c r="M788" s="1">
        <v>101</v>
      </c>
      <c r="N788" s="1">
        <v>9</v>
      </c>
      <c r="O788" s="1">
        <v>4</v>
      </c>
      <c r="P788" s="1">
        <v>42.1</v>
      </c>
      <c r="Q788" s="11">
        <f>'Table H'!$J$183</f>
        <v>0.87616959094606062</v>
      </c>
      <c r="R788" s="11">
        <f t="shared" si="24"/>
        <v>36709.753521458049</v>
      </c>
      <c r="S788" s="11" t="str">
        <f t="shared" si="25"/>
        <v>Amblecote UD</v>
      </c>
      <c r="T788" s="11" t="s">
        <v>5214</v>
      </c>
      <c r="V788" s="11" t="str">
        <f>INDEX('Lookup 1961'!$A$2:$A$1300, MATCH(S788, 'Lookup 1961'!$B$2:$B$1300,0))</f>
        <v>J04000036</v>
      </c>
      <c r="W788" s="11" t="str">
        <f>INDEX('Lookup 1961'!$F$2:$F$1300, MATCH(S788, 'Lookup 1961'!$B$2:$B$1300,0))</f>
        <v>e330941</v>
      </c>
      <c r="X788" s="11" t="str">
        <f>INDEX('Lookup 1961'!$C$2:$C$1300, MATCH(V788, 'Lookup 1961'!$A$2:$A$1300,0))</f>
        <v>West Midlands</v>
      </c>
    </row>
    <row r="789" spans="1:24" ht="25.05" customHeight="1" x14ac:dyDescent="0.3">
      <c r="A789" s="2" t="s">
        <v>745</v>
      </c>
      <c r="B789" s="2" t="s">
        <v>745</v>
      </c>
      <c r="C789" s="1">
        <v>24</v>
      </c>
      <c r="D789" s="1">
        <v>8</v>
      </c>
      <c r="E789" s="1">
        <v>17</v>
      </c>
      <c r="F789" s="1">
        <v>8</v>
      </c>
      <c r="K789" s="1">
        <v>290</v>
      </c>
      <c r="L789" s="6">
        <v>77246</v>
      </c>
      <c r="M789" s="1">
        <v>69</v>
      </c>
      <c r="N789" s="1">
        <v>5</v>
      </c>
      <c r="O789" s="1">
        <v>0</v>
      </c>
      <c r="P789" s="1">
        <v>17</v>
      </c>
      <c r="Q789" s="11">
        <f>'Table H'!$J$183</f>
        <v>0.87616959094606062</v>
      </c>
      <c r="R789" s="11">
        <f t="shared" si="24"/>
        <v>67680.596222219392</v>
      </c>
      <c r="S789" s="11" t="str">
        <f t="shared" si="25"/>
        <v>Biddulph UD</v>
      </c>
      <c r="T789" s="11" t="s">
        <v>5214</v>
      </c>
      <c r="V789" s="11" t="str">
        <f>INDEX('Lookup 1961'!$A$2:$A$1300, MATCH(S789, 'Lookup 1961'!$B$2:$B$1300,0))</f>
        <v>J04000138</v>
      </c>
      <c r="W789" s="11" t="str">
        <f>INDEX('Lookup 1961'!$F$2:$F$1300, MATCH(S789, 'Lookup 1961'!$B$2:$B$1300,0))</f>
        <v>e330947</v>
      </c>
      <c r="X789" s="11" t="str">
        <f>INDEX('Lookup 1961'!$C$2:$C$1300, MATCH(V789, 'Lookup 1961'!$A$2:$A$1300,0))</f>
        <v>Staffordshire</v>
      </c>
    </row>
    <row r="790" spans="1:24" ht="25.05" customHeight="1" x14ac:dyDescent="0.3">
      <c r="A790" s="2" t="s">
        <v>746</v>
      </c>
      <c r="B790" s="2" t="s">
        <v>746</v>
      </c>
      <c r="C790" s="1">
        <v>22</v>
      </c>
      <c r="D790" s="1">
        <v>6</v>
      </c>
      <c r="E790" s="1">
        <v>16</v>
      </c>
      <c r="F790" s="1">
        <v>8</v>
      </c>
      <c r="K790" s="6">
        <v>1775</v>
      </c>
      <c r="L790" s="6">
        <v>460062</v>
      </c>
      <c r="M790" s="1">
        <v>113.8</v>
      </c>
      <c r="N790" s="1">
        <v>7</v>
      </c>
      <c r="O790" s="1">
        <v>11</v>
      </c>
      <c r="P790" s="1">
        <v>55.1</v>
      </c>
      <c r="Q790" s="11">
        <f>'Table H'!$J$183</f>
        <v>0.87616959094606062</v>
      </c>
      <c r="R790" s="11">
        <f t="shared" si="24"/>
        <v>403092.33434982656</v>
      </c>
      <c r="S790" s="11" t="str">
        <f t="shared" si="25"/>
        <v>Brierley Hill UD</v>
      </c>
      <c r="T790" s="11" t="s">
        <v>5214</v>
      </c>
      <c r="V790" s="11" t="str">
        <f>INDEX('Lookup 1961'!$A$2:$A$1300, MATCH(S790, 'Lookup 1961'!$B$2:$B$1300,0))</f>
        <v>J04000208</v>
      </c>
      <c r="W790" s="11" t="str">
        <f>INDEX('Lookup 1961'!$F$2:$F$1300, MATCH(S790, 'Lookup 1961'!$B$2:$B$1300,0))</f>
        <v>e330941</v>
      </c>
      <c r="X790" s="11" t="str">
        <f>INDEX('Lookup 1961'!$C$2:$C$1300, MATCH(V790, 'Lookup 1961'!$A$2:$A$1300,0))</f>
        <v>West Midlands</v>
      </c>
    </row>
    <row r="791" spans="1:24" ht="25.05" customHeight="1" x14ac:dyDescent="0.3">
      <c r="A791" s="2" t="s">
        <v>747</v>
      </c>
      <c r="B791" s="2" t="s">
        <v>747</v>
      </c>
      <c r="C791" s="1">
        <v>24</v>
      </c>
      <c r="D791" s="1">
        <v>0</v>
      </c>
      <c r="E791" s="1">
        <v>16</v>
      </c>
      <c r="F791" s="1">
        <v>6</v>
      </c>
      <c r="K791" s="1">
        <v>505</v>
      </c>
      <c r="L791" s="6">
        <v>137030</v>
      </c>
      <c r="M791" s="1">
        <v>82.3</v>
      </c>
      <c r="N791" s="1">
        <v>4</v>
      </c>
      <c r="O791" s="1">
        <v>18</v>
      </c>
      <c r="P791" s="1">
        <v>33.299999999999997</v>
      </c>
      <c r="Q791" s="11">
        <f>'Table H'!$J$183</f>
        <v>0.87616959094606062</v>
      </c>
      <c r="R791" s="11">
        <f t="shared" si="24"/>
        <v>120061.51904733869</v>
      </c>
      <c r="S791" s="11" t="str">
        <f t="shared" si="25"/>
        <v>Brownhills UD</v>
      </c>
      <c r="T791" s="11" t="s">
        <v>5214</v>
      </c>
      <c r="V791" s="11" t="str">
        <f>INDEX('Lookup 1961'!$A$2:$A$1300, MATCH(S791, 'Lookup 1961'!$B$2:$B$1300,0))</f>
        <v>J04000223</v>
      </c>
      <c r="W791" s="11" t="str">
        <f>INDEX('Lookup 1961'!$F$2:$F$1300, MATCH(S791, 'Lookup 1961'!$B$2:$B$1300,0))</f>
        <v>e330946</v>
      </c>
      <c r="X791" s="11" t="str">
        <f>INDEX('Lookup 1961'!$C$2:$C$1300, MATCH(V791, 'Lookup 1961'!$A$2:$A$1300,0))</f>
        <v>West Midlands</v>
      </c>
    </row>
    <row r="792" spans="1:24" ht="25.05" customHeight="1" x14ac:dyDescent="0.3">
      <c r="A792" s="2" t="s">
        <v>748</v>
      </c>
      <c r="B792" s="2" t="s">
        <v>748</v>
      </c>
      <c r="C792" s="1">
        <v>22</v>
      </c>
      <c r="D792" s="1">
        <v>0</v>
      </c>
      <c r="E792" s="1">
        <v>16</v>
      </c>
      <c r="F792" s="1">
        <v>0</v>
      </c>
      <c r="K792" s="6">
        <v>1455</v>
      </c>
      <c r="L792" s="6">
        <v>376417</v>
      </c>
      <c r="M792" s="1">
        <v>92.6</v>
      </c>
      <c r="N792" s="1">
        <v>6</v>
      </c>
      <c r="O792" s="1">
        <v>19</v>
      </c>
      <c r="P792" s="1">
        <v>33</v>
      </c>
      <c r="Q792" s="11">
        <f>'Table H'!$J$183</f>
        <v>0.87616959094606062</v>
      </c>
      <c r="R792" s="11">
        <f t="shared" si="24"/>
        <v>329805.12891514332</v>
      </c>
      <c r="S792" s="11" t="str">
        <f t="shared" si="25"/>
        <v>Cannock UD</v>
      </c>
      <c r="T792" s="11" t="s">
        <v>5214</v>
      </c>
      <c r="V792" s="11" t="str">
        <f>INDEX('Lookup 1961'!$A$2:$A$1300, MATCH(S792, 'Lookup 1961'!$B$2:$B$1300,0))</f>
        <v>J04000259</v>
      </c>
      <c r="W792" s="11" t="str">
        <f>INDEX('Lookup 1961'!$F$2:$F$1300, MATCH(S792, 'Lookup 1961'!$B$2:$B$1300,0))</f>
        <v>e330948</v>
      </c>
      <c r="X792" s="11" t="str">
        <f>INDEX('Lookup 1961'!$C$2:$C$1300, MATCH(V792, 'Lookup 1961'!$A$2:$A$1300,0))</f>
        <v>Staffordshire</v>
      </c>
    </row>
    <row r="793" spans="1:24" ht="25.05" customHeight="1" x14ac:dyDescent="0.3">
      <c r="A793" s="2" t="s">
        <v>749</v>
      </c>
      <c r="B793" s="2" t="s">
        <v>749</v>
      </c>
      <c r="C793" s="1">
        <v>22</v>
      </c>
      <c r="D793" s="1">
        <v>6</v>
      </c>
      <c r="E793" s="1">
        <v>15</v>
      </c>
      <c r="F793" s="1">
        <v>6</v>
      </c>
      <c r="K793" s="6">
        <v>1231</v>
      </c>
      <c r="L793" s="6">
        <v>304707</v>
      </c>
      <c r="M793" s="1">
        <v>125.2</v>
      </c>
      <c r="N793" s="1">
        <v>6</v>
      </c>
      <c r="O793" s="1">
        <v>19</v>
      </c>
      <c r="P793" s="1">
        <v>50.1</v>
      </c>
      <c r="Q793" s="11">
        <f>'Table H'!$J$183</f>
        <v>0.87616959094606062</v>
      </c>
      <c r="R793" s="11">
        <f t="shared" si="24"/>
        <v>266975.00754840131</v>
      </c>
      <c r="S793" s="11" t="str">
        <f t="shared" si="25"/>
        <v>Coseley UD</v>
      </c>
      <c r="T793" s="11" t="s">
        <v>5214</v>
      </c>
      <c r="V793" s="11" t="str">
        <f>INDEX('Lookup 1961'!$A$2:$A$1300, MATCH(S793, 'Lookup 1961'!$B$2:$B$1300,0))</f>
        <v>J04000349</v>
      </c>
      <c r="W793" s="11" t="str">
        <f>INDEX('Lookup 1961'!$F$2:$F$1300, MATCH(S793, 'Lookup 1961'!$B$2:$B$1300,0))</f>
        <v>e330945</v>
      </c>
      <c r="X793" s="11" t="str">
        <f>INDEX('Lookup 1961'!$C$2:$C$1300, MATCH(V793, 'Lookup 1961'!$A$2:$A$1300,0))</f>
        <v>West Midlands</v>
      </c>
    </row>
    <row r="794" spans="1:24" ht="25.05" customHeight="1" x14ac:dyDescent="0.3">
      <c r="A794" s="2" t="s">
        <v>750</v>
      </c>
      <c r="B794" s="2" t="s">
        <v>750</v>
      </c>
      <c r="C794" s="1">
        <v>24</v>
      </c>
      <c r="D794" s="1">
        <v>0</v>
      </c>
      <c r="E794" s="1">
        <v>16</v>
      </c>
      <c r="F794" s="1">
        <v>6</v>
      </c>
      <c r="K794" s="1">
        <v>806</v>
      </c>
      <c r="L794" s="6">
        <v>210649</v>
      </c>
      <c r="M794" s="1">
        <v>116.9</v>
      </c>
      <c r="N794" s="1">
        <v>7</v>
      </c>
      <c r="O794" s="1">
        <v>5</v>
      </c>
      <c r="P794" s="1">
        <v>42.9</v>
      </c>
      <c r="Q794" s="11">
        <f>'Table H'!$J$183</f>
        <v>0.87616959094606062</v>
      </c>
      <c r="R794" s="11">
        <f t="shared" si="24"/>
        <v>184564.24816319672</v>
      </c>
      <c r="S794" s="11" t="str">
        <f t="shared" si="25"/>
        <v>Darlaston UD</v>
      </c>
      <c r="T794" s="11" t="s">
        <v>5214</v>
      </c>
      <c r="V794" s="11" t="str">
        <f>INDEX('Lookup 1961'!$A$2:$A$1300, MATCH(S794, 'Lookup 1961'!$B$2:$B$1300,0))</f>
        <v>J04000380</v>
      </c>
      <c r="W794" s="11" t="str">
        <f>INDEX('Lookup 1961'!$F$2:$F$1300, MATCH(S794, 'Lookup 1961'!$B$2:$B$1300,0))</f>
        <v>e330943</v>
      </c>
      <c r="X794" s="11" t="str">
        <f>INDEX('Lookup 1961'!$C$2:$C$1300, MATCH(V794, 'Lookup 1961'!$A$2:$A$1300,0))</f>
        <v>West Midlands</v>
      </c>
    </row>
    <row r="795" spans="1:24" ht="25.05" customHeight="1" x14ac:dyDescent="0.3">
      <c r="A795" s="2" t="s">
        <v>751</v>
      </c>
      <c r="B795" s="2" t="s">
        <v>751</v>
      </c>
      <c r="C795" s="1">
        <v>24</v>
      </c>
      <c r="D795" s="1">
        <v>10</v>
      </c>
      <c r="E795" s="1">
        <v>17</v>
      </c>
      <c r="F795" s="1">
        <v>6</v>
      </c>
      <c r="K795" s="1">
        <v>470</v>
      </c>
      <c r="L795" s="6">
        <v>124814</v>
      </c>
      <c r="M795" s="1">
        <v>77.900000000000006</v>
      </c>
      <c r="N795" s="1">
        <v>5</v>
      </c>
      <c r="O795" s="1">
        <v>9</v>
      </c>
      <c r="P795" s="1">
        <v>16.2</v>
      </c>
      <c r="Q795" s="11">
        <f>'Table H'!$J$183</f>
        <v>0.87616959094606062</v>
      </c>
      <c r="R795" s="11">
        <f t="shared" si="24"/>
        <v>109358.23132434161</v>
      </c>
      <c r="S795" s="11" t="str">
        <f t="shared" si="25"/>
        <v>Kidsgrove UD</v>
      </c>
      <c r="T795" s="11" t="s">
        <v>5214</v>
      </c>
      <c r="V795" s="11" t="str">
        <f>INDEX('Lookup 1961'!$A$2:$A$1300, MATCH(S795, 'Lookup 1961'!$B$2:$B$1300,0))</f>
        <v>J04000693</v>
      </c>
      <c r="W795" s="11" t="str">
        <f>INDEX('Lookup 1961'!$F$2:$F$1300, MATCH(S795, 'Lookup 1961'!$B$2:$B$1300,0))</f>
        <v>e330949</v>
      </c>
      <c r="X795" s="11" t="str">
        <f>INDEX('Lookup 1961'!$C$2:$C$1300, MATCH(V795, 'Lookup 1961'!$A$2:$A$1300,0))</f>
        <v>Staffordshire</v>
      </c>
    </row>
    <row r="796" spans="1:24" ht="25.05" customHeight="1" x14ac:dyDescent="0.3">
      <c r="A796" s="2" t="s">
        <v>752</v>
      </c>
      <c r="B796" s="2" t="s">
        <v>752</v>
      </c>
      <c r="C796" s="1">
        <v>22</v>
      </c>
      <c r="D796" s="1">
        <v>0</v>
      </c>
      <c r="E796" s="1">
        <v>16</v>
      </c>
      <c r="F796" s="1">
        <v>0</v>
      </c>
      <c r="K796" s="1">
        <v>752</v>
      </c>
      <c r="L796" s="6">
        <v>191702</v>
      </c>
      <c r="M796" s="1">
        <v>71.8</v>
      </c>
      <c r="N796" s="1">
        <v>7</v>
      </c>
      <c r="O796" s="1">
        <v>18</v>
      </c>
      <c r="P796" s="1">
        <v>23</v>
      </c>
      <c r="Q796" s="11">
        <f>'Table H'!$J$183</f>
        <v>0.87616959094606062</v>
      </c>
      <c r="R796" s="11">
        <f t="shared" si="24"/>
        <v>167963.46292354172</v>
      </c>
      <c r="S796" s="11" t="str">
        <f t="shared" si="25"/>
        <v>Leek UD</v>
      </c>
      <c r="T796" s="11" t="s">
        <v>5214</v>
      </c>
      <c r="V796" s="11" t="str">
        <f>INDEX('Lookup 1961'!$A$2:$A$1300, MATCH(S796, 'Lookup 1961'!$B$2:$B$1300,0))</f>
        <v>J04000729</v>
      </c>
      <c r="W796" s="11" t="str">
        <f>INDEX('Lookup 1961'!$F$2:$F$1300, MATCH(S796, 'Lookup 1961'!$B$2:$B$1300,0))</f>
        <v>e330950</v>
      </c>
      <c r="X796" s="11" t="str">
        <f>INDEX('Lookup 1961'!$C$2:$C$1300, MATCH(V796, 'Lookup 1961'!$A$2:$A$1300,0))</f>
        <v>Staffordshire</v>
      </c>
    </row>
    <row r="797" spans="1:24" ht="25.05" customHeight="1" x14ac:dyDescent="0.3">
      <c r="A797" s="2" t="s">
        <v>753</v>
      </c>
      <c r="B797" s="2" t="s">
        <v>753</v>
      </c>
      <c r="C797" s="1">
        <v>24</v>
      </c>
      <c r="D797" s="1">
        <v>2</v>
      </c>
      <c r="E797" s="1">
        <v>15</v>
      </c>
      <c r="F797" s="1">
        <v>2</v>
      </c>
      <c r="K797" s="1">
        <v>386</v>
      </c>
      <c r="L797" s="6">
        <v>104264</v>
      </c>
      <c r="M797" s="1">
        <v>114.5</v>
      </c>
      <c r="N797" s="1">
        <v>6</v>
      </c>
      <c r="O797" s="1">
        <v>7</v>
      </c>
      <c r="P797" s="1">
        <v>25.7</v>
      </c>
      <c r="Q797" s="11">
        <f>'Table H'!$J$183</f>
        <v>0.87616959094606062</v>
      </c>
      <c r="R797" s="11">
        <f t="shared" si="24"/>
        <v>91352.946230400063</v>
      </c>
      <c r="S797" s="11" t="str">
        <f t="shared" si="25"/>
        <v>Rugeley UD</v>
      </c>
      <c r="T797" s="11" t="s">
        <v>5214</v>
      </c>
      <c r="V797" s="11" t="str">
        <f>INDEX('Lookup 1961'!$A$2:$A$1300, MATCH(S797, 'Lookup 1961'!$B$2:$B$1300,0))</f>
        <v>J04001079</v>
      </c>
      <c r="W797" s="11" t="str">
        <f>INDEX('Lookup 1961'!$F$2:$F$1300, MATCH(S797, 'Lookup 1961'!$B$2:$B$1300,0))</f>
        <v>e330953</v>
      </c>
      <c r="X797" s="11" t="str">
        <f>INDEX('Lookup 1961'!$C$2:$C$1300, MATCH(V797, 'Lookup 1961'!$A$2:$A$1300,0))</f>
        <v>Staffordshire</v>
      </c>
    </row>
    <row r="798" spans="1:24" ht="25.05" customHeight="1" x14ac:dyDescent="0.3">
      <c r="A798" s="2" t="s">
        <v>754</v>
      </c>
      <c r="B798" s="2" t="s">
        <v>754</v>
      </c>
      <c r="C798" s="1">
        <v>24</v>
      </c>
      <c r="D798" s="1">
        <v>6</v>
      </c>
      <c r="E798" s="1">
        <v>16</v>
      </c>
      <c r="F798" s="1">
        <v>6</v>
      </c>
      <c r="K798" s="1">
        <v>804</v>
      </c>
      <c r="L798" s="6">
        <v>201180</v>
      </c>
      <c r="M798" s="1">
        <v>86.8</v>
      </c>
      <c r="N798" s="1">
        <v>6</v>
      </c>
      <c r="O798" s="1">
        <v>14</v>
      </c>
      <c r="P798" s="1">
        <v>24.6</v>
      </c>
      <c r="Q798" s="11">
        <f>'Table H'!$J$183</f>
        <v>0.87616959094606062</v>
      </c>
      <c r="R798" s="11">
        <f t="shared" si="24"/>
        <v>176267.79830652848</v>
      </c>
      <c r="S798" s="11" t="str">
        <f t="shared" si="25"/>
        <v>Sedgley UD</v>
      </c>
      <c r="T798" s="11" t="s">
        <v>5214</v>
      </c>
      <c r="V798" s="11" t="str">
        <f>INDEX('Lookup 1961'!$A$2:$A$1300, MATCH(S798, 'Lookup 1961'!$B$2:$B$1300,0))</f>
        <v>J04001116</v>
      </c>
      <c r="W798" s="11" t="str">
        <f>INDEX('Lookup 1961'!$F$2:$F$1300, MATCH(S798, 'Lookup 1961'!$B$2:$B$1300,0))</f>
        <v>e330941</v>
      </c>
      <c r="X798" s="11" t="str">
        <f>INDEX('Lookup 1961'!$C$2:$C$1300, MATCH(V798, 'Lookup 1961'!$A$2:$A$1300,0))</f>
        <v>West Midlands</v>
      </c>
    </row>
    <row r="799" spans="1:24" ht="25.05" customHeight="1" x14ac:dyDescent="0.3">
      <c r="A799" s="2" t="s">
        <v>755</v>
      </c>
      <c r="B799" s="2" t="s">
        <v>755</v>
      </c>
      <c r="C799" s="1">
        <v>24</v>
      </c>
      <c r="D799" s="1">
        <v>0</v>
      </c>
      <c r="E799" s="1">
        <v>16</v>
      </c>
      <c r="F799" s="1">
        <v>6</v>
      </c>
      <c r="K799" s="1">
        <v>342</v>
      </c>
      <c r="L799" s="6">
        <v>91821</v>
      </c>
      <c r="M799" s="1">
        <v>91</v>
      </c>
      <c r="N799" s="1">
        <v>7</v>
      </c>
      <c r="O799" s="1">
        <v>17</v>
      </c>
      <c r="P799" s="1">
        <v>20.5</v>
      </c>
      <c r="Q799" s="11">
        <f>'Table H'!$J$183</f>
        <v>0.87616959094606062</v>
      </c>
      <c r="R799" s="11">
        <f t="shared" si="24"/>
        <v>80450.768010258238</v>
      </c>
      <c r="S799" s="11" t="str">
        <f t="shared" si="25"/>
        <v>Stone UD</v>
      </c>
      <c r="T799" s="11" t="s">
        <v>5214</v>
      </c>
      <c r="V799" s="11" t="str">
        <f>INDEX('Lookup 1961'!$A$2:$A$1300, MATCH(S799, 'Lookup 1961'!$B$2:$B$1300,0))</f>
        <v>J04001216</v>
      </c>
      <c r="W799" s="11" t="str">
        <f>INDEX('Lookup 1961'!$F$2:$F$1300, MATCH(S799, 'Lookup 1961'!$B$2:$B$1300,0))</f>
        <v>e330955</v>
      </c>
      <c r="X799" s="11" t="str">
        <f>INDEX('Lookup 1961'!$C$2:$C$1300, MATCH(V799, 'Lookup 1961'!$A$2:$A$1300,0))</f>
        <v>Staffordshire</v>
      </c>
    </row>
    <row r="800" spans="1:24" ht="25.05" customHeight="1" x14ac:dyDescent="0.3">
      <c r="A800" s="2" t="s">
        <v>756</v>
      </c>
      <c r="B800" s="2" t="s">
        <v>756</v>
      </c>
      <c r="C800" s="1">
        <v>21</v>
      </c>
      <c r="D800" s="1">
        <v>6</v>
      </c>
      <c r="E800" s="1">
        <v>14</v>
      </c>
      <c r="F800" s="1">
        <v>8</v>
      </c>
      <c r="K800" s="1">
        <v>520</v>
      </c>
      <c r="L800" s="6">
        <v>132084</v>
      </c>
      <c r="M800" s="1">
        <v>80</v>
      </c>
      <c r="N800" s="1">
        <v>8</v>
      </c>
      <c r="O800" s="1">
        <v>3</v>
      </c>
      <c r="P800" s="1">
        <v>10</v>
      </c>
      <c r="Q800" s="11">
        <f>'Table H'!$J$183</f>
        <v>0.87616959094606062</v>
      </c>
      <c r="R800" s="11">
        <f t="shared" si="24"/>
        <v>115727.98425051947</v>
      </c>
      <c r="S800" s="11" t="str">
        <f t="shared" si="25"/>
        <v>Tettenhall UD</v>
      </c>
      <c r="T800" s="11" t="s">
        <v>5214</v>
      </c>
      <c r="V800" s="11" t="str">
        <f>INDEX('Lookup 1961'!$A$2:$A$1300, MATCH(S800, 'Lookup 1961'!$B$2:$B$1300,0))</f>
        <v>J04001263</v>
      </c>
      <c r="W800" s="11" t="str">
        <f>INDEX('Lookup 1961'!$F$2:$F$1300, MATCH(S800, 'Lookup 1961'!$B$2:$B$1300,0))</f>
        <v>e330945</v>
      </c>
      <c r="X800" s="11" t="str">
        <f>INDEX('Lookup 1961'!$C$2:$C$1300, MATCH(V800, 'Lookup 1961'!$A$2:$A$1300,0))</f>
        <v>West Midlands</v>
      </c>
    </row>
    <row r="801" spans="1:24" ht="25.05" customHeight="1" x14ac:dyDescent="0.3">
      <c r="A801" s="2" t="s">
        <v>757</v>
      </c>
      <c r="B801" s="2" t="s">
        <v>757</v>
      </c>
      <c r="C801" s="1">
        <v>22</v>
      </c>
      <c r="D801" s="1">
        <v>0</v>
      </c>
      <c r="E801" s="1">
        <v>15</v>
      </c>
      <c r="F801" s="1">
        <v>0</v>
      </c>
      <c r="K801" s="1">
        <v>358</v>
      </c>
      <c r="L801" s="6">
        <v>95621</v>
      </c>
      <c r="M801" s="1">
        <v>127</v>
      </c>
      <c r="N801" s="1">
        <v>8</v>
      </c>
      <c r="O801" s="1">
        <v>14</v>
      </c>
      <c r="P801" s="1">
        <v>44.9</v>
      </c>
      <c r="Q801" s="11">
        <f>'Table H'!$J$183</f>
        <v>0.87616959094606062</v>
      </c>
      <c r="R801" s="11">
        <f t="shared" si="24"/>
        <v>83780.212455853267</v>
      </c>
      <c r="S801" s="11" t="str">
        <f t="shared" si="25"/>
        <v>Uttoxeter UD</v>
      </c>
      <c r="T801" s="11" t="s">
        <v>5214</v>
      </c>
      <c r="V801" s="11" t="str">
        <f>INDEX('Lookup 1961'!$A$2:$A$1300, MATCH(S801, 'Lookup 1961'!$B$2:$B$1300,0))</f>
        <v>J04001315</v>
      </c>
      <c r="W801" s="11" t="str">
        <f>INDEX('Lookup 1961'!$F$2:$F$1300, MATCH(S801, 'Lookup 1961'!$B$2:$B$1300,0))</f>
        <v>e330957</v>
      </c>
      <c r="X801" s="11" t="str">
        <f>INDEX('Lookup 1961'!$C$2:$C$1300, MATCH(V801, 'Lookup 1961'!$A$2:$A$1300,0))</f>
        <v>Staffordshire</v>
      </c>
    </row>
    <row r="802" spans="1:24" ht="25.05" customHeight="1" x14ac:dyDescent="0.3">
      <c r="A802" s="2" t="s">
        <v>758</v>
      </c>
      <c r="B802" s="2" t="s">
        <v>758</v>
      </c>
      <c r="C802" s="1">
        <v>22</v>
      </c>
      <c r="D802" s="1">
        <v>0</v>
      </c>
      <c r="E802" s="1">
        <v>14</v>
      </c>
      <c r="F802" s="1">
        <v>5</v>
      </c>
      <c r="K802" s="1">
        <v>880</v>
      </c>
      <c r="L802" s="6">
        <v>217472</v>
      </c>
      <c r="M802" s="1">
        <v>131.69999999999999</v>
      </c>
      <c r="N802" s="1">
        <v>6</v>
      </c>
      <c r="O802" s="1">
        <v>13</v>
      </c>
      <c r="P802" s="1">
        <v>51.9</v>
      </c>
      <c r="Q802" s="11">
        <f>'Table H'!$J$183</f>
        <v>0.87616959094606062</v>
      </c>
      <c r="R802" s="11">
        <f t="shared" si="24"/>
        <v>190542.35328222168</v>
      </c>
      <c r="S802" s="11" t="str">
        <f t="shared" si="25"/>
        <v>Wednesfield UD</v>
      </c>
      <c r="T802" s="11" t="s">
        <v>5214</v>
      </c>
      <c r="V802" s="11" t="str">
        <f>INDEX('Lookup 1961'!$A$2:$A$1300, MATCH(S802, 'Lookup 1961'!$B$2:$B$1300,0))</f>
        <v>J04001360</v>
      </c>
      <c r="W802" s="11" t="str">
        <f>INDEX('Lookup 1961'!$F$2:$F$1300, MATCH(S802, 'Lookup 1961'!$B$2:$B$1300,0))</f>
        <v>e330945</v>
      </c>
      <c r="X802" s="11" t="str">
        <f>INDEX('Lookup 1961'!$C$2:$C$1300, MATCH(V802, 'Lookup 1961'!$A$2:$A$1300,0))</f>
        <v>West Midlands</v>
      </c>
    </row>
    <row r="803" spans="1:24" ht="25.05" customHeight="1" x14ac:dyDescent="0.3">
      <c r="A803" s="2" t="s">
        <v>759</v>
      </c>
      <c r="B803" s="2" t="s">
        <v>759</v>
      </c>
      <c r="C803" s="1">
        <v>23</v>
      </c>
      <c r="D803" s="1">
        <v>0</v>
      </c>
      <c r="E803" s="1">
        <v>15</v>
      </c>
      <c r="F803" s="1">
        <v>6</v>
      </c>
      <c r="K803" s="6">
        <v>1220</v>
      </c>
      <c r="L803" s="6">
        <v>308563</v>
      </c>
      <c r="M803" s="1">
        <v>104.6</v>
      </c>
      <c r="N803" s="1">
        <v>7</v>
      </c>
      <c r="O803" s="1">
        <v>7</v>
      </c>
      <c r="P803" s="1">
        <v>34.9</v>
      </c>
      <c r="Q803" s="11">
        <f>'Table H'!$J$183</f>
        <v>0.87616959094606062</v>
      </c>
      <c r="R803" s="11">
        <f t="shared" si="24"/>
        <v>270353.5174910893</v>
      </c>
      <c r="S803" s="11" t="str">
        <f t="shared" si="25"/>
        <v>Willenhall UD</v>
      </c>
      <c r="T803" s="11" t="s">
        <v>5214</v>
      </c>
      <c r="V803" s="11" t="str">
        <f>INDEX('Lookup 1961'!$A$2:$A$1300, MATCH(S803, 'Lookup 1961'!$B$2:$B$1300,0))</f>
        <v>J04001413</v>
      </c>
      <c r="W803" s="11" t="str">
        <f>INDEX('Lookup 1961'!$F$2:$F$1300, MATCH(S803, 'Lookup 1961'!$B$2:$B$1300,0))</f>
        <v>e330943</v>
      </c>
      <c r="X803" s="11" t="str">
        <f>INDEX('Lookup 1961'!$C$2:$C$1300, MATCH(V803, 'Lookup 1961'!$A$2:$A$1300,0))</f>
        <v>West Midlands</v>
      </c>
    </row>
    <row r="804" spans="1:24" ht="25.05" customHeight="1" x14ac:dyDescent="0.3">
      <c r="A804" s="2" t="s">
        <v>760</v>
      </c>
      <c r="B804" s="2" t="s">
        <v>760</v>
      </c>
      <c r="S804" s="11" t="str">
        <f t="shared" si="25"/>
        <v xml:space="preserve">SUFFOLK, EAST: </v>
      </c>
      <c r="V804" s="11" t="e">
        <f>INDEX('Lookup 1961'!$A$2:$A$1300, MATCH(S804, 'Lookup 1961'!$B$2:$B$1300,0))</f>
        <v>#N/A</v>
      </c>
      <c r="W804" s="11" t="e">
        <f>INDEX('Lookup 1961'!$F$2:$F$1300, MATCH(S804, 'Lookup 1961'!$B$2:$B$1300,0))</f>
        <v>#N/A</v>
      </c>
      <c r="X804" s="11" t="e">
        <f>INDEX('Lookup 1961'!$C$2:$C$1300, MATCH(V804, 'Lookup 1961'!$A$2:$A$1300,0))</f>
        <v>#N/A</v>
      </c>
    </row>
    <row r="805" spans="1:24" ht="25.05" customHeight="1" x14ac:dyDescent="0.3">
      <c r="A805" s="2" t="s">
        <v>146</v>
      </c>
      <c r="B805" s="2" t="s">
        <v>5257</v>
      </c>
      <c r="S805" s="11" t="str">
        <f t="shared" si="25"/>
        <v xml:space="preserve">Non County Boroughs  </v>
      </c>
      <c r="V805" s="11" t="e">
        <f>INDEX('Lookup 1961'!$A$2:$A$1300, MATCH(S805, 'Lookup 1961'!$B$2:$B$1300,0))</f>
        <v>#N/A</v>
      </c>
      <c r="W805" s="11" t="e">
        <f>INDEX('Lookup 1961'!$F$2:$F$1300, MATCH(S805, 'Lookup 1961'!$B$2:$B$1300,0))</f>
        <v>#N/A</v>
      </c>
      <c r="X805" s="11" t="e">
        <f>INDEX('Lookup 1961'!$C$2:$C$1300, MATCH(V805, 'Lookup 1961'!$A$2:$A$1300,0))</f>
        <v>#N/A</v>
      </c>
    </row>
    <row r="806" spans="1:24" ht="25.05" customHeight="1" x14ac:dyDescent="0.3">
      <c r="A806" s="2" t="s">
        <v>761</v>
      </c>
      <c r="B806" s="2" t="s">
        <v>761</v>
      </c>
      <c r="C806" s="1">
        <v>23</v>
      </c>
      <c r="D806" s="1">
        <v>8</v>
      </c>
      <c r="E806" s="1">
        <v>16</v>
      </c>
      <c r="F806" s="1">
        <v>8</v>
      </c>
      <c r="K806" s="1">
        <v>182</v>
      </c>
      <c r="L806" s="6">
        <v>47193</v>
      </c>
      <c r="M806" s="1">
        <v>75.900000000000006</v>
      </c>
      <c r="N806" s="1">
        <v>14</v>
      </c>
      <c r="O806" s="1">
        <v>2</v>
      </c>
      <c r="P806" s="1">
        <v>25.5</v>
      </c>
      <c r="Q806" s="11">
        <f>'Table H'!$J$187</f>
        <v>0.9564895878542935</v>
      </c>
      <c r="R806" s="11">
        <f t="shared" si="24"/>
        <v>45139.613119607675</v>
      </c>
      <c r="S806" s="11" t="str">
        <f t="shared" si="25"/>
        <v>Aldeburgh MB</v>
      </c>
      <c r="T806" s="11" t="s">
        <v>5211</v>
      </c>
      <c r="V806" s="11" t="str">
        <f>INDEX('Lookup 1961'!$A$2:$A$1300, MATCH(S806, 'Lookup 1961'!$B$2:$B$1300,0))</f>
        <v>J04000021</v>
      </c>
      <c r="W806" s="11" t="str">
        <f>INDEX('Lookup 1961'!$F$2:$F$1300, MATCH(S806, 'Lookup 1961'!$B$2:$B$1300,0))</f>
        <v>e340972</v>
      </c>
      <c r="X806" s="11" t="str">
        <f>INDEX('Lookup 1961'!$C$2:$C$1300, MATCH(V806, 'Lookup 1961'!$A$2:$A$1300,0))</f>
        <v>Suffolk</v>
      </c>
    </row>
    <row r="807" spans="1:24" ht="25.05" customHeight="1" x14ac:dyDescent="0.3">
      <c r="A807" s="2" t="s">
        <v>762</v>
      </c>
      <c r="B807" s="2" t="s">
        <v>762</v>
      </c>
      <c r="C807" s="1">
        <v>29</v>
      </c>
      <c r="D807" s="1">
        <v>6</v>
      </c>
      <c r="E807" s="1">
        <v>17</v>
      </c>
      <c r="F807" s="1">
        <v>0</v>
      </c>
      <c r="K807" s="1">
        <v>370</v>
      </c>
      <c r="L807" s="6">
        <v>89368</v>
      </c>
      <c r="M807" s="1">
        <v>107.8</v>
      </c>
      <c r="N807" s="1">
        <v>10</v>
      </c>
      <c r="O807" s="1">
        <v>7</v>
      </c>
      <c r="P807" s="1">
        <v>20.6</v>
      </c>
      <c r="Q807" s="11">
        <f>'Table H'!$J$187</f>
        <v>0.9564895878542935</v>
      </c>
      <c r="R807" s="11">
        <f t="shared" si="24"/>
        <v>85479.561487362502</v>
      </c>
      <c r="S807" s="11" t="str">
        <f t="shared" si="25"/>
        <v>Beccles MB</v>
      </c>
      <c r="T807" s="11" t="s">
        <v>5211</v>
      </c>
      <c r="V807" s="11" t="str">
        <f>INDEX('Lookup 1961'!$A$2:$A$1300, MATCH(S807, 'Lookup 1961'!$B$2:$B$1300,0))</f>
        <v>J04000108</v>
      </c>
      <c r="W807" s="11" t="str">
        <f>INDEX('Lookup 1961'!$F$2:$F$1300, MATCH(S807, 'Lookup 1961'!$B$2:$B$1300,0))</f>
        <v>e340973</v>
      </c>
      <c r="X807" s="11" t="str">
        <f>INDEX('Lookup 1961'!$C$2:$C$1300, MATCH(V807, 'Lookup 1961'!$A$2:$A$1300,0))</f>
        <v>Suffolk</v>
      </c>
    </row>
    <row r="808" spans="1:24" ht="25.05" customHeight="1" x14ac:dyDescent="0.3">
      <c r="A808" s="2" t="s">
        <v>763</v>
      </c>
      <c r="B808" s="2" t="s">
        <v>763</v>
      </c>
      <c r="C808" s="1">
        <v>21</v>
      </c>
      <c r="D808" s="1">
        <v>0</v>
      </c>
      <c r="E808" s="1">
        <v>14</v>
      </c>
      <c r="F808" s="1">
        <v>6</v>
      </c>
      <c r="K808" s="1">
        <v>66</v>
      </c>
      <c r="L808" s="6">
        <v>17080</v>
      </c>
      <c r="M808" s="1">
        <v>91.4</v>
      </c>
      <c r="N808" s="1">
        <v>8</v>
      </c>
      <c r="O808" s="1">
        <v>0</v>
      </c>
      <c r="P808" s="1">
        <v>43.3</v>
      </c>
      <c r="Q808" s="11">
        <f>'Table H'!$J$187</f>
        <v>0.9564895878542935</v>
      </c>
      <c r="R808" s="11">
        <f t="shared" si="24"/>
        <v>16336.842160551332</v>
      </c>
      <c r="S808" s="11" t="str">
        <f t="shared" si="25"/>
        <v>Eye MB</v>
      </c>
      <c r="T808" s="11" t="s">
        <v>5211</v>
      </c>
      <c r="V808" s="11" t="str">
        <f>INDEX('Lookup 1961'!$A$2:$A$1300, MATCH(S808, 'Lookup 1961'!$B$2:$B$1300,0))</f>
        <v>J04000488</v>
      </c>
      <c r="W808" s="11" t="str">
        <f>INDEX('Lookup 1961'!$F$2:$F$1300, MATCH(S808, 'Lookup 1961'!$B$2:$B$1300,0))</f>
        <v>e340975</v>
      </c>
      <c r="X808" s="11" t="str">
        <f>INDEX('Lookup 1961'!$C$2:$C$1300, MATCH(V808, 'Lookup 1961'!$A$2:$A$1300,0))</f>
        <v>Suffolk</v>
      </c>
    </row>
    <row r="809" spans="1:24" ht="25.05" customHeight="1" x14ac:dyDescent="0.3">
      <c r="A809" s="2" t="s">
        <v>764</v>
      </c>
      <c r="B809" s="2" t="s">
        <v>764</v>
      </c>
      <c r="C809" s="1">
        <v>24</v>
      </c>
      <c r="D809" s="1">
        <v>0</v>
      </c>
      <c r="E809" s="1">
        <v>17</v>
      </c>
      <c r="F809" s="1">
        <v>0</v>
      </c>
      <c r="K809" s="6">
        <v>2065</v>
      </c>
      <c r="L809" s="6">
        <v>528307</v>
      </c>
      <c r="M809" s="1">
        <v>80.8</v>
      </c>
      <c r="N809" s="1">
        <v>9</v>
      </c>
      <c r="O809" s="1">
        <v>17</v>
      </c>
      <c r="P809" s="1">
        <v>25.3</v>
      </c>
      <c r="Q809" s="11">
        <f>'Table H'!$J$187</f>
        <v>0.9564895878542935</v>
      </c>
      <c r="R809" s="11">
        <f t="shared" si="24"/>
        <v>505320.14469053823</v>
      </c>
      <c r="S809" s="11" t="str">
        <f t="shared" si="25"/>
        <v>Lowestoft MB</v>
      </c>
      <c r="T809" s="11" t="s">
        <v>5211</v>
      </c>
      <c r="V809" s="11" t="str">
        <f>INDEX('Lookup 1961'!$A$2:$A$1300, MATCH(S809, 'Lookup 1961'!$B$2:$B$1300,0))</f>
        <v>J04000786</v>
      </c>
      <c r="W809" s="11" t="str">
        <f>INDEX('Lookup 1961'!$F$2:$F$1300, MATCH(S809, 'Lookup 1961'!$B$2:$B$1300,0))</f>
        <v>e340979</v>
      </c>
      <c r="X809" s="11" t="str">
        <f>INDEX('Lookup 1961'!$C$2:$C$1300, MATCH(V809, 'Lookup 1961'!$A$2:$A$1300,0))</f>
        <v>Suffolk</v>
      </c>
    </row>
    <row r="810" spans="1:24" ht="25.05" customHeight="1" x14ac:dyDescent="0.3">
      <c r="A810" s="2" t="s">
        <v>765</v>
      </c>
      <c r="B810" s="2" t="s">
        <v>765</v>
      </c>
      <c r="C810" s="1">
        <v>24</v>
      </c>
      <c r="D810" s="1">
        <v>6</v>
      </c>
      <c r="E810" s="1">
        <v>16</v>
      </c>
      <c r="F810" s="1">
        <v>10</v>
      </c>
      <c r="K810" s="1">
        <v>153</v>
      </c>
      <c r="L810" s="6">
        <v>41534</v>
      </c>
      <c r="M810" s="1">
        <v>73.599999999999994</v>
      </c>
      <c r="N810" s="1">
        <v>12</v>
      </c>
      <c r="O810" s="1">
        <v>17</v>
      </c>
      <c r="P810" s="1">
        <v>9.9</v>
      </c>
      <c r="Q810" s="11">
        <f>'Table H'!$J$187</f>
        <v>0.9564895878542935</v>
      </c>
      <c r="R810" s="11">
        <f t="shared" si="24"/>
        <v>39726.838541940226</v>
      </c>
      <c r="S810" s="11" t="str">
        <f t="shared" si="25"/>
        <v>Southwold MB</v>
      </c>
      <c r="T810" s="11" t="s">
        <v>5211</v>
      </c>
      <c r="V810" s="11" t="str">
        <f>INDEX('Lookup 1961'!$A$2:$A$1300, MATCH(S810, 'Lookup 1961'!$B$2:$B$1300,0))</f>
        <v>J04001172</v>
      </c>
      <c r="W810" s="11" t="str">
        <f>INDEX('Lookup 1961'!$F$2:$F$1300, MATCH(S810, 'Lookup 1961'!$B$2:$B$1300,0))</f>
        <v>e340981</v>
      </c>
      <c r="X810" s="11" t="str">
        <f>INDEX('Lookup 1961'!$C$2:$C$1300, MATCH(V810, 'Lookup 1961'!$A$2:$A$1300,0))</f>
        <v>Suffolk</v>
      </c>
    </row>
    <row r="811" spans="1:24" ht="25.05" customHeight="1" x14ac:dyDescent="0.3">
      <c r="A811" s="2" t="s">
        <v>150</v>
      </c>
      <c r="B811" s="2" t="s">
        <v>1221</v>
      </c>
      <c r="S811" s="11" t="str">
        <f t="shared" si="25"/>
        <v xml:space="preserve">Urban Districts  </v>
      </c>
      <c r="V811" s="11" t="e">
        <f>INDEX('Lookup 1961'!$A$2:$A$1300, MATCH(S811, 'Lookup 1961'!$B$2:$B$1300,0))</f>
        <v>#N/A</v>
      </c>
      <c r="W811" s="11" t="e">
        <f>INDEX('Lookup 1961'!$F$2:$F$1300, MATCH(S811, 'Lookup 1961'!$B$2:$B$1300,0))</f>
        <v>#N/A</v>
      </c>
      <c r="X811" s="11" t="e">
        <f>INDEX('Lookup 1961'!$C$2:$C$1300, MATCH(V811, 'Lookup 1961'!$A$2:$A$1300,0))</f>
        <v>#N/A</v>
      </c>
    </row>
    <row r="812" spans="1:24" ht="25.05" customHeight="1" x14ac:dyDescent="0.3">
      <c r="A812" s="2" t="s">
        <v>766</v>
      </c>
      <c r="B812" s="2" t="s">
        <v>766</v>
      </c>
      <c r="C812" s="1">
        <v>25</v>
      </c>
      <c r="D812" s="1">
        <v>4</v>
      </c>
      <c r="E812" s="1">
        <v>16</v>
      </c>
      <c r="F812" s="1">
        <v>0</v>
      </c>
      <c r="K812" s="1">
        <v>165</v>
      </c>
      <c r="L812" s="6">
        <v>41887</v>
      </c>
      <c r="M812" s="1">
        <v>114.8</v>
      </c>
      <c r="N812" s="1">
        <v>9</v>
      </c>
      <c r="O812" s="1">
        <v>2</v>
      </c>
      <c r="P812" s="1">
        <v>36.9</v>
      </c>
      <c r="Q812" s="11">
        <f>'Table H'!$J$188</f>
        <v>0.94548248341896068</v>
      </c>
      <c r="R812" s="11">
        <f t="shared" si="24"/>
        <v>39603.424782970003</v>
      </c>
      <c r="S812" s="11" t="str">
        <f t="shared" si="25"/>
        <v>Bungay UD</v>
      </c>
      <c r="T812" s="11" t="s">
        <v>5214</v>
      </c>
      <c r="V812" s="11" t="str">
        <f>INDEX('Lookup 1961'!$A$2:$A$1300, MATCH(S812, 'Lookup 1961'!$B$2:$B$1300,0))</f>
        <v>J04000235</v>
      </c>
      <c r="W812" s="11" t="str">
        <f>INDEX('Lookup 1961'!$F$2:$F$1300, MATCH(S812, 'Lookup 1961'!$B$2:$B$1300,0))</f>
        <v>e340974</v>
      </c>
      <c r="X812" s="11" t="str">
        <f>INDEX('Lookup 1961'!$C$2:$C$1300, MATCH(V812, 'Lookup 1961'!$A$2:$A$1300,0))</f>
        <v>Suffolk</v>
      </c>
    </row>
    <row r="813" spans="1:24" ht="25.05" customHeight="1" x14ac:dyDescent="0.3">
      <c r="A813" s="2" t="s">
        <v>767</v>
      </c>
      <c r="B813" s="2" t="s">
        <v>767</v>
      </c>
      <c r="C813" s="1">
        <v>24</v>
      </c>
      <c r="D813" s="1">
        <v>6</v>
      </c>
      <c r="E813" s="1">
        <v>18</v>
      </c>
      <c r="F813" s="1">
        <v>0</v>
      </c>
      <c r="K813" s="6">
        <v>1065</v>
      </c>
      <c r="L813" s="6">
        <v>274311</v>
      </c>
      <c r="M813" s="1">
        <v>57.5</v>
      </c>
      <c r="N813" s="1">
        <v>15</v>
      </c>
      <c r="O813" s="1">
        <v>10</v>
      </c>
      <c r="P813" s="1">
        <v>14.2</v>
      </c>
      <c r="Q813" s="11">
        <f>'Table H'!$J$188</f>
        <v>0.94548248341896068</v>
      </c>
      <c r="R813" s="11">
        <f t="shared" si="24"/>
        <v>259356.24550913853</v>
      </c>
      <c r="S813" s="11" t="str">
        <f t="shared" si="25"/>
        <v>Felixstowe UD</v>
      </c>
      <c r="T813" s="11" t="s">
        <v>5214</v>
      </c>
      <c r="V813" s="11" t="str">
        <f>INDEX('Lookup 1961'!$A$2:$A$1300, MATCH(S813, 'Lookup 1961'!$B$2:$B$1300,0))</f>
        <v>J04000498</v>
      </c>
      <c r="W813" s="11" t="str">
        <f>INDEX('Lookup 1961'!$F$2:$F$1300, MATCH(S813, 'Lookup 1961'!$B$2:$B$1300,0))</f>
        <v>e340976</v>
      </c>
      <c r="X813" s="11" t="str">
        <f>INDEX('Lookup 1961'!$C$2:$C$1300, MATCH(V813, 'Lookup 1961'!$A$2:$A$1300,0))</f>
        <v>Suffolk</v>
      </c>
    </row>
    <row r="814" spans="1:24" ht="25.05" customHeight="1" x14ac:dyDescent="0.3">
      <c r="A814" s="2" t="s">
        <v>768</v>
      </c>
      <c r="B814" s="2" t="s">
        <v>768</v>
      </c>
      <c r="C814" s="1">
        <v>23</v>
      </c>
      <c r="D814" s="1">
        <v>0</v>
      </c>
      <c r="E814" s="1">
        <v>14</v>
      </c>
      <c r="F814" s="1">
        <v>0</v>
      </c>
      <c r="K814" s="1">
        <v>110</v>
      </c>
      <c r="L814" s="6">
        <v>28974</v>
      </c>
      <c r="M814" s="1">
        <v>102.7</v>
      </c>
      <c r="N814" s="1">
        <v>8</v>
      </c>
      <c r="O814" s="1">
        <v>7</v>
      </c>
      <c r="P814" s="1">
        <v>21.1</v>
      </c>
      <c r="Q814" s="11">
        <f>'Table H'!$J$188</f>
        <v>0.94548248341896068</v>
      </c>
      <c r="R814" s="11">
        <f t="shared" si="24"/>
        <v>27394.409474580967</v>
      </c>
      <c r="S814" s="11" t="str">
        <f t="shared" si="25"/>
        <v>Halesworth UD</v>
      </c>
      <c r="T814" s="11" t="s">
        <v>5214</v>
      </c>
      <c r="V814" s="11" t="str">
        <f>INDEX('Lookup 1961'!$A$2:$A$1300, MATCH(S814, 'Lookup 1961'!$B$2:$B$1300,0))</f>
        <v>J04000565</v>
      </c>
      <c r="W814" s="11" t="str">
        <f>INDEX('Lookup 1961'!$F$2:$F$1300, MATCH(S814, 'Lookup 1961'!$B$2:$B$1300,0))</f>
        <v>e340977</v>
      </c>
      <c r="X814" s="11" t="str">
        <f>INDEX('Lookup 1961'!$C$2:$C$1300, MATCH(V814, 'Lookup 1961'!$A$2:$A$1300,0))</f>
        <v>Suffolk</v>
      </c>
    </row>
    <row r="815" spans="1:24" ht="25.05" customHeight="1" x14ac:dyDescent="0.3">
      <c r="A815" s="2" t="s">
        <v>769</v>
      </c>
      <c r="B815" s="2" t="s">
        <v>5280</v>
      </c>
      <c r="C815" s="1">
        <v>21</v>
      </c>
      <c r="D815" s="1">
        <v>0</v>
      </c>
      <c r="E815" s="1">
        <v>14</v>
      </c>
      <c r="F815" s="1">
        <v>0</v>
      </c>
      <c r="K815" s="1">
        <v>160</v>
      </c>
      <c r="L815" s="6">
        <v>40865</v>
      </c>
      <c r="M815" s="1">
        <v>83</v>
      </c>
      <c r="N815" s="1">
        <v>6</v>
      </c>
      <c r="O815" s="1">
        <v>14</v>
      </c>
      <c r="P815" s="1">
        <v>19.399999999999999</v>
      </c>
      <c r="Q815" s="11">
        <f>'Table H'!$J$188</f>
        <v>0.94548248341896068</v>
      </c>
      <c r="R815" s="11">
        <f t="shared" si="24"/>
        <v>38637.141684915827</v>
      </c>
      <c r="S815" s="11" t="str">
        <f t="shared" si="25"/>
        <v>Leiston cum Sizewell UD</v>
      </c>
      <c r="T815" s="11" t="s">
        <v>5214</v>
      </c>
      <c r="V815" s="11" t="str">
        <f>INDEX('Lookup 1961'!$A$2:$A$1300, MATCH(S815, 'Lookup 1961'!$B$2:$B$1300,0))</f>
        <v>J04000734</v>
      </c>
      <c r="W815" s="11" t="str">
        <f>INDEX('Lookup 1961'!$F$2:$F$1300, MATCH(S815, 'Lookup 1961'!$B$2:$B$1300,0))</f>
        <v>e340978</v>
      </c>
      <c r="X815" s="11" t="str">
        <f>INDEX('Lookup 1961'!$C$2:$C$1300, MATCH(V815, 'Lookup 1961'!$A$2:$A$1300,0))</f>
        <v>Suffolk</v>
      </c>
    </row>
    <row r="816" spans="1:24" ht="25.05" customHeight="1" x14ac:dyDescent="0.3">
      <c r="A816" s="2" t="s">
        <v>770</v>
      </c>
      <c r="B816" s="2" t="s">
        <v>770</v>
      </c>
      <c r="C816" s="1">
        <v>23</v>
      </c>
      <c r="D816" s="1">
        <v>0</v>
      </c>
      <c r="E816" s="1">
        <v>14</v>
      </c>
      <c r="F816" s="1">
        <v>6</v>
      </c>
      <c r="K816" s="1">
        <v>88</v>
      </c>
      <c r="L816" s="6">
        <v>22201</v>
      </c>
      <c r="M816" s="1">
        <v>101.8</v>
      </c>
      <c r="N816" s="1">
        <v>10</v>
      </c>
      <c r="O816" s="1">
        <v>12</v>
      </c>
      <c r="P816" s="1">
        <v>26.4</v>
      </c>
      <c r="Q816" s="11">
        <f>'Table H'!$J$188</f>
        <v>0.94548248341896068</v>
      </c>
      <c r="R816" s="11">
        <f t="shared" si="24"/>
        <v>20990.656614384345</v>
      </c>
      <c r="S816" s="11" t="str">
        <f t="shared" si="25"/>
        <v>Saxmundham UD</v>
      </c>
      <c r="T816" s="11" t="s">
        <v>5214</v>
      </c>
      <c r="V816" s="11" t="str">
        <f>INDEX('Lookup 1961'!$A$2:$A$1300, MATCH(S816, 'Lookup 1961'!$B$2:$B$1300,0))</f>
        <v>J04001105</v>
      </c>
      <c r="W816" s="11" t="str">
        <f>INDEX('Lookup 1961'!$F$2:$F$1300, MATCH(S816, 'Lookup 1961'!$B$2:$B$1300,0))</f>
        <v>e340980</v>
      </c>
      <c r="X816" s="11" t="str">
        <f>INDEX('Lookup 1961'!$C$2:$C$1300, MATCH(V816, 'Lookup 1961'!$A$2:$A$1300,0))</f>
        <v>Suffolk</v>
      </c>
    </row>
    <row r="817" spans="1:24" ht="25.05" customHeight="1" x14ac:dyDescent="0.3">
      <c r="A817" s="2" t="s">
        <v>771</v>
      </c>
      <c r="B817" s="2" t="s">
        <v>771</v>
      </c>
      <c r="C817" s="1">
        <v>23</v>
      </c>
      <c r="D817" s="1">
        <v>0</v>
      </c>
      <c r="E817" s="1">
        <v>14</v>
      </c>
      <c r="F817" s="1">
        <v>6</v>
      </c>
      <c r="K817" s="1">
        <v>375</v>
      </c>
      <c r="L817" s="6">
        <v>94095</v>
      </c>
      <c r="M817" s="1">
        <v>85.9</v>
      </c>
      <c r="N817" s="1">
        <v>9</v>
      </c>
      <c r="O817" s="1">
        <v>6</v>
      </c>
      <c r="P817" s="1">
        <v>24.1</v>
      </c>
      <c r="Q817" s="11">
        <f>'Table H'!$J$188</f>
        <v>0.94548248341896068</v>
      </c>
      <c r="R817" s="11">
        <f t="shared" si="24"/>
        <v>88965.174277307102</v>
      </c>
      <c r="S817" s="11" t="str">
        <f t="shared" si="25"/>
        <v>Stowmarket UD</v>
      </c>
      <c r="T817" s="11" t="s">
        <v>5214</v>
      </c>
      <c r="V817" s="11" t="str">
        <f>INDEX('Lookup 1961'!$A$2:$A$1300, MATCH(S817, 'Lookup 1961'!$B$2:$B$1300,0))</f>
        <v>J04001219</v>
      </c>
      <c r="W817" s="11" t="str">
        <f>INDEX('Lookup 1961'!$F$2:$F$1300, MATCH(S817, 'Lookup 1961'!$B$2:$B$1300,0))</f>
        <v>e340982</v>
      </c>
      <c r="X817" s="11" t="str">
        <f>INDEX('Lookup 1961'!$C$2:$C$1300, MATCH(V817, 'Lookup 1961'!$A$2:$A$1300,0))</f>
        <v>Suffolk</v>
      </c>
    </row>
    <row r="818" spans="1:24" ht="25.05" customHeight="1" x14ac:dyDescent="0.3">
      <c r="A818" s="2" t="s">
        <v>772</v>
      </c>
      <c r="B818" s="2" t="s">
        <v>772</v>
      </c>
      <c r="C818" s="1">
        <v>22</v>
      </c>
      <c r="D818" s="1">
        <v>6</v>
      </c>
      <c r="E818" s="1">
        <v>15</v>
      </c>
      <c r="F818" s="1">
        <v>6</v>
      </c>
      <c r="K818" s="1">
        <v>281</v>
      </c>
      <c r="L818" s="6">
        <v>71666</v>
      </c>
      <c r="M818" s="1">
        <v>86.7</v>
      </c>
      <c r="N818" s="1">
        <v>9</v>
      </c>
      <c r="O818" s="1">
        <v>13</v>
      </c>
      <c r="P818" s="1">
        <v>23.5</v>
      </c>
      <c r="Q818" s="11">
        <f>'Table H'!$J$188</f>
        <v>0.94548248341896068</v>
      </c>
      <c r="R818" s="11">
        <f t="shared" si="24"/>
        <v>67758.94765670324</v>
      </c>
      <c r="S818" s="11" t="str">
        <f t="shared" si="25"/>
        <v>Woodbridge UD</v>
      </c>
      <c r="T818" s="11" t="s">
        <v>5214</v>
      </c>
      <c r="V818" s="11" t="str">
        <f>INDEX('Lookup 1961'!$A$2:$A$1300, MATCH(S818, 'Lookup 1961'!$B$2:$B$1300,0))</f>
        <v>J04001446</v>
      </c>
      <c r="W818" s="11" t="str">
        <f>INDEX('Lookup 1961'!$F$2:$F$1300, MATCH(S818, 'Lookup 1961'!$B$2:$B$1300,0))</f>
        <v>e340983</v>
      </c>
      <c r="X818" s="11" t="str">
        <f>INDEX('Lookup 1961'!$C$2:$C$1300, MATCH(V818, 'Lookup 1961'!$A$2:$A$1300,0))</f>
        <v>Suffolk</v>
      </c>
    </row>
    <row r="819" spans="1:24" ht="25.05" customHeight="1" x14ac:dyDescent="0.3">
      <c r="A819" s="2" t="s">
        <v>773</v>
      </c>
      <c r="B819" s="2" t="s">
        <v>773</v>
      </c>
      <c r="S819" s="11" t="str">
        <f t="shared" si="25"/>
        <v xml:space="preserve">SUFFOLK, WEST: </v>
      </c>
      <c r="V819" s="11" t="e">
        <f>INDEX('Lookup 1961'!$A$2:$A$1300, MATCH(S819, 'Lookup 1961'!$B$2:$B$1300,0))</f>
        <v>#N/A</v>
      </c>
      <c r="W819" s="11" t="e">
        <f>INDEX('Lookup 1961'!$F$2:$F$1300, MATCH(S819, 'Lookup 1961'!$B$2:$B$1300,0))</f>
        <v>#N/A</v>
      </c>
      <c r="X819" s="11" t="e">
        <f>INDEX('Lookup 1961'!$C$2:$C$1300, MATCH(V819, 'Lookup 1961'!$A$2:$A$1300,0))</f>
        <v>#N/A</v>
      </c>
    </row>
    <row r="820" spans="1:24" ht="25.05" customHeight="1" x14ac:dyDescent="0.3">
      <c r="A820" s="2" t="s">
        <v>146</v>
      </c>
      <c r="B820" s="2" t="s">
        <v>5257</v>
      </c>
      <c r="S820" s="11" t="str">
        <f t="shared" si="25"/>
        <v xml:space="preserve">Non County Boroughs  </v>
      </c>
      <c r="V820" s="11" t="e">
        <f>INDEX('Lookup 1961'!$A$2:$A$1300, MATCH(S820, 'Lookup 1961'!$B$2:$B$1300,0))</f>
        <v>#N/A</v>
      </c>
      <c r="W820" s="11" t="e">
        <f>INDEX('Lookup 1961'!$F$2:$F$1300, MATCH(S820, 'Lookup 1961'!$B$2:$B$1300,0))</f>
        <v>#N/A</v>
      </c>
      <c r="X820" s="11" t="e">
        <f>INDEX('Lookup 1961'!$C$2:$C$1300, MATCH(V820, 'Lookup 1961'!$A$2:$A$1300,0))</f>
        <v>#N/A</v>
      </c>
    </row>
    <row r="821" spans="1:24" ht="25.05" customHeight="1" x14ac:dyDescent="0.3">
      <c r="A821" s="2" t="s">
        <v>774</v>
      </c>
      <c r="B821" s="2" t="s">
        <v>774</v>
      </c>
      <c r="C821" s="1">
        <v>24</v>
      </c>
      <c r="D821" s="1">
        <v>2</v>
      </c>
      <c r="E821" s="1">
        <v>16</v>
      </c>
      <c r="F821" s="1">
        <v>0</v>
      </c>
      <c r="K821" s="6">
        <v>1015</v>
      </c>
      <c r="L821" s="6">
        <v>260126</v>
      </c>
      <c r="M821" s="1">
        <v>79.2</v>
      </c>
      <c r="N821" s="1">
        <v>10</v>
      </c>
      <c r="O821" s="1">
        <v>0</v>
      </c>
      <c r="P821" s="1">
        <v>15.4</v>
      </c>
      <c r="Q821" s="11">
        <f>'Table H'!$J$192</f>
        <v>0.92447750909504989</v>
      </c>
      <c r="R821" s="11">
        <f t="shared" si="24"/>
        <v>240480.63653085896</v>
      </c>
      <c r="S821" s="11" t="str">
        <f t="shared" si="25"/>
        <v>Bury St. Edmunds MB</v>
      </c>
      <c r="T821" s="11" t="s">
        <v>5211</v>
      </c>
      <c r="V821" s="11" t="str">
        <f>INDEX('Lookup 1961'!$A$2:$A$1300, MATCH(S821, 'Lookup 1961'!$B$2:$B$1300,0))</f>
        <v>J04000245</v>
      </c>
      <c r="W821" s="11" t="str">
        <f>INDEX('Lookup 1961'!$F$2:$F$1300, MATCH(S821, 'Lookup 1961'!$B$2:$B$1300,0))</f>
        <v>e350991</v>
      </c>
      <c r="X821" s="11" t="str">
        <f>INDEX('Lookup 1961'!$C$2:$C$1300, MATCH(V821, 'Lookup 1961'!$A$2:$A$1300,0))</f>
        <v>Suffolk</v>
      </c>
    </row>
    <row r="822" spans="1:24" ht="25.05" customHeight="1" x14ac:dyDescent="0.3">
      <c r="A822" s="2" t="s">
        <v>775</v>
      </c>
      <c r="B822" s="2" t="s">
        <v>775</v>
      </c>
      <c r="C822" s="1">
        <v>24</v>
      </c>
      <c r="D822" s="1">
        <v>6</v>
      </c>
      <c r="E822" s="1">
        <v>15</v>
      </c>
      <c r="F822" s="1">
        <v>0</v>
      </c>
      <c r="K822" s="1">
        <v>317</v>
      </c>
      <c r="L822" s="6">
        <v>82368</v>
      </c>
      <c r="M822" s="1">
        <v>108.2</v>
      </c>
      <c r="N822" s="1">
        <v>9</v>
      </c>
      <c r="O822" s="1">
        <v>8</v>
      </c>
      <c r="P822" s="1">
        <v>26.4</v>
      </c>
      <c r="Q822" s="11">
        <f>'Table H'!$J$192</f>
        <v>0.92447750909504989</v>
      </c>
      <c r="R822" s="11">
        <f t="shared" si="24"/>
        <v>76147.36346914107</v>
      </c>
      <c r="S822" s="11" t="str">
        <f t="shared" si="25"/>
        <v>Sudbury MB</v>
      </c>
      <c r="T822" s="11" t="s">
        <v>5211</v>
      </c>
      <c r="V822" s="11" t="str">
        <f>INDEX('Lookup 1961'!$A$2:$A$1300, MATCH(S822, 'Lookup 1961'!$B$2:$B$1300,0))</f>
        <v>J04001229</v>
      </c>
      <c r="W822" s="11" t="str">
        <f>INDEX('Lookup 1961'!$F$2:$F$1300, MATCH(S822, 'Lookup 1961'!$B$2:$B$1300,0))</f>
        <v>e350995</v>
      </c>
      <c r="X822" s="11" t="str">
        <f>INDEX('Lookup 1961'!$C$2:$C$1300, MATCH(V822, 'Lookup 1961'!$A$2:$A$1300,0))</f>
        <v>Suffolk</v>
      </c>
    </row>
    <row r="823" spans="1:24" ht="25.05" customHeight="1" x14ac:dyDescent="0.3">
      <c r="A823" s="2" t="s">
        <v>150</v>
      </c>
      <c r="B823" s="2" t="s">
        <v>1221</v>
      </c>
      <c r="S823" s="11" t="str">
        <f t="shared" si="25"/>
        <v xml:space="preserve">Urban Districts  </v>
      </c>
      <c r="V823" s="11" t="e">
        <f>INDEX('Lookup 1961'!$A$2:$A$1300, MATCH(S823, 'Lookup 1961'!$B$2:$B$1300,0))</f>
        <v>#N/A</v>
      </c>
      <c r="W823" s="11" t="e">
        <f>INDEX('Lookup 1961'!$F$2:$F$1300, MATCH(S823, 'Lookup 1961'!$B$2:$B$1300,0))</f>
        <v>#N/A</v>
      </c>
      <c r="X823" s="11" t="e">
        <f>INDEX('Lookup 1961'!$C$2:$C$1300, MATCH(V823, 'Lookup 1961'!$A$2:$A$1300,0))</f>
        <v>#N/A</v>
      </c>
    </row>
    <row r="824" spans="1:24" ht="25.05" customHeight="1" x14ac:dyDescent="0.3">
      <c r="A824" s="2" t="s">
        <v>776</v>
      </c>
      <c r="B824" s="2" t="s">
        <v>776</v>
      </c>
      <c r="C824" s="1">
        <v>23</v>
      </c>
      <c r="D824" s="1">
        <v>4</v>
      </c>
      <c r="E824" s="1">
        <v>15</v>
      </c>
      <c r="F824" s="1">
        <v>10</v>
      </c>
      <c r="K824" s="1">
        <v>110</v>
      </c>
      <c r="L824" s="6">
        <v>29028</v>
      </c>
      <c r="M824" s="1">
        <v>97.2</v>
      </c>
      <c r="N824" s="1">
        <v>6</v>
      </c>
      <c r="O824" s="1">
        <v>19</v>
      </c>
      <c r="P824" s="1">
        <v>36.200000000000003</v>
      </c>
      <c r="Q824" s="11">
        <f>'Table H'!$J$193</f>
        <v>0.94047679768231851</v>
      </c>
      <c r="R824" s="11">
        <f t="shared" si="24"/>
        <v>27300.160483122341</v>
      </c>
      <c r="S824" s="11" t="str">
        <f t="shared" si="25"/>
        <v>Hadleigh UD</v>
      </c>
      <c r="T824" s="11" t="s">
        <v>5214</v>
      </c>
      <c r="V824" s="11" t="str">
        <f>INDEX('Lookup 1961'!$A$2:$A$1300, MATCH(S824, 'Lookup 1961'!$B$2:$B$1300,0))</f>
        <v>J04000561</v>
      </c>
      <c r="W824" s="11" t="str">
        <f>INDEX('Lookup 1961'!$F$2:$F$1300, MATCH(S824, 'Lookup 1961'!$B$2:$B$1300,0))</f>
        <v>e350992</v>
      </c>
      <c r="X824" s="11" t="str">
        <f>INDEX('Lookup 1961'!$C$2:$C$1300, MATCH(V824, 'Lookup 1961'!$A$2:$A$1300,0))</f>
        <v>Suffolk</v>
      </c>
    </row>
    <row r="825" spans="1:24" ht="25.05" customHeight="1" x14ac:dyDescent="0.3">
      <c r="A825" s="2" t="s">
        <v>777</v>
      </c>
      <c r="B825" s="2" t="s">
        <v>777</v>
      </c>
      <c r="C825" s="1">
        <v>24</v>
      </c>
      <c r="D825" s="1">
        <v>3</v>
      </c>
      <c r="E825" s="1">
        <v>16</v>
      </c>
      <c r="F825" s="1">
        <v>0</v>
      </c>
      <c r="K825" s="1">
        <v>140</v>
      </c>
      <c r="L825" s="6">
        <v>34780</v>
      </c>
      <c r="M825" s="1">
        <v>59</v>
      </c>
      <c r="N825" s="1">
        <v>6</v>
      </c>
      <c r="O825" s="1">
        <v>4</v>
      </c>
      <c r="P825" s="1">
        <v>2.2000000000000002</v>
      </c>
      <c r="Q825" s="11">
        <f>'Table H'!$J$193</f>
        <v>0.94047679768231851</v>
      </c>
      <c r="R825" s="11">
        <f t="shared" si="24"/>
        <v>32709.783023391039</v>
      </c>
      <c r="S825" s="11" t="str">
        <f t="shared" si="25"/>
        <v>Haverhill UD</v>
      </c>
      <c r="T825" s="11" t="s">
        <v>5214</v>
      </c>
      <c r="V825" s="11" t="str">
        <f>INDEX('Lookup 1961'!$A$2:$A$1300, MATCH(S825, 'Lookup 1961'!$B$2:$B$1300,0))</f>
        <v>J04000589</v>
      </c>
      <c r="W825" s="11" t="str">
        <f>INDEX('Lookup 1961'!$F$2:$F$1300, MATCH(S825, 'Lookup 1961'!$B$2:$B$1300,0))</f>
        <v>e350993</v>
      </c>
      <c r="X825" s="11" t="str">
        <f>INDEX('Lookup 1961'!$C$2:$C$1300, MATCH(V825, 'Lookup 1961'!$A$2:$A$1300,0))</f>
        <v>Suffolk</v>
      </c>
    </row>
    <row r="826" spans="1:24" ht="25.05" customHeight="1" x14ac:dyDescent="0.3">
      <c r="A826" s="2" t="s">
        <v>778</v>
      </c>
      <c r="B826" s="2" t="s">
        <v>778</v>
      </c>
      <c r="C826" s="1">
        <v>23</v>
      </c>
      <c r="D826" s="1">
        <v>4</v>
      </c>
      <c r="E826" s="1">
        <v>16</v>
      </c>
      <c r="F826" s="1">
        <v>8</v>
      </c>
      <c r="K826" s="1">
        <v>490</v>
      </c>
      <c r="L826" s="6">
        <v>132250</v>
      </c>
      <c r="M826" s="1">
        <v>60.1</v>
      </c>
      <c r="N826" s="1">
        <v>10</v>
      </c>
      <c r="O826" s="1">
        <v>5</v>
      </c>
      <c r="P826" s="1">
        <v>18</v>
      </c>
      <c r="Q826" s="11">
        <f>'Table H'!$J$193</f>
        <v>0.94047679768231851</v>
      </c>
      <c r="R826" s="11">
        <f t="shared" si="24"/>
        <v>124378.05649348663</v>
      </c>
      <c r="S826" s="11" t="str">
        <f t="shared" si="25"/>
        <v>Newmarket UD</v>
      </c>
      <c r="T826" s="11" t="s">
        <v>5214</v>
      </c>
      <c r="V826" s="11" t="str">
        <f>INDEX('Lookup 1961'!$A$2:$A$1300, MATCH(S826, 'Lookup 1961'!$B$2:$B$1300,0))</f>
        <v>J04000906</v>
      </c>
      <c r="W826" s="11" t="str">
        <f>INDEX('Lookup 1961'!$F$2:$F$1300, MATCH(S826, 'Lookup 1961'!$B$2:$B$1300,0))</f>
        <v>e350994</v>
      </c>
      <c r="X826" s="11" t="str">
        <f>INDEX('Lookup 1961'!$C$2:$C$1300, MATCH(V826, 'Lookup 1961'!$A$2:$A$1300,0))</f>
        <v>Suffolk</v>
      </c>
    </row>
    <row r="827" spans="1:24" ht="25.05" customHeight="1" x14ac:dyDescent="0.3">
      <c r="A827" s="2" t="s">
        <v>779</v>
      </c>
      <c r="B827" s="2" t="s">
        <v>779</v>
      </c>
      <c r="S827" s="11" t="str">
        <f t="shared" si="25"/>
        <v xml:space="preserve">SURREY: </v>
      </c>
      <c r="V827" s="11" t="e">
        <f>INDEX('Lookup 1961'!$A$2:$A$1300, MATCH(S827, 'Lookup 1961'!$B$2:$B$1300,0))</f>
        <v>#N/A</v>
      </c>
      <c r="W827" s="11" t="e">
        <f>INDEX('Lookup 1961'!$F$2:$F$1300, MATCH(S827, 'Lookup 1961'!$B$2:$B$1300,0))</f>
        <v>#N/A</v>
      </c>
      <c r="X827" s="11" t="e">
        <f>INDEX('Lookup 1961'!$C$2:$C$1300, MATCH(V827, 'Lookup 1961'!$A$2:$A$1300,0))</f>
        <v>#N/A</v>
      </c>
    </row>
    <row r="828" spans="1:24" ht="25.05" customHeight="1" x14ac:dyDescent="0.3">
      <c r="A828" s="2" t="s">
        <v>146</v>
      </c>
      <c r="B828" s="2" t="s">
        <v>5257</v>
      </c>
      <c r="S828" s="11" t="str">
        <f t="shared" si="25"/>
        <v xml:space="preserve">Non County Boroughs  </v>
      </c>
      <c r="V828" s="11" t="e">
        <f>INDEX('Lookup 1961'!$A$2:$A$1300, MATCH(S828, 'Lookup 1961'!$B$2:$B$1300,0))</f>
        <v>#N/A</v>
      </c>
      <c r="W828" s="11" t="e">
        <f>INDEX('Lookup 1961'!$F$2:$F$1300, MATCH(S828, 'Lookup 1961'!$B$2:$B$1300,0))</f>
        <v>#N/A</v>
      </c>
      <c r="X828" s="11" t="e">
        <f>INDEX('Lookup 1961'!$C$2:$C$1300, MATCH(V828, 'Lookup 1961'!$A$2:$A$1300,0))</f>
        <v>#N/A</v>
      </c>
    </row>
    <row r="829" spans="1:24" ht="25.05" customHeight="1" x14ac:dyDescent="0.3">
      <c r="A829" s="2" t="s">
        <v>780</v>
      </c>
      <c r="B829" s="2" t="s">
        <v>780</v>
      </c>
      <c r="C829" s="1">
        <v>19</v>
      </c>
      <c r="D829" s="1">
        <v>6</v>
      </c>
      <c r="E829" s="1">
        <v>14</v>
      </c>
      <c r="F829" s="1">
        <v>0</v>
      </c>
      <c r="K829" s="6">
        <v>3580</v>
      </c>
      <c r="L829" s="6">
        <v>884037</v>
      </c>
      <c r="M829" s="1">
        <v>65.7</v>
      </c>
      <c r="N829" s="1">
        <v>15</v>
      </c>
      <c r="O829" s="1">
        <v>6</v>
      </c>
      <c r="P829" s="1">
        <v>19.3</v>
      </c>
      <c r="Q829" s="11">
        <f>'Table H'!$J$197</f>
        <v>0.95372993997058797</v>
      </c>
      <c r="R829" s="11">
        <f t="shared" si="24"/>
        <v>843132.55494177865</v>
      </c>
      <c r="S829" s="11" t="str">
        <f t="shared" si="25"/>
        <v>Barnes MB</v>
      </c>
      <c r="T829" s="11" t="s">
        <v>5211</v>
      </c>
      <c r="V829" s="11" t="str">
        <f>INDEX('Lookup 1961'!$A$2:$A$1300, MATCH(S829, 'Lookup 1961'!$B$2:$B$1300,0))</f>
        <v>J04000084</v>
      </c>
      <c r="W829" s="11" t="str">
        <f>INDEX('Lookup 1961'!$F$2:$F$1300, MATCH(S829, 'Lookup 1961'!$B$2:$B$1300,0))</f>
        <v>e140401</v>
      </c>
      <c r="X829" s="11" t="str">
        <f>INDEX('Lookup 1961'!$C$2:$C$1300, MATCH(V829, 'Lookup 1961'!$A$2:$A$1300,0))</f>
        <v>Outer London</v>
      </c>
    </row>
    <row r="830" spans="1:24" ht="25.05" customHeight="1" x14ac:dyDescent="0.3">
      <c r="A830" s="2" t="s">
        <v>781</v>
      </c>
      <c r="B830" s="2" t="s">
        <v>781</v>
      </c>
      <c r="C830" s="1">
        <v>19</v>
      </c>
      <c r="D830" s="1">
        <v>4</v>
      </c>
      <c r="E830" s="1">
        <v>14</v>
      </c>
      <c r="F830" s="1">
        <v>2</v>
      </c>
      <c r="K830" s="6">
        <v>2600</v>
      </c>
      <c r="L830" s="6">
        <v>655247</v>
      </c>
      <c r="M830" s="1">
        <v>55.4</v>
      </c>
      <c r="N830" s="1">
        <v>13</v>
      </c>
      <c r="O830" s="1">
        <v>15</v>
      </c>
      <c r="P830" s="1">
        <v>13.5</v>
      </c>
      <c r="Q830" s="11">
        <f>'Table H'!$J$197</f>
        <v>0.95372993997058797</v>
      </c>
      <c r="R830" s="11">
        <f t="shared" si="24"/>
        <v>624928.68197590788</v>
      </c>
      <c r="S830" s="11" t="str">
        <f t="shared" si="25"/>
        <v>Beddington and Wallington MB</v>
      </c>
      <c r="T830" s="11" t="s">
        <v>5211</v>
      </c>
      <c r="V830" s="11" t="str">
        <f>INDEX('Lookup 1961'!$A$2:$A$1300, MATCH(S830, 'Lookup 1961'!$B$2:$B$1300,0))</f>
        <v>J04000111</v>
      </c>
      <c r="W830" s="11" t="str">
        <f>INDEX('Lookup 1961'!$F$2:$F$1300, MATCH(S830, 'Lookup 1961'!$B$2:$B$1300,0))</f>
        <v>e140404</v>
      </c>
      <c r="X830" s="11" t="str">
        <f>INDEX('Lookup 1961'!$C$2:$C$1300, MATCH(V830, 'Lookup 1961'!$A$2:$A$1300,0))</f>
        <v>Outer London</v>
      </c>
    </row>
    <row r="831" spans="1:24" ht="25.05" customHeight="1" x14ac:dyDescent="0.3">
      <c r="A831" s="2" t="s">
        <v>782</v>
      </c>
      <c r="B831" s="2" t="s">
        <v>782</v>
      </c>
      <c r="C831" s="1">
        <v>19</v>
      </c>
      <c r="D831" s="1">
        <v>6</v>
      </c>
      <c r="E831" s="1">
        <v>14</v>
      </c>
      <c r="F831" s="1">
        <v>4</v>
      </c>
      <c r="K831" s="6">
        <v>5434</v>
      </c>
      <c r="L831" s="6">
        <v>1291034</v>
      </c>
      <c r="M831" s="1">
        <v>65.900000000000006</v>
      </c>
      <c r="N831" s="1">
        <v>13</v>
      </c>
      <c r="O831" s="1">
        <v>17</v>
      </c>
      <c r="P831" s="1">
        <v>20.2</v>
      </c>
      <c r="Q831" s="11">
        <f>'Table H'!$J$197</f>
        <v>0.95372993997058797</v>
      </c>
      <c r="R831" s="11">
        <f t="shared" si="24"/>
        <v>1231297.7793199881</v>
      </c>
      <c r="S831" s="11" t="str">
        <f t="shared" si="25"/>
        <v>Epsom and Ewell MB</v>
      </c>
      <c r="T831" s="11" t="s">
        <v>5211</v>
      </c>
      <c r="V831" s="11" t="str">
        <f>INDEX('Lookup 1961'!$A$2:$A$1300, MATCH(S831, 'Lookup 1961'!$B$2:$B$1300,0))</f>
        <v>J04000477</v>
      </c>
      <c r="W831" s="11" t="str">
        <f>INDEX('Lookup 1961'!$F$2:$F$1300, MATCH(S831, 'Lookup 1961'!$B$2:$B$1300,0))</f>
        <v>e361009</v>
      </c>
      <c r="X831" s="11" t="str">
        <f>INDEX('Lookup 1961'!$C$2:$C$1300, MATCH(V831, 'Lookup 1961'!$A$2:$A$1300,0))</f>
        <v>Surrey</v>
      </c>
    </row>
    <row r="832" spans="1:24" ht="25.05" customHeight="1" x14ac:dyDescent="0.3">
      <c r="A832" s="2" t="s">
        <v>783</v>
      </c>
      <c r="B832" s="2" t="s">
        <v>783</v>
      </c>
      <c r="C832" s="1">
        <v>21</v>
      </c>
      <c r="D832" s="1">
        <v>6</v>
      </c>
      <c r="E832" s="1">
        <v>14</v>
      </c>
      <c r="F832" s="1">
        <v>10</v>
      </c>
      <c r="K832" s="6">
        <v>1034</v>
      </c>
      <c r="L832" s="6">
        <v>258069</v>
      </c>
      <c r="M832" s="1">
        <v>75</v>
      </c>
      <c r="N832" s="1">
        <v>12</v>
      </c>
      <c r="O832" s="1">
        <v>0</v>
      </c>
      <c r="P832" s="1">
        <v>16.399999999999999</v>
      </c>
      <c r="Q832" s="11">
        <f>'Table H'!$J$197</f>
        <v>0.95372993997058797</v>
      </c>
      <c r="R832" s="11">
        <f t="shared" si="24"/>
        <v>246128.13187826966</v>
      </c>
      <c r="S832" s="11" t="str">
        <f t="shared" si="25"/>
        <v>Godalming MB</v>
      </c>
      <c r="T832" s="11" t="s">
        <v>5211</v>
      </c>
      <c r="V832" s="11" t="str">
        <f>INDEX('Lookup 1961'!$A$2:$A$1300, MATCH(S832, 'Lookup 1961'!$B$2:$B$1300,0))</f>
        <v>J04000539</v>
      </c>
      <c r="W832" s="11" t="str">
        <f>INDEX('Lookup 1961'!$F$2:$F$1300, MATCH(S832, 'Lookup 1961'!$B$2:$B$1300,0))</f>
        <v>e361013</v>
      </c>
      <c r="X832" s="11" t="str">
        <f>INDEX('Lookup 1961'!$C$2:$C$1300, MATCH(V832, 'Lookup 1961'!$A$2:$A$1300,0))</f>
        <v>Surrey</v>
      </c>
    </row>
    <row r="833" spans="1:24" ht="25.05" customHeight="1" x14ac:dyDescent="0.3">
      <c r="A833" s="2" t="s">
        <v>784</v>
      </c>
      <c r="B833" s="2" t="s">
        <v>784</v>
      </c>
      <c r="C833" s="1">
        <v>19</v>
      </c>
      <c r="D833" s="1">
        <v>4</v>
      </c>
      <c r="E833" s="1">
        <v>13</v>
      </c>
      <c r="F833" s="1">
        <v>6</v>
      </c>
      <c r="K833" s="6">
        <v>4515</v>
      </c>
      <c r="L833" s="6">
        <v>1129782</v>
      </c>
      <c r="M833" s="1">
        <v>86.8</v>
      </c>
      <c r="N833" s="1">
        <v>14</v>
      </c>
      <c r="O833" s="1">
        <v>19</v>
      </c>
      <c r="P833" s="1">
        <v>32.200000000000003</v>
      </c>
      <c r="Q833" s="11">
        <f>'Table H'!$J$197</f>
        <v>0.95372993997058797</v>
      </c>
      <c r="R833" s="11">
        <f t="shared" si="24"/>
        <v>1077506.9190398508</v>
      </c>
      <c r="S833" s="11" t="str">
        <f t="shared" si="25"/>
        <v>Guildford MB</v>
      </c>
      <c r="T833" s="11" t="s">
        <v>5211</v>
      </c>
      <c r="V833" s="11" t="str">
        <f>INDEX('Lookup 1961'!$A$2:$A$1300, MATCH(S833, 'Lookup 1961'!$B$2:$B$1300,0))</f>
        <v>J04000556</v>
      </c>
      <c r="W833" s="11" t="str">
        <f>INDEX('Lookup 1961'!$F$2:$F$1300, MATCH(S833, 'Lookup 1961'!$B$2:$B$1300,0))</f>
        <v>e361014</v>
      </c>
      <c r="X833" s="11" t="str">
        <f>INDEX('Lookup 1961'!$C$2:$C$1300, MATCH(V833, 'Lookup 1961'!$A$2:$A$1300,0))</f>
        <v>Surrey</v>
      </c>
    </row>
    <row r="834" spans="1:24" ht="25.05" customHeight="1" x14ac:dyDescent="0.3">
      <c r="A834" s="2" t="s">
        <v>785</v>
      </c>
      <c r="B834" s="2" t="s">
        <v>5304</v>
      </c>
      <c r="C834" s="1">
        <v>19</v>
      </c>
      <c r="D834" s="1">
        <v>6</v>
      </c>
      <c r="E834" s="1">
        <v>13</v>
      </c>
      <c r="F834" s="1">
        <v>4</v>
      </c>
      <c r="K834" s="6">
        <v>4650</v>
      </c>
      <c r="L834" s="6">
        <v>1184844</v>
      </c>
      <c r="M834" s="1">
        <v>100.8</v>
      </c>
      <c r="N834" s="1">
        <v>19</v>
      </c>
      <c r="O834" s="1">
        <v>16</v>
      </c>
      <c r="P834" s="1">
        <v>36</v>
      </c>
      <c r="Q834" s="11">
        <f>'Table H'!$J$197</f>
        <v>0.95372993997058797</v>
      </c>
      <c r="R834" s="11">
        <f t="shared" si="24"/>
        <v>1130021.1969945114</v>
      </c>
      <c r="S834" s="11" t="str">
        <f t="shared" si="25"/>
        <v>Kingston upon Thames (Royal Borough) MB</v>
      </c>
      <c r="T834" s="11" t="s">
        <v>5211</v>
      </c>
      <c r="V834" s="11" t="str">
        <f>INDEX('Lookup 1961'!$A$2:$A$1300, MATCH(S834, 'Lookup 1961'!$B$2:$B$1300,0))</f>
        <v>J04000700</v>
      </c>
      <c r="W834" s="11" t="str">
        <f>INDEX('Lookup 1961'!$F$2:$F$1300, MATCH(S834, 'Lookup 1961'!$B$2:$B$1300,0))</f>
        <v>e140394</v>
      </c>
      <c r="X834" s="11" t="str">
        <f>INDEX('Lookup 1961'!$C$2:$C$1300, MATCH(V834, 'Lookup 1961'!$A$2:$A$1300,0))</f>
        <v>Outer London</v>
      </c>
    </row>
    <row r="835" spans="1:24" ht="25.05" customHeight="1" x14ac:dyDescent="0.3">
      <c r="A835" s="2" t="s">
        <v>786</v>
      </c>
      <c r="B835" s="2" t="s">
        <v>786</v>
      </c>
      <c r="C835" s="1">
        <v>19</v>
      </c>
      <c r="D835" s="1">
        <v>2</v>
      </c>
      <c r="E835" s="1">
        <v>13</v>
      </c>
      <c r="F835" s="1">
        <v>7</v>
      </c>
      <c r="K835" s="6">
        <v>3185</v>
      </c>
      <c r="L835" s="6">
        <v>795035</v>
      </c>
      <c r="M835" s="1">
        <v>53.6</v>
      </c>
      <c r="N835" s="1">
        <v>11</v>
      </c>
      <c r="O835" s="1">
        <v>14</v>
      </c>
      <c r="P835" s="1">
        <v>8.1999999999999993</v>
      </c>
      <c r="Q835" s="11">
        <f>'Table H'!$J$197</f>
        <v>0.95372993997058797</v>
      </c>
      <c r="R835" s="11">
        <f t="shared" si="24"/>
        <v>758248.68282451644</v>
      </c>
      <c r="S835" s="11" t="str">
        <f t="shared" si="25"/>
        <v>Malden and Coombe MB</v>
      </c>
      <c r="T835" s="11" t="s">
        <v>5211</v>
      </c>
      <c r="V835" s="11" t="str">
        <f>INDEX('Lookup 1961'!$A$2:$A$1300, MATCH(S835, 'Lookup 1961'!$B$2:$B$1300,0))</f>
        <v>J04000811</v>
      </c>
      <c r="W835" s="11" t="str">
        <f>INDEX('Lookup 1961'!$F$2:$F$1300, MATCH(S835, 'Lookup 1961'!$B$2:$B$1300,0))</f>
        <v>e140394</v>
      </c>
      <c r="X835" s="11" t="str">
        <f>INDEX('Lookup 1961'!$C$2:$C$1300, MATCH(V835, 'Lookup 1961'!$A$2:$A$1300,0))</f>
        <v>Outer London</v>
      </c>
    </row>
    <row r="836" spans="1:24" ht="25.05" customHeight="1" x14ac:dyDescent="0.3">
      <c r="A836" s="2" t="s">
        <v>787</v>
      </c>
      <c r="B836" s="2" t="s">
        <v>787</v>
      </c>
      <c r="C836" s="1">
        <v>21</v>
      </c>
      <c r="D836" s="1">
        <v>9</v>
      </c>
      <c r="E836" s="1">
        <v>15</v>
      </c>
      <c r="F836" s="1">
        <v>3</v>
      </c>
      <c r="K836" s="6">
        <v>4090</v>
      </c>
      <c r="L836" s="6">
        <v>1009783</v>
      </c>
      <c r="M836" s="1">
        <v>72.599999999999994</v>
      </c>
      <c r="N836" s="1">
        <v>11</v>
      </c>
      <c r="O836" s="1">
        <v>14</v>
      </c>
      <c r="P836" s="1">
        <v>20.399999999999999</v>
      </c>
      <c r="Q836" s="11">
        <f>'Table H'!$J$197</f>
        <v>0.95372993997058797</v>
      </c>
      <c r="R836" s="11">
        <f t="shared" ref="R836:R898" si="26">Q836*L836</f>
        <v>963060.2799733202</v>
      </c>
      <c r="S836" s="11" t="str">
        <f t="shared" si="25"/>
        <v>Mitcham MB</v>
      </c>
      <c r="T836" s="11" t="s">
        <v>5211</v>
      </c>
      <c r="V836" s="11" t="str">
        <f>INDEX('Lookup 1961'!$A$2:$A$1300, MATCH(S836, 'Lookup 1961'!$B$2:$B$1300,0))</f>
        <v>J04000862</v>
      </c>
      <c r="W836" s="11" t="str">
        <f>INDEX('Lookup 1961'!$F$2:$F$1300, MATCH(S836, 'Lookup 1961'!$B$2:$B$1300,0))</f>
        <v>e140398</v>
      </c>
      <c r="X836" s="11" t="str">
        <f>INDEX('Lookup 1961'!$C$2:$C$1300, MATCH(V836, 'Lookup 1961'!$A$2:$A$1300,0))</f>
        <v>Outer London</v>
      </c>
    </row>
    <row r="837" spans="1:24" ht="25.05" customHeight="1" x14ac:dyDescent="0.3">
      <c r="A837" s="2" t="s">
        <v>788</v>
      </c>
      <c r="B837" s="2" t="s">
        <v>788</v>
      </c>
      <c r="C837" s="1">
        <v>19</v>
      </c>
      <c r="D837" s="1">
        <v>8</v>
      </c>
      <c r="E837" s="1">
        <v>14</v>
      </c>
      <c r="F837" s="1">
        <v>2</v>
      </c>
      <c r="K837" s="6">
        <v>3380</v>
      </c>
      <c r="L837" s="6">
        <v>842715</v>
      </c>
      <c r="M837" s="1">
        <v>63.4</v>
      </c>
      <c r="N837" s="1">
        <v>11</v>
      </c>
      <c r="O837" s="1">
        <v>19</v>
      </c>
      <c r="P837" s="1">
        <v>18.8</v>
      </c>
      <c r="Q837" s="11">
        <f>'Table H'!$J$197</f>
        <v>0.95372993997058797</v>
      </c>
      <c r="R837" s="11">
        <f t="shared" si="26"/>
        <v>803722.52636231401</v>
      </c>
      <c r="S837" s="11" t="str">
        <f t="shared" ref="S837:S900" si="27">_xlfn.CONCAT(B837," ",T837)</f>
        <v>Reigate MB</v>
      </c>
      <c r="T837" s="11" t="s">
        <v>5211</v>
      </c>
      <c r="V837" s="11" t="str">
        <f>INDEX('Lookup 1961'!$A$2:$A$1300, MATCH(S837, 'Lookup 1961'!$B$2:$B$1300,0))</f>
        <v>J04001040</v>
      </c>
      <c r="W837" s="11" t="str">
        <f>INDEX('Lookup 1961'!$F$2:$F$1300, MATCH(S837, 'Lookup 1961'!$B$2:$B$1300,0))</f>
        <v>e361017</v>
      </c>
      <c r="X837" s="11" t="str">
        <f>INDEX('Lookup 1961'!$C$2:$C$1300, MATCH(V837, 'Lookup 1961'!$A$2:$A$1300,0))</f>
        <v>Surrey</v>
      </c>
    </row>
    <row r="838" spans="1:24" ht="25.05" customHeight="1" x14ac:dyDescent="0.3">
      <c r="A838" s="2" t="s">
        <v>789</v>
      </c>
      <c r="B838" s="2" t="s">
        <v>789</v>
      </c>
      <c r="C838" s="1">
        <v>20</v>
      </c>
      <c r="D838" s="1">
        <v>4</v>
      </c>
      <c r="E838" s="1">
        <v>14</v>
      </c>
      <c r="F838" s="1">
        <v>10</v>
      </c>
      <c r="K838" s="6">
        <v>3967</v>
      </c>
      <c r="L838" s="6">
        <v>998250</v>
      </c>
      <c r="M838" s="1">
        <v>55.1</v>
      </c>
      <c r="N838" s="1">
        <v>16</v>
      </c>
      <c r="O838" s="1">
        <v>16</v>
      </c>
      <c r="P838" s="1">
        <v>11.6</v>
      </c>
      <c r="Q838" s="11">
        <f>'Table H'!$J$197</f>
        <v>0.95372993997058797</v>
      </c>
      <c r="R838" s="11">
        <f t="shared" si="26"/>
        <v>952060.91257563944</v>
      </c>
      <c r="S838" s="11" t="str">
        <f t="shared" si="27"/>
        <v>Richmond MB</v>
      </c>
      <c r="T838" s="11" t="s">
        <v>5211</v>
      </c>
      <c r="V838" s="11" t="str">
        <f>INDEX('Lookup 1961'!$A$2:$A$1300, MATCH(S838, 'Lookup 1961'!$B$2:$B$1300,0))</f>
        <v>J04001047</v>
      </c>
      <c r="W838" s="11" t="str">
        <f>INDEX('Lookup 1961'!$F$2:$F$1300, MATCH(S838, 'Lookup 1961'!$B$2:$B$1300,0))</f>
        <v>e451173</v>
      </c>
      <c r="X838" s="11" t="str">
        <f>INDEX('Lookup 1961'!$C$2:$C$1300, MATCH(V838, 'Lookup 1961'!$A$2:$A$1300,0))</f>
        <v>North Yorkshire</v>
      </c>
    </row>
    <row r="839" spans="1:24" ht="25.05" customHeight="1" x14ac:dyDescent="0.3">
      <c r="A839" s="2" t="s">
        <v>790</v>
      </c>
      <c r="B839" s="2" t="s">
        <v>790</v>
      </c>
      <c r="C839" s="1">
        <v>19</v>
      </c>
      <c r="D839" s="1">
        <v>6</v>
      </c>
      <c r="E839" s="1">
        <v>13</v>
      </c>
      <c r="F839" s="1">
        <v>10</v>
      </c>
      <c r="K839" s="6">
        <v>4510</v>
      </c>
      <c r="L839" s="6">
        <v>1097650</v>
      </c>
      <c r="M839" s="1">
        <v>55.1</v>
      </c>
      <c r="N839" s="1">
        <v>12</v>
      </c>
      <c r="O839" s="1">
        <v>0</v>
      </c>
      <c r="P839" s="1">
        <v>9.1999999999999993</v>
      </c>
      <c r="Q839" s="11">
        <f>'Table H'!$J$197</f>
        <v>0.95372993997058797</v>
      </c>
      <c r="R839" s="11">
        <f t="shared" si="26"/>
        <v>1046861.6686087159</v>
      </c>
      <c r="S839" s="11" t="str">
        <f t="shared" si="27"/>
        <v>Surbiton MB</v>
      </c>
      <c r="T839" s="11" t="s">
        <v>5211</v>
      </c>
      <c r="V839" s="11" t="str">
        <f>INDEX('Lookup 1961'!$A$2:$A$1300, MATCH(S839, 'Lookup 1961'!$B$2:$B$1300,0))</f>
        <v>J04001233</v>
      </c>
      <c r="W839" s="11" t="str">
        <f>INDEX('Lookup 1961'!$F$2:$F$1300, MATCH(S839, 'Lookup 1961'!$B$2:$B$1300,0))</f>
        <v>e140394</v>
      </c>
      <c r="X839" s="11" t="str">
        <f>INDEX('Lookup 1961'!$C$2:$C$1300, MATCH(V839, 'Lookup 1961'!$A$2:$A$1300,0))</f>
        <v>Outer London</v>
      </c>
    </row>
    <row r="840" spans="1:24" ht="25.05" customHeight="1" x14ac:dyDescent="0.3">
      <c r="A840" s="2" t="s">
        <v>791</v>
      </c>
      <c r="B840" s="2" t="s">
        <v>791</v>
      </c>
      <c r="C840" s="1">
        <v>19</v>
      </c>
      <c r="D840" s="1">
        <v>8</v>
      </c>
      <c r="E840" s="1">
        <v>13</v>
      </c>
      <c r="F840" s="1">
        <v>8</v>
      </c>
      <c r="K840" s="6">
        <v>6590</v>
      </c>
      <c r="L840" s="6">
        <v>1624201</v>
      </c>
      <c r="M840" s="1">
        <v>72.2</v>
      </c>
      <c r="N840" s="1">
        <v>13</v>
      </c>
      <c r="O840" s="1">
        <v>19</v>
      </c>
      <c r="P840" s="1">
        <v>19.899999999999999</v>
      </c>
      <c r="Q840" s="11">
        <f>'Table H'!$J$197</f>
        <v>0.95372993997058797</v>
      </c>
      <c r="R840" s="11">
        <f t="shared" si="26"/>
        <v>1549049.1222301689</v>
      </c>
      <c r="S840" s="11" t="str">
        <f t="shared" si="27"/>
        <v>Sutton and Cheam MB</v>
      </c>
      <c r="T840" s="11" t="s">
        <v>5211</v>
      </c>
      <c r="V840" s="11" t="str">
        <f>INDEX('Lookup 1961'!$A$2:$A$1300, MATCH(S840, 'Lookup 1961'!$B$2:$B$1300,0))</f>
        <v>J04001234</v>
      </c>
      <c r="W840" s="11" t="str">
        <f>INDEX('Lookup 1961'!$F$2:$F$1300, MATCH(S840, 'Lookup 1961'!$B$2:$B$1300,0))</f>
        <v>e140404</v>
      </c>
      <c r="X840" s="11" t="str">
        <f>INDEX('Lookup 1961'!$C$2:$C$1300, MATCH(V840, 'Lookup 1961'!$A$2:$A$1300,0))</f>
        <v>Outer London</v>
      </c>
    </row>
    <row r="841" spans="1:24" ht="25.05" customHeight="1" x14ac:dyDescent="0.3">
      <c r="A841" s="2" t="s">
        <v>792</v>
      </c>
      <c r="B841" s="2" t="s">
        <v>792</v>
      </c>
      <c r="C841" s="1">
        <v>20</v>
      </c>
      <c r="D841" s="1">
        <v>6</v>
      </c>
      <c r="E841" s="1">
        <v>15</v>
      </c>
      <c r="F841" s="1">
        <v>0</v>
      </c>
      <c r="K841" s="6">
        <v>5235</v>
      </c>
      <c r="L841" s="6">
        <v>1295448</v>
      </c>
      <c r="M841" s="1">
        <v>52.5</v>
      </c>
      <c r="N841" s="1">
        <v>16</v>
      </c>
      <c r="O841" s="1">
        <v>11</v>
      </c>
      <c r="P841" s="1">
        <v>11.7</v>
      </c>
      <c r="Q841" s="11">
        <f>'Table H'!$J$197</f>
        <v>0.95372993997058797</v>
      </c>
      <c r="R841" s="11">
        <f t="shared" si="26"/>
        <v>1235507.5432750182</v>
      </c>
      <c r="S841" s="11" t="str">
        <f t="shared" si="27"/>
        <v>Wimbledon MB</v>
      </c>
      <c r="T841" s="11" t="s">
        <v>5211</v>
      </c>
      <c r="V841" s="11" t="str">
        <f>INDEX('Lookup 1961'!$A$2:$A$1300, MATCH(S841, 'Lookup 1961'!$B$2:$B$1300,0))</f>
        <v>J04001418</v>
      </c>
      <c r="W841" s="11" t="str">
        <f>INDEX('Lookup 1961'!$F$2:$F$1300, MATCH(S841, 'Lookup 1961'!$B$2:$B$1300,0))</f>
        <v>e140398</v>
      </c>
      <c r="X841" s="11" t="str">
        <f>INDEX('Lookup 1961'!$C$2:$C$1300, MATCH(V841, 'Lookup 1961'!$A$2:$A$1300,0))</f>
        <v>Outer London</v>
      </c>
    </row>
    <row r="842" spans="1:24" ht="25.05" customHeight="1" x14ac:dyDescent="0.3">
      <c r="A842" s="2" t="s">
        <v>150</v>
      </c>
      <c r="B842" s="2" t="s">
        <v>1221</v>
      </c>
      <c r="S842" s="11" t="str">
        <f t="shared" si="27"/>
        <v xml:space="preserve">Urban Districts  </v>
      </c>
      <c r="V842" s="11" t="e">
        <f>INDEX('Lookup 1961'!$A$2:$A$1300, MATCH(S842, 'Lookup 1961'!$B$2:$B$1300,0))</f>
        <v>#N/A</v>
      </c>
      <c r="W842" s="11" t="e">
        <f>INDEX('Lookup 1961'!$F$2:$F$1300, MATCH(S842, 'Lookup 1961'!$B$2:$B$1300,0))</f>
        <v>#N/A</v>
      </c>
      <c r="X842" s="11" t="e">
        <f>INDEX('Lookup 1961'!$C$2:$C$1300, MATCH(V842, 'Lookup 1961'!$A$2:$A$1300,0))</f>
        <v>#N/A</v>
      </c>
    </row>
    <row r="843" spans="1:24" ht="25.05" customHeight="1" x14ac:dyDescent="0.3">
      <c r="A843" s="2" t="s">
        <v>793</v>
      </c>
      <c r="B843" s="2" t="s">
        <v>793</v>
      </c>
      <c r="C843" s="1">
        <v>20</v>
      </c>
      <c r="D843" s="1">
        <v>6</v>
      </c>
      <c r="E843" s="1">
        <v>13</v>
      </c>
      <c r="F843" s="1">
        <v>10</v>
      </c>
      <c r="K843" s="6">
        <v>2980</v>
      </c>
      <c r="L843" s="6">
        <v>725928</v>
      </c>
      <c r="M843" s="1">
        <v>63.7</v>
      </c>
      <c r="N843" s="1">
        <v>13</v>
      </c>
      <c r="O843" s="1">
        <v>2</v>
      </c>
      <c r="P843" s="1">
        <v>4.5</v>
      </c>
      <c r="Q843" s="11">
        <f>'Table H'!$J$198</f>
        <v>0.94071825362505856</v>
      </c>
      <c r="R843" s="11">
        <f t="shared" si="26"/>
        <v>682893.72041753156</v>
      </c>
      <c r="S843" s="11" t="str">
        <f t="shared" si="27"/>
        <v>Banstead UD</v>
      </c>
      <c r="T843" s="11" t="s">
        <v>5214</v>
      </c>
      <c r="V843" s="11" t="str">
        <f>INDEX('Lookup 1961'!$A$2:$A$1300, MATCH(S843, 'Lookup 1961'!$B$2:$B$1300,0))</f>
        <v>J04000078</v>
      </c>
      <c r="W843" s="11" t="str">
        <f>INDEX('Lookup 1961'!$F$2:$F$1300, MATCH(S843, 'Lookup 1961'!$B$2:$B$1300,0))</f>
        <v>e361004</v>
      </c>
      <c r="X843" s="11" t="str">
        <f>INDEX('Lookup 1961'!$C$2:$C$1300, MATCH(V843, 'Lookup 1961'!$A$2:$A$1300,0))</f>
        <v>Surrey</v>
      </c>
    </row>
    <row r="844" spans="1:24" ht="25.05" customHeight="1" x14ac:dyDescent="0.3">
      <c r="A844" s="2" t="s">
        <v>794</v>
      </c>
      <c r="B844" s="2" t="s">
        <v>794</v>
      </c>
      <c r="C844" s="1">
        <v>20</v>
      </c>
      <c r="D844" s="1">
        <v>11</v>
      </c>
      <c r="E844" s="1">
        <v>14</v>
      </c>
      <c r="F844" s="1">
        <v>8</v>
      </c>
      <c r="K844" s="6">
        <v>3470</v>
      </c>
      <c r="L844" s="6">
        <v>853205</v>
      </c>
      <c r="M844" s="1">
        <v>60.6</v>
      </c>
      <c r="N844" s="1">
        <v>10</v>
      </c>
      <c r="O844" s="1">
        <v>4</v>
      </c>
      <c r="P844" s="1">
        <v>13.4</v>
      </c>
      <c r="Q844" s="11">
        <f>'Table H'!$J$198</f>
        <v>0.94071825362505856</v>
      </c>
      <c r="R844" s="11">
        <f t="shared" si="26"/>
        <v>802625.51758416812</v>
      </c>
      <c r="S844" s="11" t="str">
        <f t="shared" si="27"/>
        <v>Carshalton UD</v>
      </c>
      <c r="T844" s="11" t="s">
        <v>5214</v>
      </c>
      <c r="V844" s="11" t="str">
        <f>INDEX('Lookup 1961'!$A$2:$A$1300, MATCH(S844, 'Lookup 1961'!$B$2:$B$1300,0))</f>
        <v>J04000270</v>
      </c>
      <c r="W844" s="11" t="str">
        <f>INDEX('Lookup 1961'!$F$2:$F$1300, MATCH(S844, 'Lookup 1961'!$B$2:$B$1300,0))</f>
        <v>e140404</v>
      </c>
      <c r="X844" s="11" t="str">
        <f>INDEX('Lookup 1961'!$C$2:$C$1300, MATCH(V844, 'Lookup 1961'!$A$2:$A$1300,0))</f>
        <v>Outer London</v>
      </c>
    </row>
    <row r="845" spans="1:24" ht="25.05" customHeight="1" x14ac:dyDescent="0.3">
      <c r="A845" s="2" t="s">
        <v>795</v>
      </c>
      <c r="B845" s="2" t="s">
        <v>795</v>
      </c>
      <c r="C845" s="1">
        <v>18</v>
      </c>
      <c r="D845" s="1">
        <v>8</v>
      </c>
      <c r="E845" s="1">
        <v>13</v>
      </c>
      <c r="F845" s="1">
        <v>4</v>
      </c>
      <c r="K845" s="6">
        <v>1840</v>
      </c>
      <c r="L845" s="6">
        <v>454665</v>
      </c>
      <c r="M845" s="1">
        <v>42.8</v>
      </c>
      <c r="N845" s="1">
        <v>8</v>
      </c>
      <c r="O845" s="1">
        <v>19</v>
      </c>
      <c r="P845" s="1">
        <v>-0.3</v>
      </c>
      <c r="Q845" s="11">
        <f>'Table H'!$J$198</f>
        <v>0.94071825362505856</v>
      </c>
      <c r="R845" s="11">
        <f t="shared" si="26"/>
        <v>427711.66478443728</v>
      </c>
      <c r="S845" s="11" t="str">
        <f t="shared" si="27"/>
        <v>Caterham and Warlingham UD</v>
      </c>
      <c r="T845" s="11" t="s">
        <v>5214</v>
      </c>
      <c r="V845" s="11" t="str">
        <f>INDEX('Lookup 1961'!$A$2:$A$1300, MATCH(S845, 'Lookup 1961'!$B$2:$B$1300,0))</f>
        <v>J04000274</v>
      </c>
      <c r="W845" s="11" t="str">
        <f>INDEX('Lookup 1961'!$F$2:$F$1300, MATCH(S845, 'Lookup 1961'!$B$2:$B$1300,0))</f>
        <v>e361005</v>
      </c>
      <c r="X845" s="11" t="str">
        <f>INDEX('Lookup 1961'!$C$2:$C$1300, MATCH(V845, 'Lookup 1961'!$A$2:$A$1300,0))</f>
        <v>Surrey</v>
      </c>
    </row>
    <row r="846" spans="1:24" ht="25.05" customHeight="1" x14ac:dyDescent="0.3">
      <c r="A846" s="2" t="s">
        <v>796</v>
      </c>
      <c r="B846" s="2" t="s">
        <v>796</v>
      </c>
      <c r="C846" s="1">
        <v>20</v>
      </c>
      <c r="D846" s="1">
        <v>8</v>
      </c>
      <c r="E846" s="1">
        <v>14</v>
      </c>
      <c r="F846" s="1">
        <v>3</v>
      </c>
      <c r="K846" s="6">
        <v>1630</v>
      </c>
      <c r="L846" s="6">
        <v>414172</v>
      </c>
      <c r="M846" s="1">
        <v>66.5</v>
      </c>
      <c r="N846" s="1">
        <v>8</v>
      </c>
      <c r="O846" s="1">
        <v>7</v>
      </c>
      <c r="P846" s="1">
        <v>10.5</v>
      </c>
      <c r="Q846" s="11">
        <f>'Table H'!$J$198</f>
        <v>0.94071825362505856</v>
      </c>
      <c r="R846" s="11">
        <f t="shared" si="26"/>
        <v>389619.16054039774</v>
      </c>
      <c r="S846" s="11" t="str">
        <f t="shared" si="27"/>
        <v>Chertsey UD</v>
      </c>
      <c r="T846" s="11" t="s">
        <v>5214</v>
      </c>
      <c r="V846" s="11" t="str">
        <f>INDEX('Lookup 1961'!$A$2:$A$1300, MATCH(S846, 'Lookup 1961'!$B$2:$B$1300,0))</f>
        <v>J04000295</v>
      </c>
      <c r="W846" s="11" t="str">
        <f>INDEX('Lookup 1961'!$F$2:$F$1300, MATCH(S846, 'Lookup 1961'!$B$2:$B$1300,0))</f>
        <v>e361006</v>
      </c>
      <c r="X846" s="11" t="str">
        <f>INDEX('Lookup 1961'!$C$2:$C$1300, MATCH(V846, 'Lookup 1961'!$A$2:$A$1300,0))</f>
        <v>Surrey</v>
      </c>
    </row>
    <row r="847" spans="1:24" ht="25.05" customHeight="1" x14ac:dyDescent="0.3">
      <c r="A847" s="2" t="s">
        <v>797</v>
      </c>
      <c r="B847" s="2" t="s">
        <v>797</v>
      </c>
      <c r="C847" s="1">
        <v>19</v>
      </c>
      <c r="D847" s="1">
        <v>0</v>
      </c>
      <c r="E847" s="1">
        <v>14</v>
      </c>
      <c r="F847" s="1">
        <v>0</v>
      </c>
      <c r="K847" s="6">
        <v>5225</v>
      </c>
      <c r="L847" s="6">
        <v>1284394</v>
      </c>
      <c r="M847" s="1">
        <v>55.6</v>
      </c>
      <c r="N847" s="1">
        <v>13</v>
      </c>
      <c r="O847" s="1">
        <v>7</v>
      </c>
      <c r="P847" s="1">
        <v>11.9</v>
      </c>
      <c r="Q847" s="11">
        <f>'Table H'!$J$198</f>
        <v>0.94071825362505856</v>
      </c>
      <c r="R847" s="11">
        <f t="shared" si="26"/>
        <v>1208252.8806465035</v>
      </c>
      <c r="S847" s="11" t="str">
        <f t="shared" si="27"/>
        <v>Coulsdon and Purley UD</v>
      </c>
      <c r="T847" s="11" t="s">
        <v>5214</v>
      </c>
      <c r="V847" s="11" t="str">
        <f>INDEX('Lookup 1961'!$A$2:$A$1300, MATCH(S847, 'Lookup 1961'!$B$2:$B$1300,0))</f>
        <v>J04000351</v>
      </c>
      <c r="W847" s="11" t="str">
        <f>INDEX('Lookup 1961'!$F$2:$F$1300, MATCH(S847, 'Lookup 1961'!$B$2:$B$1300,0))</f>
        <v>e140378</v>
      </c>
      <c r="X847" s="11" t="str">
        <f>INDEX('Lookup 1961'!$C$2:$C$1300, MATCH(V847, 'Lookup 1961'!$A$2:$A$1300,0))</f>
        <v>Outer London</v>
      </c>
    </row>
    <row r="848" spans="1:24" ht="25.05" customHeight="1" x14ac:dyDescent="0.3">
      <c r="A848" s="2" t="s">
        <v>798</v>
      </c>
      <c r="B848" s="2" t="s">
        <v>798</v>
      </c>
      <c r="C848" s="1">
        <v>19</v>
      </c>
      <c r="D848" s="1">
        <v>8</v>
      </c>
      <c r="E848" s="1">
        <v>14</v>
      </c>
      <c r="F848" s="1">
        <v>0</v>
      </c>
      <c r="K848" s="6">
        <v>1420</v>
      </c>
      <c r="L848" s="6">
        <v>357111</v>
      </c>
      <c r="M848" s="1">
        <v>65</v>
      </c>
      <c r="N848" s="1">
        <v>12</v>
      </c>
      <c r="O848" s="1">
        <v>0</v>
      </c>
      <c r="P848" s="1">
        <v>16.600000000000001</v>
      </c>
      <c r="Q848" s="11">
        <f>'Table H'!$J$198</f>
        <v>0.94071825362505856</v>
      </c>
      <c r="R848" s="11">
        <f t="shared" si="26"/>
        <v>335940.83627029828</v>
      </c>
      <c r="S848" s="11" t="str">
        <f t="shared" si="27"/>
        <v>Dorking UD</v>
      </c>
      <c r="T848" s="11" t="s">
        <v>5214</v>
      </c>
      <c r="V848" s="11" t="str">
        <f>INDEX('Lookup 1961'!$A$2:$A$1300, MATCH(S848, 'Lookup 1961'!$B$2:$B$1300,0))</f>
        <v>J04000420</v>
      </c>
      <c r="W848" s="11" t="str">
        <f>INDEX('Lookup 1961'!$F$2:$F$1300, MATCH(S848, 'Lookup 1961'!$B$2:$B$1300,0))</f>
        <v>e361007</v>
      </c>
      <c r="X848" s="11" t="str">
        <f>INDEX('Lookup 1961'!$C$2:$C$1300, MATCH(V848, 'Lookup 1961'!$A$2:$A$1300,0))</f>
        <v>Surrey</v>
      </c>
    </row>
    <row r="849" spans="1:24" ht="25.05" customHeight="1" x14ac:dyDescent="0.3">
      <c r="A849" s="2" t="s">
        <v>799</v>
      </c>
      <c r="B849" s="2" t="s">
        <v>799</v>
      </c>
      <c r="C849" s="1">
        <v>20</v>
      </c>
      <c r="D849" s="1">
        <v>0</v>
      </c>
      <c r="E849" s="1">
        <v>15</v>
      </c>
      <c r="F849" s="1">
        <v>2</v>
      </c>
      <c r="K849" s="6">
        <v>1640</v>
      </c>
      <c r="L849" s="6">
        <v>403695</v>
      </c>
      <c r="M849" s="1">
        <v>46.1</v>
      </c>
      <c r="N849" s="1">
        <v>10</v>
      </c>
      <c r="O849" s="1">
        <v>18</v>
      </c>
      <c r="P849" s="1">
        <v>5.9</v>
      </c>
      <c r="Q849" s="11">
        <f>'Table H'!$J$198</f>
        <v>0.94071825362505856</v>
      </c>
      <c r="R849" s="11">
        <f t="shared" si="26"/>
        <v>379763.25539716805</v>
      </c>
      <c r="S849" s="11" t="str">
        <f t="shared" si="27"/>
        <v>Egham UD</v>
      </c>
      <c r="T849" s="11" t="s">
        <v>5214</v>
      </c>
      <c r="V849" s="11" t="str">
        <f>INDEX('Lookup 1961'!$A$2:$A$1300, MATCH(S849, 'Lookup 1961'!$B$2:$B$1300,0))</f>
        <v>J04000464</v>
      </c>
      <c r="W849" s="11" t="str">
        <f>INDEX('Lookup 1961'!$F$2:$F$1300, MATCH(S849, 'Lookup 1961'!$B$2:$B$1300,0))</f>
        <v>e361008</v>
      </c>
      <c r="X849" s="11" t="str">
        <f>INDEX('Lookup 1961'!$C$2:$C$1300, MATCH(V849, 'Lookup 1961'!$A$2:$A$1300,0))</f>
        <v>Surrey</v>
      </c>
    </row>
    <row r="850" spans="1:24" ht="25.05" customHeight="1" x14ac:dyDescent="0.3">
      <c r="A850" s="2" t="s">
        <v>800</v>
      </c>
      <c r="B850" s="2" t="s">
        <v>800</v>
      </c>
      <c r="C850" s="1">
        <v>18</v>
      </c>
      <c r="D850" s="1">
        <v>8</v>
      </c>
      <c r="E850" s="1">
        <v>13</v>
      </c>
      <c r="F850" s="1">
        <v>0</v>
      </c>
      <c r="K850" s="6">
        <v>4800</v>
      </c>
      <c r="L850" s="6">
        <v>1170757</v>
      </c>
      <c r="M850" s="1">
        <v>56.5</v>
      </c>
      <c r="N850" s="1">
        <v>13</v>
      </c>
      <c r="O850" s="1">
        <v>13</v>
      </c>
      <c r="P850" s="1">
        <v>3.4</v>
      </c>
      <c r="Q850" s="11">
        <f>'Table H'!$J$198</f>
        <v>0.94071825362505856</v>
      </c>
      <c r="R850" s="11">
        <f t="shared" si="26"/>
        <v>1101352.4804593127</v>
      </c>
      <c r="S850" s="11" t="str">
        <f t="shared" si="27"/>
        <v>Esher UD</v>
      </c>
      <c r="T850" s="11" t="s">
        <v>5214</v>
      </c>
      <c r="V850" s="11" t="str">
        <f>INDEX('Lookup 1961'!$A$2:$A$1300, MATCH(S850, 'Lookup 1961'!$B$2:$B$1300,0))</f>
        <v>J04000480</v>
      </c>
      <c r="W850" s="11" t="str">
        <f>INDEX('Lookup 1961'!$F$2:$F$1300, MATCH(S850, 'Lookup 1961'!$B$2:$B$1300,0))</f>
        <v>e361010</v>
      </c>
      <c r="X850" s="11" t="str">
        <f>INDEX('Lookup 1961'!$C$2:$C$1300, MATCH(V850, 'Lookup 1961'!$A$2:$A$1300,0))</f>
        <v>Surrey</v>
      </c>
    </row>
    <row r="851" spans="1:24" ht="25.05" customHeight="1" x14ac:dyDescent="0.3">
      <c r="A851" s="2" t="s">
        <v>801</v>
      </c>
      <c r="B851" s="2" t="s">
        <v>801</v>
      </c>
      <c r="C851" s="1">
        <v>19</v>
      </c>
      <c r="D851" s="1">
        <v>6</v>
      </c>
      <c r="E851" s="1">
        <v>14</v>
      </c>
      <c r="F851" s="1">
        <v>0</v>
      </c>
      <c r="K851" s="6">
        <v>1730</v>
      </c>
      <c r="L851" s="6">
        <v>444706</v>
      </c>
      <c r="M851" s="1">
        <v>84.3</v>
      </c>
      <c r="N851" s="1">
        <v>12</v>
      </c>
      <c r="O851" s="1">
        <v>2</v>
      </c>
      <c r="P851" s="1">
        <v>29.2</v>
      </c>
      <c r="Q851" s="11">
        <f>'Table H'!$J$198</f>
        <v>0.94071825362505856</v>
      </c>
      <c r="R851" s="11">
        <f t="shared" si="26"/>
        <v>418343.05169658532</v>
      </c>
      <c r="S851" s="11" t="str">
        <f t="shared" si="27"/>
        <v>Farnham UD</v>
      </c>
      <c r="T851" s="11" t="s">
        <v>5214</v>
      </c>
      <c r="V851" s="11" t="str">
        <f>INDEX('Lookup 1961'!$A$2:$A$1300, MATCH(S851, 'Lookup 1961'!$B$2:$B$1300,0))</f>
        <v>J04000494</v>
      </c>
      <c r="W851" s="11" t="str">
        <f>INDEX('Lookup 1961'!$F$2:$F$1300, MATCH(S851, 'Lookup 1961'!$B$2:$B$1300,0))</f>
        <v>e361011</v>
      </c>
      <c r="X851" s="11" t="str">
        <f>INDEX('Lookup 1961'!$C$2:$C$1300, MATCH(V851, 'Lookup 1961'!$A$2:$A$1300,0))</f>
        <v>Surrey</v>
      </c>
    </row>
    <row r="852" spans="1:24" ht="25.05" customHeight="1" x14ac:dyDescent="0.3">
      <c r="A852" s="2" t="s">
        <v>802</v>
      </c>
      <c r="B852" s="2" t="s">
        <v>802</v>
      </c>
      <c r="C852" s="1">
        <v>19</v>
      </c>
      <c r="D852" s="1">
        <v>0</v>
      </c>
      <c r="E852" s="1">
        <v>13</v>
      </c>
      <c r="F852" s="1">
        <v>8</v>
      </c>
      <c r="K852" s="6">
        <v>1485</v>
      </c>
      <c r="L852" s="6">
        <v>366658</v>
      </c>
      <c r="M852" s="1">
        <v>49.7</v>
      </c>
      <c r="N852" s="1">
        <v>10</v>
      </c>
      <c r="O852" s="1">
        <v>13</v>
      </c>
      <c r="P852" s="1">
        <v>3.3</v>
      </c>
      <c r="Q852" s="11">
        <f>'Table H'!$J$198</f>
        <v>0.94071825362505856</v>
      </c>
      <c r="R852" s="11">
        <f t="shared" si="26"/>
        <v>344921.87343765673</v>
      </c>
      <c r="S852" s="11" t="str">
        <f t="shared" si="27"/>
        <v>Frimley and Camberley UD</v>
      </c>
      <c r="T852" s="11" t="s">
        <v>5214</v>
      </c>
      <c r="V852" s="11" t="str">
        <f>INDEX('Lookup 1961'!$A$2:$A$1300, MATCH(S852, 'Lookup 1961'!$B$2:$B$1300,0))</f>
        <v>J04000517</v>
      </c>
      <c r="W852" s="11" t="str">
        <f>INDEX('Lookup 1961'!$F$2:$F$1300, MATCH(S852, 'Lookup 1961'!$B$2:$B$1300,0))</f>
        <v>e361012</v>
      </c>
      <c r="X852" s="11" t="str">
        <f>INDEX('Lookup 1961'!$C$2:$C$1300, MATCH(V852, 'Lookup 1961'!$A$2:$A$1300,0))</f>
        <v>Surrey</v>
      </c>
    </row>
    <row r="853" spans="1:24" ht="25.05" customHeight="1" x14ac:dyDescent="0.3">
      <c r="A853" s="2" t="s">
        <v>803</v>
      </c>
      <c r="B853" s="2" t="s">
        <v>803</v>
      </c>
      <c r="C853" s="1">
        <v>20</v>
      </c>
      <c r="D853" s="1">
        <v>0</v>
      </c>
      <c r="E853" s="1">
        <v>14</v>
      </c>
      <c r="F853" s="1">
        <v>4</v>
      </c>
      <c r="K853" s="1">
        <v>910</v>
      </c>
      <c r="L853" s="6">
        <v>231822</v>
      </c>
      <c r="M853" s="1">
        <v>60.6</v>
      </c>
      <c r="N853" s="1">
        <v>13</v>
      </c>
      <c r="O853" s="1">
        <v>7</v>
      </c>
      <c r="P853" s="1">
        <v>10.9</v>
      </c>
      <c r="Q853" s="11">
        <f>'Table H'!$J$198</f>
        <v>0.94071825362505856</v>
      </c>
      <c r="R853" s="11">
        <f t="shared" si="26"/>
        <v>218079.18699186834</v>
      </c>
      <c r="S853" s="11" t="str">
        <f t="shared" si="27"/>
        <v>Haslemere UD</v>
      </c>
      <c r="T853" s="11" t="s">
        <v>5214</v>
      </c>
      <c r="V853" s="11" t="str">
        <f>INDEX('Lookup 1961'!$A$2:$A$1300, MATCH(S853, 'Lookup 1961'!$B$2:$B$1300,0))</f>
        <v>J04000582</v>
      </c>
      <c r="W853" s="11" t="str">
        <f>INDEX('Lookup 1961'!$F$2:$F$1300, MATCH(S853, 'Lookup 1961'!$B$2:$B$1300,0))</f>
        <v>e361015</v>
      </c>
      <c r="X853" s="11" t="str">
        <f>INDEX('Lookup 1961'!$C$2:$C$1300, MATCH(V853, 'Lookup 1961'!$A$2:$A$1300,0))</f>
        <v>Surrey</v>
      </c>
    </row>
    <row r="854" spans="1:24" ht="25.05" customHeight="1" x14ac:dyDescent="0.3">
      <c r="A854" s="2" t="s">
        <v>804</v>
      </c>
      <c r="B854" s="2" t="s">
        <v>804</v>
      </c>
      <c r="C854" s="1">
        <v>19</v>
      </c>
      <c r="D854" s="1">
        <v>0</v>
      </c>
      <c r="E854" s="1">
        <v>13</v>
      </c>
      <c r="F854" s="1">
        <v>0</v>
      </c>
      <c r="K854" s="6">
        <v>2245</v>
      </c>
      <c r="L854" s="6">
        <v>546484</v>
      </c>
      <c r="M854" s="1">
        <v>56.8</v>
      </c>
      <c r="N854" s="1">
        <v>11</v>
      </c>
      <c r="O854" s="1">
        <v>6</v>
      </c>
      <c r="P854" s="1">
        <v>4.2</v>
      </c>
      <c r="Q854" s="11">
        <f>'Table H'!$J$198</f>
        <v>0.94071825362505856</v>
      </c>
      <c r="R854" s="11">
        <f t="shared" si="26"/>
        <v>514087.47411403648</v>
      </c>
      <c r="S854" s="11" t="str">
        <f t="shared" si="27"/>
        <v>Leatherhead UD</v>
      </c>
      <c r="T854" s="11" t="s">
        <v>5214</v>
      </c>
      <c r="V854" s="11" t="str">
        <f>INDEX('Lookup 1961'!$A$2:$A$1300, MATCH(S854, 'Lookup 1961'!$B$2:$B$1300,0))</f>
        <v>J04000724</v>
      </c>
      <c r="W854" s="11" t="str">
        <f>INDEX('Lookup 1961'!$F$2:$F$1300, MATCH(S854, 'Lookup 1961'!$B$2:$B$1300,0))</f>
        <v>e361016</v>
      </c>
      <c r="X854" s="11" t="str">
        <f>INDEX('Lookup 1961'!$C$2:$C$1300, MATCH(V854, 'Lookup 1961'!$A$2:$A$1300,0))</f>
        <v>Surrey</v>
      </c>
    </row>
    <row r="855" spans="1:24" ht="25.05" customHeight="1" x14ac:dyDescent="0.3">
      <c r="A855" s="2" t="s">
        <v>805</v>
      </c>
      <c r="B855" s="2" t="s">
        <v>805</v>
      </c>
      <c r="C855" s="1">
        <v>19</v>
      </c>
      <c r="D855" s="1">
        <v>6</v>
      </c>
      <c r="E855" s="1">
        <v>13</v>
      </c>
      <c r="F855" s="1">
        <v>10</v>
      </c>
      <c r="K855" s="6">
        <v>4940</v>
      </c>
      <c r="L855" s="6">
        <v>1224863</v>
      </c>
      <c r="M855" s="1">
        <v>73</v>
      </c>
      <c r="N855" s="1">
        <v>11</v>
      </c>
      <c r="O855" s="1">
        <v>12</v>
      </c>
      <c r="P855" s="1">
        <v>24.2</v>
      </c>
      <c r="Q855" s="11">
        <f>'Table H'!$J$198</f>
        <v>0.94071825362505856</v>
      </c>
      <c r="R855" s="11">
        <f t="shared" si="26"/>
        <v>1152250.9822899501</v>
      </c>
      <c r="S855" s="11" t="str">
        <f t="shared" si="27"/>
        <v>Merton and Morden UD</v>
      </c>
      <c r="T855" s="11" t="s">
        <v>5214</v>
      </c>
      <c r="V855" s="11" t="str">
        <f>INDEX('Lookup 1961'!$A$2:$A$1300, MATCH(S855, 'Lookup 1961'!$B$2:$B$1300,0))</f>
        <v>J04000850</v>
      </c>
      <c r="W855" s="11" t="str">
        <f>INDEX('Lookup 1961'!$F$2:$F$1300, MATCH(S855, 'Lookup 1961'!$B$2:$B$1300,0))</f>
        <v>e140398</v>
      </c>
      <c r="X855" s="11" t="str">
        <f>INDEX('Lookup 1961'!$C$2:$C$1300, MATCH(V855, 'Lookup 1961'!$A$2:$A$1300,0))</f>
        <v>Outer London</v>
      </c>
    </row>
    <row r="856" spans="1:24" ht="25.05" customHeight="1" x14ac:dyDescent="0.3">
      <c r="A856" s="2" t="s">
        <v>806</v>
      </c>
      <c r="B856" s="2" t="s">
        <v>806</v>
      </c>
      <c r="C856" s="1">
        <v>18</v>
      </c>
      <c r="D856" s="1">
        <v>6</v>
      </c>
      <c r="E856" s="1">
        <v>13</v>
      </c>
      <c r="F856" s="1">
        <v>0</v>
      </c>
      <c r="K856" s="6">
        <v>3115</v>
      </c>
      <c r="L856" s="6">
        <v>782058</v>
      </c>
      <c r="M856" s="1">
        <v>48.1</v>
      </c>
      <c r="N856" s="1">
        <v>12</v>
      </c>
      <c r="O856" s="1">
        <v>7</v>
      </c>
      <c r="P856" s="1">
        <v>3.5</v>
      </c>
      <c r="Q856" s="11">
        <f>'Table H'!$J$198</f>
        <v>0.94071825362505856</v>
      </c>
      <c r="R856" s="11">
        <f t="shared" si="26"/>
        <v>735696.23599350604</v>
      </c>
      <c r="S856" s="11" t="str">
        <f t="shared" si="27"/>
        <v>Walton and Weybridge UD</v>
      </c>
      <c r="T856" s="11" t="s">
        <v>5214</v>
      </c>
      <c r="V856" s="11" t="str">
        <f>INDEX('Lookup 1961'!$A$2:$A$1300, MATCH(S856, 'Lookup 1961'!$B$2:$B$1300,0))</f>
        <v>J04001332</v>
      </c>
      <c r="W856" s="11" t="str">
        <f>INDEX('Lookup 1961'!$F$2:$F$1300, MATCH(S856, 'Lookup 1961'!$B$2:$B$1300,0))</f>
        <v>e361020</v>
      </c>
      <c r="X856" s="11" t="str">
        <f>INDEX('Lookup 1961'!$C$2:$C$1300, MATCH(V856, 'Lookup 1961'!$A$2:$A$1300,0))</f>
        <v>Surrey</v>
      </c>
    </row>
    <row r="857" spans="1:24" ht="25.05" customHeight="1" x14ac:dyDescent="0.3">
      <c r="A857" s="2" t="s">
        <v>807</v>
      </c>
      <c r="B857" s="2" t="s">
        <v>807</v>
      </c>
      <c r="C857" s="1">
        <v>19</v>
      </c>
      <c r="D857" s="1">
        <v>3</v>
      </c>
      <c r="E857" s="1">
        <v>13</v>
      </c>
      <c r="F857" s="1">
        <v>6</v>
      </c>
      <c r="K857" s="6">
        <v>3528</v>
      </c>
      <c r="L857" s="6">
        <v>879939</v>
      </c>
      <c r="M857" s="1">
        <v>58.9</v>
      </c>
      <c r="N857" s="1">
        <v>10</v>
      </c>
      <c r="O857" s="1">
        <v>4</v>
      </c>
      <c r="P857" s="1">
        <v>7.7</v>
      </c>
      <c r="Q857" s="11">
        <f>'Table H'!$J$198</f>
        <v>0.94071825362505856</v>
      </c>
      <c r="R857" s="11">
        <f t="shared" si="26"/>
        <v>827774.6793765804</v>
      </c>
      <c r="S857" s="11" t="str">
        <f t="shared" si="27"/>
        <v>Woking UD</v>
      </c>
      <c r="T857" s="11" t="s">
        <v>5214</v>
      </c>
      <c r="V857" s="11" t="str">
        <f>INDEX('Lookup 1961'!$A$2:$A$1300, MATCH(S857, 'Lookup 1961'!$B$2:$B$1300,0))</f>
        <v>J04001439</v>
      </c>
      <c r="W857" s="11" t="str">
        <f>INDEX('Lookup 1961'!$F$2:$F$1300, MATCH(S857, 'Lookup 1961'!$B$2:$B$1300,0))</f>
        <v>e361021</v>
      </c>
      <c r="X857" s="11" t="str">
        <f>INDEX('Lookup 1961'!$C$2:$C$1300, MATCH(V857, 'Lookup 1961'!$A$2:$A$1300,0))</f>
        <v>Surrey</v>
      </c>
    </row>
    <row r="858" spans="1:24" ht="25.05" customHeight="1" x14ac:dyDescent="0.3">
      <c r="A858" s="2" t="s">
        <v>808</v>
      </c>
      <c r="B858" s="2" t="s">
        <v>808</v>
      </c>
      <c r="S858" s="11" t="str">
        <f t="shared" si="27"/>
        <v xml:space="preserve">SUSSEX, EAST: </v>
      </c>
      <c r="V858" s="11" t="e">
        <f>INDEX('Lookup 1961'!$A$2:$A$1300, MATCH(S858, 'Lookup 1961'!$B$2:$B$1300,0))</f>
        <v>#N/A</v>
      </c>
      <c r="W858" s="11" t="e">
        <f>INDEX('Lookup 1961'!$F$2:$F$1300, MATCH(S858, 'Lookup 1961'!$B$2:$B$1300,0))</f>
        <v>#N/A</v>
      </c>
      <c r="X858" s="11" t="e">
        <f>INDEX('Lookup 1961'!$C$2:$C$1300, MATCH(V858, 'Lookup 1961'!$A$2:$A$1300,0))</f>
        <v>#N/A</v>
      </c>
    </row>
    <row r="859" spans="1:24" ht="25.05" customHeight="1" x14ac:dyDescent="0.3">
      <c r="A859" s="2" t="s">
        <v>146</v>
      </c>
      <c r="B859" s="2" t="s">
        <v>5257</v>
      </c>
      <c r="S859" s="11" t="str">
        <f t="shared" si="27"/>
        <v xml:space="preserve">Non County Boroughs  </v>
      </c>
      <c r="V859" s="11" t="e">
        <f>INDEX('Lookup 1961'!$A$2:$A$1300, MATCH(S859, 'Lookup 1961'!$B$2:$B$1300,0))</f>
        <v>#N/A</v>
      </c>
      <c r="W859" s="11" t="e">
        <f>INDEX('Lookup 1961'!$F$2:$F$1300, MATCH(S859, 'Lookup 1961'!$B$2:$B$1300,0))</f>
        <v>#N/A</v>
      </c>
      <c r="X859" s="11" t="e">
        <f>INDEX('Lookup 1961'!$C$2:$C$1300, MATCH(V859, 'Lookup 1961'!$A$2:$A$1300,0))</f>
        <v>#N/A</v>
      </c>
    </row>
    <row r="860" spans="1:24" ht="25.05" customHeight="1" x14ac:dyDescent="0.3">
      <c r="A860" s="2" t="s">
        <v>809</v>
      </c>
      <c r="B860" s="2" t="s">
        <v>809</v>
      </c>
      <c r="C860" s="1">
        <v>22</v>
      </c>
      <c r="D860" s="1">
        <v>0</v>
      </c>
      <c r="E860" s="1">
        <v>17</v>
      </c>
      <c r="F860" s="1">
        <v>0</v>
      </c>
      <c r="K860" s="6">
        <v>2200</v>
      </c>
      <c r="L860" s="6">
        <v>551483</v>
      </c>
      <c r="M860" s="1">
        <v>37</v>
      </c>
      <c r="N860" s="1">
        <v>17</v>
      </c>
      <c r="O860" s="1">
        <v>10</v>
      </c>
      <c r="P860" s="1">
        <v>4.8</v>
      </c>
      <c r="Q860" s="11">
        <f>'Table H'!$J$202</f>
        <v>0.97885088790473618</v>
      </c>
      <c r="R860" s="11">
        <f t="shared" si="26"/>
        <v>539819.62421436759</v>
      </c>
      <c r="S860" s="11" t="str">
        <f t="shared" si="27"/>
        <v>Bexhill MB</v>
      </c>
      <c r="T860" s="11" t="s">
        <v>5211</v>
      </c>
      <c r="V860" s="11" t="str">
        <f>INDEX('Lookup 1961'!$A$2:$A$1300, MATCH(S860, 'Lookup 1961'!$B$2:$B$1300,0))</f>
        <v>J04000135</v>
      </c>
      <c r="W860" s="11" t="str">
        <f>INDEX('Lookup 1961'!$F$2:$F$1300, MATCH(S860, 'Lookup 1961'!$B$2:$B$1300,0))</f>
        <v>e371032</v>
      </c>
      <c r="X860" s="11" t="str">
        <f>INDEX('Lookup 1961'!$C$2:$C$1300, MATCH(V860, 'Lookup 1961'!$A$2:$A$1300,0))</f>
        <v>East Sussex</v>
      </c>
    </row>
    <row r="861" spans="1:24" ht="25.05" customHeight="1" x14ac:dyDescent="0.3">
      <c r="A861" s="2" t="s">
        <v>810</v>
      </c>
      <c r="B861" s="2" t="s">
        <v>810</v>
      </c>
      <c r="C861" s="1">
        <v>19</v>
      </c>
      <c r="D861" s="1">
        <v>0</v>
      </c>
      <c r="E861" s="1">
        <v>14</v>
      </c>
      <c r="F861" s="1">
        <v>0</v>
      </c>
      <c r="K861" s="6">
        <v>7301</v>
      </c>
      <c r="L861" s="6">
        <v>1817852</v>
      </c>
      <c r="M861" s="1">
        <v>51.2</v>
      </c>
      <c r="N861" s="1">
        <v>17</v>
      </c>
      <c r="O861" s="1">
        <v>15</v>
      </c>
      <c r="P861" s="1">
        <v>10.8</v>
      </c>
      <c r="Q861" s="11">
        <f>'Table H'!$J$202</f>
        <v>0.97885088790473618</v>
      </c>
      <c r="R861" s="11">
        <f t="shared" si="26"/>
        <v>1779406.0442794005</v>
      </c>
      <c r="S861" s="11" t="str">
        <f t="shared" si="27"/>
        <v>Hove MB</v>
      </c>
      <c r="T861" s="11" t="s">
        <v>5211</v>
      </c>
      <c r="V861" s="11" t="str">
        <f>INDEX('Lookup 1961'!$A$2:$A$1300, MATCH(S861, 'Lookup 1961'!$B$2:$B$1300,0))</f>
        <v>J04000652</v>
      </c>
      <c r="W861" s="11" t="str">
        <f>INDEX('Lookup 1961'!$F$2:$F$1300, MATCH(S861, 'Lookup 1961'!$B$2:$B$1300,0))</f>
        <v>e371036</v>
      </c>
      <c r="X861" s="11" t="str">
        <f>INDEX('Lookup 1961'!$C$2:$C$1300, MATCH(V861, 'Lookup 1961'!$A$2:$A$1300,0))</f>
        <v>East Sussex</v>
      </c>
    </row>
    <row r="862" spans="1:24" ht="25.05" customHeight="1" x14ac:dyDescent="0.3">
      <c r="A862" s="2" t="s">
        <v>811</v>
      </c>
      <c r="B862" s="2" t="s">
        <v>811</v>
      </c>
      <c r="C862" s="1">
        <v>22</v>
      </c>
      <c r="D862" s="1">
        <v>4</v>
      </c>
      <c r="E862" s="1">
        <v>16</v>
      </c>
      <c r="F862" s="1">
        <v>2</v>
      </c>
      <c r="K862" s="1">
        <v>922</v>
      </c>
      <c r="L862" s="6">
        <v>235596</v>
      </c>
      <c r="M862" s="1">
        <v>75.5</v>
      </c>
      <c r="N862" s="1">
        <v>13</v>
      </c>
      <c r="O862" s="1">
        <v>16</v>
      </c>
      <c r="P862" s="1">
        <v>24.3</v>
      </c>
      <c r="Q862" s="11">
        <f>'Table H'!$J$202</f>
        <v>0.97885088790473618</v>
      </c>
      <c r="R862" s="11">
        <f t="shared" si="26"/>
        <v>230613.35378680422</v>
      </c>
      <c r="S862" s="11" t="str">
        <f t="shared" si="27"/>
        <v>Lewes MB</v>
      </c>
      <c r="T862" s="11" t="s">
        <v>5211</v>
      </c>
      <c r="V862" s="11" t="str">
        <f>INDEX('Lookup 1961'!$A$2:$A$1300, MATCH(S862, 'Lookup 1961'!$B$2:$B$1300,0))</f>
        <v>J04000738</v>
      </c>
      <c r="W862" s="11" t="str">
        <f>INDEX('Lookup 1961'!$F$2:$F$1300, MATCH(S862, 'Lookup 1961'!$B$2:$B$1300,0))</f>
        <v>e371037</v>
      </c>
      <c r="X862" s="11" t="str">
        <f>INDEX('Lookup 1961'!$C$2:$C$1300, MATCH(V862, 'Lookup 1961'!$A$2:$A$1300,0))</f>
        <v>East Sussex</v>
      </c>
    </row>
    <row r="863" spans="1:24" ht="25.05" customHeight="1" x14ac:dyDescent="0.3">
      <c r="A863" s="2" t="s">
        <v>812</v>
      </c>
      <c r="B863" s="2" t="s">
        <v>812</v>
      </c>
      <c r="C863" s="1">
        <v>20</v>
      </c>
      <c r="D863" s="1">
        <v>0</v>
      </c>
      <c r="E863" s="1">
        <v>14</v>
      </c>
      <c r="F863" s="1">
        <v>2</v>
      </c>
      <c r="K863" s="1">
        <v>278</v>
      </c>
      <c r="L863" s="6">
        <v>71257</v>
      </c>
      <c r="M863" s="1">
        <v>52.9</v>
      </c>
      <c r="N863" s="1">
        <v>10</v>
      </c>
      <c r="O863" s="1">
        <v>12</v>
      </c>
      <c r="P863" s="1">
        <v>8.1</v>
      </c>
      <c r="Q863" s="11">
        <f>'Table H'!$J$202</f>
        <v>0.97885088790473618</v>
      </c>
      <c r="R863" s="11">
        <f t="shared" si="26"/>
        <v>69749.977719427785</v>
      </c>
      <c r="S863" s="11" t="str">
        <f t="shared" si="27"/>
        <v>Rye MB</v>
      </c>
      <c r="T863" s="11" t="s">
        <v>5211</v>
      </c>
      <c r="V863" s="11" t="str">
        <f>INDEX('Lookup 1961'!$A$2:$A$1300, MATCH(S863, 'Lookup 1961'!$B$2:$B$1300,0))</f>
        <v>J04001087</v>
      </c>
      <c r="W863" s="11" t="str">
        <f>INDEX('Lookup 1961'!$F$2:$F$1300, MATCH(S863, 'Lookup 1961'!$B$2:$B$1300,0))</f>
        <v>e371040</v>
      </c>
      <c r="X863" s="11" t="str">
        <f>INDEX('Lookup 1961'!$C$2:$C$1300, MATCH(V863, 'Lookup 1961'!$A$2:$A$1300,0))</f>
        <v>East Sussex</v>
      </c>
    </row>
    <row r="864" spans="1:24" ht="25.05" customHeight="1" x14ac:dyDescent="0.3">
      <c r="A864" s="2" t="s">
        <v>150</v>
      </c>
      <c r="B864" s="2" t="s">
        <v>1221</v>
      </c>
      <c r="S864" s="11" t="str">
        <f t="shared" si="27"/>
        <v xml:space="preserve">Urban Districts  </v>
      </c>
      <c r="V864" s="11" t="e">
        <f>INDEX('Lookup 1961'!$A$2:$A$1300, MATCH(S864, 'Lookup 1961'!$B$2:$B$1300,0))</f>
        <v>#N/A</v>
      </c>
      <c r="W864" s="11" t="e">
        <f>INDEX('Lookup 1961'!$F$2:$F$1300, MATCH(S864, 'Lookup 1961'!$B$2:$B$1300,0))</f>
        <v>#N/A</v>
      </c>
      <c r="X864" s="11" t="e">
        <f>INDEX('Lookup 1961'!$C$2:$C$1300, MATCH(V864, 'Lookup 1961'!$A$2:$A$1300,0))</f>
        <v>#N/A</v>
      </c>
    </row>
    <row r="865" spans="1:24" ht="25.05" customHeight="1" x14ac:dyDescent="0.3">
      <c r="A865" s="2" t="s">
        <v>813</v>
      </c>
      <c r="B865" s="2" t="s">
        <v>813</v>
      </c>
      <c r="C865" s="1">
        <v>21</v>
      </c>
      <c r="D865" s="1">
        <v>6</v>
      </c>
      <c r="E865" s="1">
        <v>15</v>
      </c>
      <c r="F865" s="1">
        <v>6</v>
      </c>
      <c r="K865" s="1">
        <v>580</v>
      </c>
      <c r="L865" s="6">
        <v>146016</v>
      </c>
      <c r="M865" s="1">
        <v>75.3</v>
      </c>
      <c r="N865" s="1">
        <v>9</v>
      </c>
      <c r="O865" s="1">
        <v>4</v>
      </c>
      <c r="P865" s="1">
        <v>-0.1</v>
      </c>
      <c r="Q865" s="11">
        <f>'Table H'!$J$203</f>
        <v>0.96441449128446244</v>
      </c>
      <c r="R865" s="11">
        <f t="shared" si="26"/>
        <v>140819.94635939208</v>
      </c>
      <c r="S865" s="11" t="str">
        <f t="shared" si="27"/>
        <v>Burgess Hill UD</v>
      </c>
      <c r="T865" s="11" t="s">
        <v>5214</v>
      </c>
      <c r="V865" s="11" t="str">
        <f>INDEX('Lookup 1961'!$A$2:$A$1300, MATCH(S865, 'Lookup 1961'!$B$2:$B$1300,0))</f>
        <v>J04000236</v>
      </c>
      <c r="W865" s="11" t="str">
        <f>INDEX('Lookup 1961'!$F$2:$F$1300, MATCH(S865, 'Lookup 1961'!$B$2:$B$1300,0))</f>
        <v>e371033</v>
      </c>
      <c r="X865" s="11" t="str">
        <f>INDEX('Lookup 1961'!$C$2:$C$1300, MATCH(V865, 'Lookup 1961'!$A$2:$A$1300,0))</f>
        <v>West Sussex</v>
      </c>
    </row>
    <row r="866" spans="1:24" ht="25.05" customHeight="1" x14ac:dyDescent="0.3">
      <c r="A866" s="2" t="s">
        <v>814</v>
      </c>
      <c r="B866" s="2" t="s">
        <v>814</v>
      </c>
      <c r="C866" s="1">
        <v>20</v>
      </c>
      <c r="D866" s="1">
        <v>6</v>
      </c>
      <c r="E866" s="1">
        <v>14</v>
      </c>
      <c r="F866" s="1">
        <v>6</v>
      </c>
      <c r="K866" s="6">
        <v>1100</v>
      </c>
      <c r="L866" s="6">
        <v>280440</v>
      </c>
      <c r="M866" s="1">
        <v>65.3</v>
      </c>
      <c r="N866" s="1">
        <v>11</v>
      </c>
      <c r="O866" s="1">
        <v>9</v>
      </c>
      <c r="P866" s="1">
        <v>13.7</v>
      </c>
      <c r="Q866" s="11">
        <f>'Table H'!$J$203</f>
        <v>0.96441449128446244</v>
      </c>
      <c r="R866" s="11">
        <f t="shared" si="26"/>
        <v>270460.39993581467</v>
      </c>
      <c r="S866" s="11" t="str">
        <f t="shared" si="27"/>
        <v>Cuckfield UD</v>
      </c>
      <c r="T866" s="11" t="s">
        <v>5214</v>
      </c>
      <c r="V866" s="11" t="str">
        <f>INDEX('Lookup 1961'!$A$2:$A$1300, MATCH(S866, 'Lookup 1961'!$B$2:$B$1300,0))</f>
        <v>J04000373</v>
      </c>
      <c r="W866" s="11" t="str">
        <f>INDEX('Lookup 1961'!$F$2:$F$1300, MATCH(S866, 'Lookup 1961'!$B$2:$B$1300,0))</f>
        <v>e371034</v>
      </c>
      <c r="X866" s="11" t="str">
        <f>INDEX('Lookup 1961'!$C$2:$C$1300, MATCH(V866, 'Lookup 1961'!$A$2:$A$1300,0))</f>
        <v>West Sussex</v>
      </c>
    </row>
    <row r="867" spans="1:24" ht="25.05" customHeight="1" x14ac:dyDescent="0.3">
      <c r="A867" s="2" t="s">
        <v>815</v>
      </c>
      <c r="B867" s="2" t="s">
        <v>815</v>
      </c>
      <c r="C867" s="1">
        <v>21</v>
      </c>
      <c r="D867" s="1">
        <v>6</v>
      </c>
      <c r="E867" s="1">
        <v>14</v>
      </c>
      <c r="F867" s="1">
        <v>6</v>
      </c>
      <c r="K867" s="6">
        <v>1011</v>
      </c>
      <c r="L867" s="6">
        <v>236743</v>
      </c>
      <c r="M867" s="1">
        <v>101</v>
      </c>
      <c r="N867" s="1">
        <v>13</v>
      </c>
      <c r="O867" s="1">
        <v>18</v>
      </c>
      <c r="P867" s="1">
        <v>15.2</v>
      </c>
      <c r="Q867" s="11">
        <f>'Table H'!$J$203</f>
        <v>0.96441449128446244</v>
      </c>
      <c r="R867" s="11">
        <f t="shared" si="26"/>
        <v>228318.3799101575</v>
      </c>
      <c r="S867" s="11" t="str">
        <f t="shared" si="27"/>
        <v>East Grinstead UD</v>
      </c>
      <c r="T867" s="11" t="s">
        <v>5214</v>
      </c>
      <c r="V867" s="11" t="str">
        <f>INDEX('Lookup 1961'!$A$2:$A$1300, MATCH(S867, 'Lookup 1961'!$B$2:$B$1300,0))</f>
        <v>J04000450</v>
      </c>
      <c r="W867" s="11" t="str">
        <f>INDEX('Lookup 1961'!$F$2:$F$1300, MATCH(S867, 'Lookup 1961'!$B$2:$B$1300,0))</f>
        <v>e371035</v>
      </c>
      <c r="X867" s="11" t="str">
        <f>INDEX('Lookup 1961'!$C$2:$C$1300, MATCH(V867, 'Lookup 1961'!$A$2:$A$1300,0))</f>
        <v>West Sussex</v>
      </c>
    </row>
    <row r="868" spans="1:24" ht="25.05" customHeight="1" x14ac:dyDescent="0.3">
      <c r="A868" s="2" t="s">
        <v>816</v>
      </c>
      <c r="B868" s="2" t="s">
        <v>816</v>
      </c>
      <c r="C868" s="1">
        <v>22</v>
      </c>
      <c r="D868" s="1">
        <v>6</v>
      </c>
      <c r="E868" s="1">
        <v>16</v>
      </c>
      <c r="F868" s="1">
        <v>0</v>
      </c>
      <c r="K868" s="1">
        <v>340</v>
      </c>
      <c r="L868" s="6">
        <v>87892</v>
      </c>
      <c r="M868" s="1">
        <v>54.6</v>
      </c>
      <c r="N868" s="1">
        <v>8</v>
      </c>
      <c r="O868" s="1">
        <v>15</v>
      </c>
      <c r="P868" s="1">
        <v>9.1999999999999993</v>
      </c>
      <c r="Q868" s="11">
        <f>'Table H'!$J$203</f>
        <v>0.96441449128446244</v>
      </c>
      <c r="R868" s="11">
        <f t="shared" si="26"/>
        <v>84764.318467973979</v>
      </c>
      <c r="S868" s="11" t="str">
        <f t="shared" si="27"/>
        <v>Newhaven UD</v>
      </c>
      <c r="T868" s="11" t="s">
        <v>5214</v>
      </c>
      <c r="V868" s="11" t="str">
        <f>INDEX('Lookup 1961'!$A$2:$A$1300, MATCH(S868, 'Lookup 1961'!$B$2:$B$1300,0))</f>
        <v>J04000904</v>
      </c>
      <c r="W868" s="11" t="str">
        <f>INDEX('Lookup 1961'!$F$2:$F$1300, MATCH(S868, 'Lookup 1961'!$B$2:$B$1300,0))</f>
        <v>e371038</v>
      </c>
      <c r="X868" s="11" t="str">
        <f>INDEX('Lookup 1961'!$C$2:$C$1300, MATCH(V868, 'Lookup 1961'!$A$2:$A$1300,0))</f>
        <v>East Sussex</v>
      </c>
    </row>
    <row r="869" spans="1:24" ht="25.05" customHeight="1" x14ac:dyDescent="0.3">
      <c r="A869" s="2" t="s">
        <v>817</v>
      </c>
      <c r="B869" s="2" t="s">
        <v>817</v>
      </c>
      <c r="C869" s="1">
        <v>18</v>
      </c>
      <c r="D869" s="1">
        <v>2</v>
      </c>
      <c r="E869" s="1">
        <v>12</v>
      </c>
      <c r="F869" s="1">
        <v>6</v>
      </c>
      <c r="K869" s="1">
        <v>946</v>
      </c>
      <c r="L869" s="6">
        <v>237476</v>
      </c>
      <c r="M869" s="1">
        <v>86.6</v>
      </c>
      <c r="N869" s="1">
        <v>10</v>
      </c>
      <c r="O869" s="1">
        <v>1</v>
      </c>
      <c r="P869" s="1">
        <v>23</v>
      </c>
      <c r="Q869" s="11">
        <f>'Table H'!$J$203</f>
        <v>0.96441449128446244</v>
      </c>
      <c r="R869" s="11">
        <f t="shared" si="26"/>
        <v>229025.29573226901</v>
      </c>
      <c r="S869" s="11" t="str">
        <f t="shared" si="27"/>
        <v>Portslade-by-Sea UD</v>
      </c>
      <c r="T869" s="11" t="s">
        <v>5214</v>
      </c>
      <c r="V869" s="11" t="str">
        <f>INDEX('Lookup 1961'!$A$2:$A$1300, MATCH(S869, 'Lookup 1961'!$B$2:$B$1300,0))</f>
        <v>J04001011</v>
      </c>
      <c r="W869" s="11" t="str">
        <f>INDEX('Lookup 1961'!$F$2:$F$1300, MATCH(S869, 'Lookup 1961'!$B$2:$B$1300,0))</f>
        <v>e371039</v>
      </c>
      <c r="X869" s="11" t="str">
        <f>INDEX('Lookup 1961'!$C$2:$C$1300, MATCH(V869, 'Lookup 1961'!$A$2:$A$1300,0))</f>
        <v>East Sussex</v>
      </c>
    </row>
    <row r="870" spans="1:24" ht="25.05" customHeight="1" x14ac:dyDescent="0.3">
      <c r="A870" s="2" t="s">
        <v>818</v>
      </c>
      <c r="B870" s="2" t="s">
        <v>818</v>
      </c>
      <c r="C870" s="1">
        <v>22</v>
      </c>
      <c r="D870" s="1">
        <v>0</v>
      </c>
      <c r="E870" s="1">
        <v>16</v>
      </c>
      <c r="F870" s="1">
        <v>0</v>
      </c>
      <c r="K870" s="1">
        <v>750</v>
      </c>
      <c r="L870" s="6">
        <v>189272</v>
      </c>
      <c r="M870" s="1">
        <v>38.799999999999997</v>
      </c>
      <c r="N870" s="1">
        <v>13</v>
      </c>
      <c r="O870" s="1">
        <v>12</v>
      </c>
      <c r="P870" s="1">
        <v>-1.2</v>
      </c>
      <c r="Q870" s="11">
        <f>'Table H'!$J$203</f>
        <v>0.96441449128446244</v>
      </c>
      <c r="R870" s="11">
        <f t="shared" si="26"/>
        <v>182536.65959439278</v>
      </c>
      <c r="S870" s="11" t="str">
        <f t="shared" si="27"/>
        <v>Seaford UD</v>
      </c>
      <c r="T870" s="11" t="s">
        <v>5214</v>
      </c>
      <c r="V870" s="11" t="str">
        <f>INDEX('Lookup 1961'!$A$2:$A$1300, MATCH(S870, 'Lookup 1961'!$B$2:$B$1300,0))</f>
        <v>J04001110</v>
      </c>
      <c r="W870" s="11" t="str">
        <f>INDEX('Lookup 1961'!$F$2:$F$1300, MATCH(S870, 'Lookup 1961'!$B$2:$B$1300,0))</f>
        <v>e371041</v>
      </c>
      <c r="X870" s="11" t="str">
        <f>INDEX('Lookup 1961'!$C$2:$C$1300, MATCH(V870, 'Lookup 1961'!$A$2:$A$1300,0))</f>
        <v>East Sussex</v>
      </c>
    </row>
    <row r="871" spans="1:24" ht="25.05" customHeight="1" x14ac:dyDescent="0.3">
      <c r="A871" s="2" t="s">
        <v>819</v>
      </c>
      <c r="B871" s="2" t="s">
        <v>819</v>
      </c>
      <c r="S871" s="11" t="str">
        <f t="shared" si="27"/>
        <v xml:space="preserve">SUSSEX, WEST: </v>
      </c>
      <c r="V871" s="11" t="e">
        <f>INDEX('Lookup 1961'!$A$2:$A$1300, MATCH(S871, 'Lookup 1961'!$B$2:$B$1300,0))</f>
        <v>#N/A</v>
      </c>
      <c r="W871" s="11" t="e">
        <f>INDEX('Lookup 1961'!$F$2:$F$1300, MATCH(S871, 'Lookup 1961'!$B$2:$B$1300,0))</f>
        <v>#N/A</v>
      </c>
      <c r="X871" s="11" t="e">
        <f>INDEX('Lookup 1961'!$C$2:$C$1300, MATCH(V871, 'Lookup 1961'!$A$2:$A$1300,0))</f>
        <v>#N/A</v>
      </c>
    </row>
    <row r="872" spans="1:24" ht="25.05" customHeight="1" x14ac:dyDescent="0.3">
      <c r="A872" s="2" t="s">
        <v>146</v>
      </c>
      <c r="B872" s="2" t="s">
        <v>5257</v>
      </c>
      <c r="S872" s="11" t="str">
        <f t="shared" si="27"/>
        <v xml:space="preserve">Non County Boroughs  </v>
      </c>
      <c r="V872" s="11" t="e">
        <f>INDEX('Lookup 1961'!$A$2:$A$1300, MATCH(S872, 'Lookup 1961'!$B$2:$B$1300,0))</f>
        <v>#N/A</v>
      </c>
      <c r="W872" s="11" t="e">
        <f>INDEX('Lookup 1961'!$F$2:$F$1300, MATCH(S872, 'Lookup 1961'!$B$2:$B$1300,0))</f>
        <v>#N/A</v>
      </c>
      <c r="X872" s="11" t="e">
        <f>INDEX('Lookup 1961'!$C$2:$C$1300, MATCH(V872, 'Lookup 1961'!$A$2:$A$1300,0))</f>
        <v>#N/A</v>
      </c>
    </row>
    <row r="873" spans="1:24" ht="25.05" customHeight="1" x14ac:dyDescent="0.3">
      <c r="A873" s="2" t="s">
        <v>820</v>
      </c>
      <c r="B873" s="2" t="s">
        <v>820</v>
      </c>
      <c r="C873" s="1">
        <v>20</v>
      </c>
      <c r="D873" s="1">
        <v>0</v>
      </c>
      <c r="E873" s="1">
        <v>14</v>
      </c>
      <c r="F873" s="1">
        <v>0</v>
      </c>
      <c r="K873" s="1">
        <v>169</v>
      </c>
      <c r="L873" s="6">
        <v>43665</v>
      </c>
      <c r="M873" s="1">
        <v>89.3</v>
      </c>
      <c r="N873" s="1">
        <v>11</v>
      </c>
      <c r="O873" s="1">
        <v>4</v>
      </c>
      <c r="P873" s="1">
        <v>29.2</v>
      </c>
      <c r="Q873" s="11">
        <f>'Table H'!$J$207</f>
        <v>0.97865031028047811</v>
      </c>
      <c r="R873" s="11">
        <f t="shared" si="26"/>
        <v>42732.765798397078</v>
      </c>
      <c r="S873" s="11" t="str">
        <f t="shared" si="27"/>
        <v>Arundel MB</v>
      </c>
      <c r="T873" s="11" t="s">
        <v>5211</v>
      </c>
      <c r="V873" s="11" t="str">
        <f>INDEX('Lookup 1961'!$A$2:$A$1300, MATCH(S873, 'Lookup 1961'!$B$2:$B$1300,0))</f>
        <v>J04000047</v>
      </c>
      <c r="W873" s="11" t="str">
        <f>INDEX('Lookup 1961'!$F$2:$F$1300, MATCH(S873, 'Lookup 1961'!$B$2:$B$1300,0))</f>
        <v>e381049</v>
      </c>
      <c r="X873" s="11" t="str">
        <f>INDEX('Lookup 1961'!$C$2:$C$1300, MATCH(V873, 'Lookup 1961'!$A$2:$A$1300,0))</f>
        <v>West Sussex</v>
      </c>
    </row>
    <row r="874" spans="1:24" ht="25.05" customHeight="1" x14ac:dyDescent="0.3">
      <c r="A874" s="2" t="s">
        <v>821</v>
      </c>
      <c r="B874" s="2" t="s">
        <v>5305</v>
      </c>
      <c r="C874" s="1">
        <v>22</v>
      </c>
      <c r="D874" s="1">
        <v>0</v>
      </c>
      <c r="E874" s="1">
        <v>14</v>
      </c>
      <c r="F874" s="1">
        <v>6</v>
      </c>
      <c r="K874" s="6">
        <v>1475</v>
      </c>
      <c r="L874" s="6">
        <v>372716</v>
      </c>
      <c r="M874" s="1">
        <v>94.7</v>
      </c>
      <c r="N874" s="1">
        <v>13</v>
      </c>
      <c r="O874" s="1">
        <v>10</v>
      </c>
      <c r="P874" s="1">
        <v>23.7</v>
      </c>
      <c r="Q874" s="11">
        <f>'Table H'!$J$207</f>
        <v>0.97865031028047811</v>
      </c>
      <c r="R874" s="11">
        <f t="shared" si="26"/>
        <v>364758.62904649868</v>
      </c>
      <c r="S874" s="11" t="str">
        <f t="shared" si="27"/>
        <v>Chichester city MB</v>
      </c>
      <c r="T874" s="11" t="s">
        <v>5211</v>
      </c>
      <c r="V874" s="11" t="str">
        <f>INDEX('Lookup 1961'!$A$2:$A$1300, MATCH(S874, 'Lookup 1961'!$B$2:$B$1300,0))</f>
        <v>J04000305</v>
      </c>
      <c r="W874" s="11" t="str">
        <f>INDEX('Lookup 1961'!$F$2:$F$1300, MATCH(S874, 'Lookup 1961'!$B$2:$B$1300,0))</f>
        <v>e381051</v>
      </c>
      <c r="X874" s="11" t="str">
        <f>INDEX('Lookup 1961'!$C$2:$C$1300, MATCH(V874, 'Lookup 1961'!$A$2:$A$1300,0))</f>
        <v>West Sussex</v>
      </c>
    </row>
    <row r="875" spans="1:24" ht="25.05" customHeight="1" x14ac:dyDescent="0.3">
      <c r="A875" s="2" t="s">
        <v>822</v>
      </c>
      <c r="B875" s="2" t="s">
        <v>822</v>
      </c>
      <c r="C875" s="1">
        <v>19</v>
      </c>
      <c r="D875" s="1">
        <v>3</v>
      </c>
      <c r="E875" s="1">
        <v>13</v>
      </c>
      <c r="F875" s="1">
        <v>10</v>
      </c>
      <c r="K875" s="6">
        <v>7200</v>
      </c>
      <c r="L875" s="6">
        <v>1806930</v>
      </c>
      <c r="M875" s="1">
        <v>65.8</v>
      </c>
      <c r="N875" s="1">
        <v>17</v>
      </c>
      <c r="O875" s="1">
        <v>2</v>
      </c>
      <c r="P875" s="1">
        <v>13.2</v>
      </c>
      <c r="Q875" s="11">
        <f>'Table H'!$J$207</f>
        <v>0.97865031028047811</v>
      </c>
      <c r="R875" s="11">
        <f t="shared" si="26"/>
        <v>1768352.6051551043</v>
      </c>
      <c r="S875" s="11" t="str">
        <f t="shared" si="27"/>
        <v>Worthing MB</v>
      </c>
      <c r="T875" s="11" t="s">
        <v>5211</v>
      </c>
      <c r="V875" s="11" t="str">
        <f>INDEX('Lookup 1961'!$A$2:$A$1300, MATCH(S875, 'Lookup 1961'!$B$2:$B$1300,0))</f>
        <v>J04001456</v>
      </c>
      <c r="W875" s="11" t="str">
        <f>INDEX('Lookup 1961'!$F$2:$F$1300, MATCH(S875, 'Lookup 1961'!$B$2:$B$1300,0))</f>
        <v>e381057</v>
      </c>
      <c r="X875" s="11" t="str">
        <f>INDEX('Lookup 1961'!$C$2:$C$1300, MATCH(V875, 'Lookup 1961'!$A$2:$A$1300,0))</f>
        <v>West Sussex</v>
      </c>
    </row>
    <row r="876" spans="1:24" ht="25.05" customHeight="1" x14ac:dyDescent="0.3">
      <c r="A876" s="2" t="s">
        <v>150</v>
      </c>
      <c r="B876" s="2" t="s">
        <v>1221</v>
      </c>
      <c r="S876" s="11" t="str">
        <f t="shared" si="27"/>
        <v xml:space="preserve">Urban Districts  </v>
      </c>
      <c r="V876" s="11" t="e">
        <f>INDEX('Lookup 1961'!$A$2:$A$1300, MATCH(S876, 'Lookup 1961'!$B$2:$B$1300,0))</f>
        <v>#N/A</v>
      </c>
      <c r="W876" s="11" t="e">
        <f>INDEX('Lookup 1961'!$F$2:$F$1300, MATCH(S876, 'Lookup 1961'!$B$2:$B$1300,0))</f>
        <v>#N/A</v>
      </c>
      <c r="X876" s="11" t="e">
        <f>INDEX('Lookup 1961'!$C$2:$C$1300, MATCH(V876, 'Lookup 1961'!$A$2:$A$1300,0))</f>
        <v>#N/A</v>
      </c>
    </row>
    <row r="877" spans="1:24" ht="25.05" customHeight="1" x14ac:dyDescent="0.3">
      <c r="A877" s="2" t="s">
        <v>823</v>
      </c>
      <c r="B877" s="2" t="s">
        <v>823</v>
      </c>
      <c r="C877" s="1">
        <v>21</v>
      </c>
      <c r="D877" s="1">
        <v>6</v>
      </c>
      <c r="E877" s="1">
        <v>14</v>
      </c>
      <c r="F877" s="1">
        <v>10</v>
      </c>
      <c r="K877" s="6">
        <v>2350</v>
      </c>
      <c r="L877" s="6">
        <v>594632</v>
      </c>
      <c r="M877" s="1">
        <v>68.3</v>
      </c>
      <c r="N877" s="1">
        <v>16</v>
      </c>
      <c r="O877" s="1">
        <v>10</v>
      </c>
      <c r="P877" s="1">
        <v>11.5</v>
      </c>
      <c r="Q877" s="11">
        <f>'Table H'!$J$208</f>
        <v>0.93614736910927521</v>
      </c>
      <c r="R877" s="11">
        <f t="shared" si="26"/>
        <v>556663.18238818657</v>
      </c>
      <c r="S877" s="11" t="str">
        <f t="shared" si="27"/>
        <v>Bognor Regis UD</v>
      </c>
      <c r="T877" s="11" t="s">
        <v>5214</v>
      </c>
      <c r="V877" s="11" t="str">
        <f>INDEX('Lookup 1961'!$A$2:$A$1300, MATCH(S877, 'Lookup 1961'!$B$2:$B$1300,0))</f>
        <v>J04000169</v>
      </c>
      <c r="W877" s="11" t="str">
        <f>INDEX('Lookup 1961'!$F$2:$F$1300, MATCH(S877, 'Lookup 1961'!$B$2:$B$1300,0))</f>
        <v>e381050</v>
      </c>
      <c r="X877" s="11" t="str">
        <f>INDEX('Lookup 1961'!$C$2:$C$1300, MATCH(V877, 'Lookup 1961'!$A$2:$A$1300,0))</f>
        <v>West Sussex</v>
      </c>
    </row>
    <row r="878" spans="1:24" ht="25.05" customHeight="1" x14ac:dyDescent="0.3">
      <c r="A878" s="2" t="s">
        <v>824</v>
      </c>
      <c r="B878" s="2" t="s">
        <v>5306</v>
      </c>
      <c r="E878" s="1">
        <v>14</v>
      </c>
      <c r="F878" s="1">
        <v>10</v>
      </c>
      <c r="K878" s="6">
        <v>2100</v>
      </c>
      <c r="L878" s="6">
        <v>481627</v>
      </c>
      <c r="N878" s="1">
        <v>11</v>
      </c>
      <c r="O878" s="1">
        <v>12</v>
      </c>
      <c r="Q878" s="11">
        <f>'Table H'!$J$208</f>
        <v>0.93614736910927521</v>
      </c>
      <c r="R878" s="11">
        <f t="shared" si="26"/>
        <v>450873.84894199291</v>
      </c>
      <c r="S878" s="11" t="str">
        <f t="shared" si="27"/>
        <v>Crawley UD</v>
      </c>
      <c r="T878" s="11" t="s">
        <v>5214</v>
      </c>
      <c r="V878" s="11" t="str">
        <f>INDEX('Lookup 1961'!$A$2:$A$1300, MATCH(S878, 'Lookup 1961'!$B$2:$B$1300,0))</f>
        <v>J04000357</v>
      </c>
      <c r="W878" s="11" t="str">
        <f>INDEX('Lookup 1961'!$F$2:$F$1300, MATCH(S878, 'Lookup 1961'!$B$2:$B$1300,0))</f>
        <v>e381052</v>
      </c>
      <c r="X878" s="11" t="str">
        <f>INDEX('Lookup 1961'!$C$2:$C$1300, MATCH(V878, 'Lookup 1961'!$A$2:$A$1300,0))</f>
        <v>West Sussex</v>
      </c>
    </row>
    <row r="879" spans="1:24" ht="25.05" customHeight="1" x14ac:dyDescent="0.3">
      <c r="A879" s="2" t="s">
        <v>825</v>
      </c>
      <c r="B879" s="2" t="s">
        <v>825</v>
      </c>
      <c r="C879" s="1">
        <v>21</v>
      </c>
      <c r="D879" s="1">
        <v>6</v>
      </c>
      <c r="E879" s="1">
        <v>14</v>
      </c>
      <c r="F879" s="1">
        <v>0</v>
      </c>
      <c r="K879" s="6">
        <v>1330</v>
      </c>
      <c r="L879" s="6">
        <v>330915</v>
      </c>
      <c r="M879" s="1">
        <v>95.5</v>
      </c>
      <c r="N879" s="1">
        <v>13</v>
      </c>
      <c r="O879" s="1">
        <v>0</v>
      </c>
      <c r="P879" s="1">
        <v>23.7</v>
      </c>
      <c r="Q879" s="11">
        <f>'Table H'!$J$208</f>
        <v>0.93614736910927521</v>
      </c>
      <c r="R879" s="11">
        <f t="shared" si="26"/>
        <v>309785.20664879581</v>
      </c>
      <c r="S879" s="11" t="str">
        <f t="shared" si="27"/>
        <v>Horsham UD</v>
      </c>
      <c r="T879" s="11" t="s">
        <v>5214</v>
      </c>
      <c r="V879" s="11" t="str">
        <f>INDEX('Lookup 1961'!$A$2:$A$1300, MATCH(S879, 'Lookup 1961'!$B$2:$B$1300,0))</f>
        <v>J04000649</v>
      </c>
      <c r="W879" s="11" t="str">
        <f>INDEX('Lookup 1961'!$F$2:$F$1300, MATCH(S879, 'Lookup 1961'!$B$2:$B$1300,0))</f>
        <v>e381053</v>
      </c>
      <c r="X879" s="11" t="str">
        <f>INDEX('Lookup 1961'!$C$2:$C$1300, MATCH(V879, 'Lookup 1961'!$A$2:$A$1300,0))</f>
        <v>West Sussex</v>
      </c>
    </row>
    <row r="880" spans="1:24" ht="25.05" customHeight="1" x14ac:dyDescent="0.3">
      <c r="A880" s="2" t="s">
        <v>826</v>
      </c>
      <c r="B880" s="2" t="s">
        <v>826</v>
      </c>
      <c r="C880" s="1">
        <v>19</v>
      </c>
      <c r="D880" s="1">
        <v>8</v>
      </c>
      <c r="E880" s="1">
        <v>13</v>
      </c>
      <c r="F880" s="1">
        <v>8</v>
      </c>
      <c r="K880" s="6">
        <v>1090</v>
      </c>
      <c r="L880" s="6">
        <v>277876</v>
      </c>
      <c r="M880" s="1">
        <v>78.8</v>
      </c>
      <c r="N880" s="1">
        <v>12</v>
      </c>
      <c r="O880" s="1">
        <v>6</v>
      </c>
      <c r="P880" s="1">
        <v>21.1</v>
      </c>
      <c r="Q880" s="11">
        <f>'Table H'!$J$208</f>
        <v>0.93614736910927521</v>
      </c>
      <c r="R880" s="11">
        <f t="shared" si="26"/>
        <v>260132.88633860895</v>
      </c>
      <c r="S880" s="11" t="str">
        <f t="shared" si="27"/>
        <v>Littlehampton UD</v>
      </c>
      <c r="T880" s="11" t="s">
        <v>5214</v>
      </c>
      <c r="V880" s="11" t="str">
        <f>INDEX('Lookup 1961'!$A$2:$A$1300, MATCH(S880, 'Lookup 1961'!$B$2:$B$1300,0))</f>
        <v>J04000753</v>
      </c>
      <c r="W880" s="11" t="str">
        <f>INDEX('Lookup 1961'!$F$2:$F$1300, MATCH(S880, 'Lookup 1961'!$B$2:$B$1300,0))</f>
        <v>e381054</v>
      </c>
      <c r="X880" s="11" t="str">
        <f>INDEX('Lookup 1961'!$C$2:$C$1300, MATCH(V880, 'Lookup 1961'!$A$2:$A$1300,0))</f>
        <v>West Sussex</v>
      </c>
    </row>
    <row r="881" spans="1:24" ht="25.05" customHeight="1" x14ac:dyDescent="0.3">
      <c r="A881" s="2" t="s">
        <v>827</v>
      </c>
      <c r="B881" s="2" t="s">
        <v>827</v>
      </c>
      <c r="C881" s="1">
        <v>19</v>
      </c>
      <c r="D881" s="1">
        <v>7</v>
      </c>
      <c r="E881" s="1">
        <v>13</v>
      </c>
      <c r="F881" s="1">
        <v>7</v>
      </c>
      <c r="K881" s="6">
        <v>1065</v>
      </c>
      <c r="L881" s="6">
        <v>272197</v>
      </c>
      <c r="M881" s="1">
        <v>84.9</v>
      </c>
      <c r="N881" s="1">
        <v>12</v>
      </c>
      <c r="O881" s="1">
        <v>8</v>
      </c>
      <c r="P881" s="1">
        <v>18.2</v>
      </c>
      <c r="Q881" s="11">
        <f>'Table H'!$J$208</f>
        <v>0.93614736910927521</v>
      </c>
      <c r="R881" s="11">
        <f t="shared" si="26"/>
        <v>254816.50542943738</v>
      </c>
      <c r="S881" s="11" t="str">
        <f t="shared" si="27"/>
        <v>Shoreham-by-Sea UD</v>
      </c>
      <c r="T881" s="11" t="s">
        <v>5214</v>
      </c>
      <c r="V881" s="11" t="str">
        <f>INDEX('Lookup 1961'!$A$2:$A$1300, MATCH(S881, 'Lookup 1961'!$B$2:$B$1300,0))</f>
        <v>J04001139</v>
      </c>
      <c r="W881" s="11" t="str">
        <f>INDEX('Lookup 1961'!$F$2:$F$1300, MATCH(S881, 'Lookup 1961'!$B$2:$B$1300,0))</f>
        <v>e381055</v>
      </c>
      <c r="X881" s="11" t="str">
        <f>INDEX('Lookup 1961'!$C$2:$C$1300, MATCH(V881, 'Lookup 1961'!$A$2:$A$1300,0))</f>
        <v>West Sussex</v>
      </c>
    </row>
    <row r="882" spans="1:24" ht="25.05" customHeight="1" x14ac:dyDescent="0.3">
      <c r="A882" s="2" t="s">
        <v>828</v>
      </c>
      <c r="B882" s="2" t="s">
        <v>828</v>
      </c>
      <c r="C882" s="1">
        <v>19</v>
      </c>
      <c r="D882" s="1">
        <v>3</v>
      </c>
      <c r="E882" s="1">
        <v>13</v>
      </c>
      <c r="F882" s="1">
        <v>8</v>
      </c>
      <c r="K882" s="1">
        <v>726</v>
      </c>
      <c r="L882" s="6">
        <v>184043</v>
      </c>
      <c r="M882" s="1">
        <v>81</v>
      </c>
      <c r="N882" s="1">
        <v>10</v>
      </c>
      <c r="O882" s="1">
        <v>19</v>
      </c>
      <c r="P882" s="1">
        <v>23.5</v>
      </c>
      <c r="Q882" s="11">
        <f>'Table H'!$J$208</f>
        <v>0.93614736910927521</v>
      </c>
      <c r="R882" s="11">
        <f t="shared" si="26"/>
        <v>172291.37025297835</v>
      </c>
      <c r="S882" s="11" t="str">
        <f t="shared" si="27"/>
        <v>Southwick UD</v>
      </c>
      <c r="T882" s="11" t="s">
        <v>5214</v>
      </c>
      <c r="V882" s="11" t="str">
        <f>INDEX('Lookup 1961'!$A$2:$A$1300, MATCH(S882, 'Lookup 1961'!$B$2:$B$1300,0))</f>
        <v>J04001171</v>
      </c>
      <c r="W882" s="11" t="str">
        <f>INDEX('Lookup 1961'!$F$2:$F$1300, MATCH(S882, 'Lookup 1961'!$B$2:$B$1300,0))</f>
        <v>e381056</v>
      </c>
      <c r="X882" s="11" t="str">
        <f>INDEX('Lookup 1961'!$C$2:$C$1300, MATCH(V882, 'Lookup 1961'!$A$2:$A$1300,0))</f>
        <v>West Sussex</v>
      </c>
    </row>
    <row r="883" spans="1:24" ht="25.05" customHeight="1" x14ac:dyDescent="0.3">
      <c r="A883" s="2" t="s">
        <v>829</v>
      </c>
      <c r="B883" s="2" t="s">
        <v>829</v>
      </c>
      <c r="S883" s="11" t="str">
        <f t="shared" si="27"/>
        <v xml:space="preserve">WARWICK: </v>
      </c>
      <c r="V883" s="11" t="e">
        <f>INDEX('Lookup 1961'!$A$2:$A$1300, MATCH(S883, 'Lookup 1961'!$B$2:$B$1300,0))</f>
        <v>#N/A</v>
      </c>
      <c r="W883" s="11" t="e">
        <f>INDEX('Lookup 1961'!$F$2:$F$1300, MATCH(S883, 'Lookup 1961'!$B$2:$B$1300,0))</f>
        <v>#N/A</v>
      </c>
      <c r="X883" s="11" t="e">
        <f>INDEX('Lookup 1961'!$C$2:$C$1300, MATCH(V883, 'Lookup 1961'!$A$2:$A$1300,0))</f>
        <v>#N/A</v>
      </c>
    </row>
    <row r="884" spans="1:24" ht="25.05" customHeight="1" x14ac:dyDescent="0.3">
      <c r="A884" s="2" t="s">
        <v>146</v>
      </c>
      <c r="B884" s="2" t="s">
        <v>5257</v>
      </c>
      <c r="S884" s="11" t="str">
        <f t="shared" si="27"/>
        <v xml:space="preserve">Non County Boroughs  </v>
      </c>
      <c r="V884" s="11" t="e">
        <f>INDEX('Lookup 1961'!$A$2:$A$1300, MATCH(S884, 'Lookup 1961'!$B$2:$B$1300,0))</f>
        <v>#N/A</v>
      </c>
      <c r="W884" s="11" t="e">
        <f>INDEX('Lookup 1961'!$F$2:$F$1300, MATCH(S884, 'Lookup 1961'!$B$2:$B$1300,0))</f>
        <v>#N/A</v>
      </c>
      <c r="X884" s="11" t="e">
        <f>INDEX('Lookup 1961'!$C$2:$C$1300, MATCH(V884, 'Lookup 1961'!$A$2:$A$1300,0))</f>
        <v>#N/A</v>
      </c>
    </row>
    <row r="885" spans="1:24" ht="25.05" customHeight="1" x14ac:dyDescent="0.3">
      <c r="A885" s="5" t="s">
        <v>830</v>
      </c>
      <c r="B885" s="5" t="s">
        <v>5388</v>
      </c>
      <c r="C885" s="1">
        <v>25</v>
      </c>
      <c r="D885" s="1">
        <v>0</v>
      </c>
      <c r="E885" s="1">
        <v>18</v>
      </c>
      <c r="F885" s="1">
        <v>0</v>
      </c>
      <c r="K885" s="6">
        <v>2376</v>
      </c>
      <c r="L885" s="6">
        <v>607718</v>
      </c>
      <c r="M885" s="1">
        <v>61.9</v>
      </c>
      <c r="N885" s="1">
        <v>13</v>
      </c>
      <c r="O885" s="1">
        <v>19</v>
      </c>
      <c r="P885" s="1">
        <v>14.5</v>
      </c>
      <c r="Q885" s="11">
        <f>'Table H'!$J$212</f>
        <v>0.94392782169612932</v>
      </c>
      <c r="R885" s="11">
        <f t="shared" si="26"/>
        <v>573641.9279455283</v>
      </c>
      <c r="S885" s="11" t="str">
        <f t="shared" si="27"/>
        <v>Royal Leamington Spa MB</v>
      </c>
      <c r="T885" s="11" t="s">
        <v>5211</v>
      </c>
      <c r="V885" s="11" t="str">
        <f>INDEX('Lookup 1961'!$A$2:$A$1300, MATCH(S885, 'Lookup 1961'!$B$2:$B$1300,0))</f>
        <v>J04001072</v>
      </c>
      <c r="W885" s="11" t="str">
        <f>INDEX('Lookup 1961'!$F$2:$F$1300, MATCH(S885, 'Lookup 1961'!$B$2:$B$1300,0))</f>
        <v>e391072</v>
      </c>
      <c r="X885" s="11" t="str">
        <f>INDEX('Lookup 1961'!$C$2:$C$1300, MATCH(V885, 'Lookup 1961'!$A$2:$A$1300,0))</f>
        <v>Warwickshire</v>
      </c>
    </row>
    <row r="886" spans="1:24" ht="25.05" customHeight="1" x14ac:dyDescent="0.3">
      <c r="A886" s="2" t="s">
        <v>831</v>
      </c>
      <c r="B886" s="2" t="s">
        <v>831</v>
      </c>
      <c r="C886" s="1">
        <v>26</v>
      </c>
      <c r="D886" s="1">
        <v>6</v>
      </c>
      <c r="E886" s="1">
        <v>18</v>
      </c>
      <c r="F886" s="1">
        <v>6</v>
      </c>
      <c r="K886" s="6">
        <v>2325</v>
      </c>
      <c r="L886" s="6">
        <v>595104</v>
      </c>
      <c r="M886" s="1">
        <v>87.8</v>
      </c>
      <c r="N886" s="1">
        <v>9</v>
      </c>
      <c r="O886" s="1">
        <v>4</v>
      </c>
      <c r="P886" s="1">
        <v>23.8</v>
      </c>
      <c r="Q886" s="11">
        <f>'Table H'!$J$212</f>
        <v>0.94392782169612932</v>
      </c>
      <c r="R886" s="11">
        <f t="shared" si="26"/>
        <v>561735.22240265331</v>
      </c>
      <c r="S886" s="11" t="str">
        <f t="shared" si="27"/>
        <v>Nuneaton MB</v>
      </c>
      <c r="T886" s="11" t="s">
        <v>5211</v>
      </c>
      <c r="V886" s="11" t="str">
        <f>INDEX('Lookup 1961'!$A$2:$A$1300, MATCH(S886, 'Lookup 1961'!$B$2:$B$1300,0))</f>
        <v>J04000943</v>
      </c>
      <c r="W886" s="11" t="str">
        <f>INDEX('Lookup 1961'!$F$2:$F$1300, MATCH(S886, 'Lookup 1961'!$B$2:$B$1300,0))</f>
        <v>e391071</v>
      </c>
      <c r="X886" s="11" t="str">
        <f>INDEX('Lookup 1961'!$C$2:$C$1300, MATCH(V886, 'Lookup 1961'!$A$2:$A$1300,0))</f>
        <v>Warwickshire</v>
      </c>
    </row>
    <row r="887" spans="1:24" ht="25.05" customHeight="1" x14ac:dyDescent="0.3">
      <c r="A887" s="2" t="s">
        <v>832</v>
      </c>
      <c r="B887" s="2" t="s">
        <v>832</v>
      </c>
      <c r="C887" s="1">
        <v>23</v>
      </c>
      <c r="D887" s="1">
        <v>4</v>
      </c>
      <c r="E887" s="1">
        <v>15</v>
      </c>
      <c r="F887" s="1">
        <v>10</v>
      </c>
      <c r="K887" s="6">
        <v>2615</v>
      </c>
      <c r="L887" s="6">
        <v>667789</v>
      </c>
      <c r="M887" s="1">
        <v>73.400000000000006</v>
      </c>
      <c r="N887" s="1">
        <v>10</v>
      </c>
      <c r="O887" s="1">
        <v>18</v>
      </c>
      <c r="P887" s="1">
        <v>17</v>
      </c>
      <c r="Q887" s="11">
        <f>'Table H'!$J$212</f>
        <v>0.94392782169612932</v>
      </c>
      <c r="R887" s="11">
        <f t="shared" si="26"/>
        <v>630344.61612263648</v>
      </c>
      <c r="S887" s="11" t="str">
        <f t="shared" si="27"/>
        <v>Rugby MB</v>
      </c>
      <c r="T887" s="11" t="s">
        <v>5211</v>
      </c>
      <c r="V887" s="11" t="str">
        <f>INDEX('Lookup 1961'!$A$2:$A$1300, MATCH(S887, 'Lookup 1961'!$B$2:$B$1300,0))</f>
        <v>J04001077</v>
      </c>
      <c r="W887" s="11" t="str">
        <f>INDEX('Lookup 1961'!$F$2:$F$1300, MATCH(S887, 'Lookup 1961'!$B$2:$B$1300,0))</f>
        <v>e391073</v>
      </c>
      <c r="X887" s="11" t="str">
        <f>INDEX('Lookup 1961'!$C$2:$C$1300, MATCH(V887, 'Lookup 1961'!$A$2:$A$1300,0))</f>
        <v>Warwickshire</v>
      </c>
    </row>
    <row r="888" spans="1:24" ht="25.05" customHeight="1" x14ac:dyDescent="0.3">
      <c r="A888" s="2" t="s">
        <v>833</v>
      </c>
      <c r="B888" s="2" t="s">
        <v>833</v>
      </c>
      <c r="C888" s="1">
        <v>24</v>
      </c>
      <c r="D888" s="1">
        <v>6</v>
      </c>
      <c r="E888" s="1">
        <v>16</v>
      </c>
      <c r="F888" s="1">
        <v>4</v>
      </c>
      <c r="K888" s="6">
        <v>4375</v>
      </c>
      <c r="L888" s="6">
        <v>1111256</v>
      </c>
      <c r="M888" s="1">
        <v>95.1</v>
      </c>
      <c r="N888" s="1">
        <v>11</v>
      </c>
      <c r="O888" s="1">
        <v>9</v>
      </c>
      <c r="P888" s="1">
        <v>16.399999999999999</v>
      </c>
      <c r="Q888" s="11">
        <f>'Table H'!$J$212</f>
        <v>0.94392782169612932</v>
      </c>
      <c r="R888" s="11">
        <f t="shared" si="26"/>
        <v>1048945.455426754</v>
      </c>
      <c r="S888" s="11" t="str">
        <f t="shared" si="27"/>
        <v>Solihull MB</v>
      </c>
      <c r="T888" s="11" t="s">
        <v>5211</v>
      </c>
      <c r="V888" s="11" t="str">
        <f>INDEX('Lookup 1961'!$A$2:$A$1300, MATCH(S888, 'Lookup 1961'!$B$2:$B$1300,0))</f>
        <v>J04001154</v>
      </c>
      <c r="W888" s="11" t="str">
        <f>INDEX('Lookup 1961'!$F$2:$F$1300, MATCH(S888, 'Lookup 1961'!$B$2:$B$1300,0))</f>
        <v>e391068</v>
      </c>
      <c r="X888" s="11" t="str">
        <f>INDEX('Lookup 1961'!$C$2:$C$1300, MATCH(V888, 'Lookup 1961'!$A$2:$A$1300,0))</f>
        <v>West Midlands</v>
      </c>
    </row>
    <row r="889" spans="1:24" ht="25.05" customHeight="1" x14ac:dyDescent="0.3">
      <c r="A889" s="2" t="s">
        <v>834</v>
      </c>
      <c r="B889" s="2" t="s">
        <v>5281</v>
      </c>
      <c r="C889" s="1">
        <v>24</v>
      </c>
      <c r="D889" s="1">
        <v>6</v>
      </c>
      <c r="E889" s="1">
        <v>16</v>
      </c>
      <c r="F889" s="1">
        <v>0</v>
      </c>
      <c r="K889" s="6">
        <v>1131</v>
      </c>
      <c r="L889" s="6">
        <v>292109</v>
      </c>
      <c r="M889" s="1">
        <v>96</v>
      </c>
      <c r="N889" s="1">
        <v>15</v>
      </c>
      <c r="O889" s="1">
        <v>6</v>
      </c>
      <c r="P889" s="1">
        <v>26.2</v>
      </c>
      <c r="Q889" s="11">
        <f>'Table H'!$J$212</f>
        <v>0.94392782169612932</v>
      </c>
      <c r="R889" s="11">
        <f t="shared" si="26"/>
        <v>275729.81206783466</v>
      </c>
      <c r="S889" s="11" t="str">
        <f t="shared" si="27"/>
        <v>Stratford upon Avon MB</v>
      </c>
      <c r="T889" s="11" t="s">
        <v>5211</v>
      </c>
      <c r="V889" s="11" t="str">
        <f>INDEX('Lookup 1961'!$A$2:$A$1300, MATCH(S889, 'Lookup 1961'!$B$2:$B$1300,0))</f>
        <v>J04001220</v>
      </c>
      <c r="W889" s="11" t="str">
        <f>INDEX('Lookup 1961'!$F$2:$F$1300, MATCH(S889, 'Lookup 1961'!$B$2:$B$1300,0))</f>
        <v>e391087</v>
      </c>
      <c r="X889" s="11" t="str">
        <f>INDEX('Lookup 1961'!$C$2:$C$1300, MATCH(V889, 'Lookup 1961'!$A$2:$A$1300,0))</f>
        <v>Warwickshire</v>
      </c>
    </row>
    <row r="890" spans="1:24" ht="25.05" customHeight="1" x14ac:dyDescent="0.3">
      <c r="A890" s="2" t="s">
        <v>835</v>
      </c>
      <c r="B890" s="2" t="s">
        <v>835</v>
      </c>
      <c r="C890" s="1">
        <v>22</v>
      </c>
      <c r="D890" s="1">
        <v>0</v>
      </c>
      <c r="E890" s="1">
        <v>16</v>
      </c>
      <c r="F890" s="1">
        <v>0</v>
      </c>
      <c r="K890" s="6">
        <v>3650</v>
      </c>
      <c r="L890" s="6">
        <v>908422</v>
      </c>
      <c r="M890" s="1">
        <v>80.900000000000006</v>
      </c>
      <c r="N890" s="1">
        <v>13</v>
      </c>
      <c r="O890" s="1">
        <v>11</v>
      </c>
      <c r="P890" s="1">
        <v>22.6</v>
      </c>
      <c r="Q890" s="11">
        <f>'Table H'!$J$212</f>
        <v>0.94392782169612932</v>
      </c>
      <c r="R890" s="11">
        <f t="shared" si="26"/>
        <v>857484.7996408412</v>
      </c>
      <c r="S890" s="11" t="str">
        <f t="shared" si="27"/>
        <v>Sutton Coldfield MB</v>
      </c>
      <c r="T890" s="11" t="s">
        <v>5211</v>
      </c>
      <c r="V890" s="11" t="str">
        <f>INDEX('Lookup 1961'!$A$2:$A$1300, MATCH(S890, 'Lookup 1961'!$B$2:$B$1300,0))</f>
        <v>J04001235</v>
      </c>
      <c r="W890" s="11" t="str">
        <f>INDEX('Lookup 1961'!$F$2:$F$1300, MATCH(S890, 'Lookup 1961'!$B$2:$B$1300,0))</f>
        <v>e391075</v>
      </c>
      <c r="X890" s="11" t="str">
        <f>INDEX('Lookup 1961'!$C$2:$C$1300, MATCH(V890, 'Lookup 1961'!$A$2:$A$1300,0))</f>
        <v>West Midlands</v>
      </c>
    </row>
    <row r="891" spans="1:24" ht="25.05" customHeight="1" x14ac:dyDescent="0.3">
      <c r="A891" s="2" t="s">
        <v>836</v>
      </c>
      <c r="B891" s="2" t="s">
        <v>836</v>
      </c>
      <c r="C891" s="1">
        <v>25</v>
      </c>
      <c r="D891" s="1">
        <v>6</v>
      </c>
      <c r="E891" s="1">
        <v>18</v>
      </c>
      <c r="F891" s="1">
        <v>6</v>
      </c>
      <c r="K891" s="1">
        <v>876</v>
      </c>
      <c r="L891" s="6">
        <v>226794</v>
      </c>
      <c r="M891" s="1">
        <v>83.1</v>
      </c>
      <c r="N891" s="1">
        <v>12</v>
      </c>
      <c r="O891" s="1">
        <v>5</v>
      </c>
      <c r="P891" s="1">
        <v>24.3</v>
      </c>
      <c r="Q891" s="11">
        <f>'Table H'!$J$212</f>
        <v>0.94392782169612932</v>
      </c>
      <c r="R891" s="11">
        <f t="shared" si="26"/>
        <v>214077.16639375195</v>
      </c>
      <c r="S891" s="11" t="str">
        <f t="shared" si="27"/>
        <v>Warwick MB</v>
      </c>
      <c r="T891" s="11" t="s">
        <v>5211</v>
      </c>
      <c r="V891" s="11" t="str">
        <f>INDEX('Lookup 1961'!$A$2:$A$1300, MATCH(S891, 'Lookup 1961'!$B$2:$B$1300,0))</f>
        <v>J04001349</v>
      </c>
      <c r="W891" s="11" t="str">
        <f>INDEX('Lookup 1961'!$F$2:$F$1300, MATCH(S891, 'Lookup 1961'!$B$2:$B$1300,0))</f>
        <v>e391076</v>
      </c>
      <c r="X891" s="11" t="str">
        <f>INDEX('Lookup 1961'!$C$2:$C$1300, MATCH(V891, 'Lookup 1961'!$A$2:$A$1300,0))</f>
        <v>Warwickshire</v>
      </c>
    </row>
    <row r="892" spans="1:24" ht="25.05" customHeight="1" x14ac:dyDescent="0.3">
      <c r="A892" s="2" t="s">
        <v>150</v>
      </c>
      <c r="B892" s="2" t="s">
        <v>1221</v>
      </c>
      <c r="S892" s="11" t="str">
        <f t="shared" si="27"/>
        <v xml:space="preserve">Urban Districts  </v>
      </c>
      <c r="V892" s="11" t="e">
        <f>INDEX('Lookup 1961'!$A$2:$A$1300, MATCH(S892, 'Lookup 1961'!$B$2:$B$1300,0))</f>
        <v>#N/A</v>
      </c>
      <c r="W892" s="11" t="e">
        <f>INDEX('Lookup 1961'!$F$2:$F$1300, MATCH(S892, 'Lookup 1961'!$B$2:$B$1300,0))</f>
        <v>#N/A</v>
      </c>
      <c r="X892" s="11" t="e">
        <f>INDEX('Lookup 1961'!$C$2:$C$1300, MATCH(V892, 'Lookup 1961'!$A$2:$A$1300,0))</f>
        <v>#N/A</v>
      </c>
    </row>
    <row r="893" spans="1:24" ht="25.05" customHeight="1" x14ac:dyDescent="0.3">
      <c r="A893" s="2" t="s">
        <v>837</v>
      </c>
      <c r="B893" s="2" t="s">
        <v>837</v>
      </c>
      <c r="C893" s="1">
        <v>26</v>
      </c>
      <c r="D893" s="1">
        <v>4</v>
      </c>
      <c r="E893" s="1">
        <v>17</v>
      </c>
      <c r="F893" s="1">
        <v>4</v>
      </c>
      <c r="K893" s="6">
        <v>1000</v>
      </c>
      <c r="L893" s="6">
        <v>250033</v>
      </c>
      <c r="M893" s="1">
        <v>87.4</v>
      </c>
      <c r="N893" s="1">
        <v>7</v>
      </c>
      <c r="O893" s="1">
        <v>11</v>
      </c>
      <c r="P893" s="1">
        <v>19.5</v>
      </c>
      <c r="Q893" s="11">
        <f>'Table H'!$J$213</f>
        <v>0.95026396430030047</v>
      </c>
      <c r="R893" s="11">
        <f t="shared" si="26"/>
        <v>237597.34978589704</v>
      </c>
      <c r="S893" s="11" t="str">
        <f t="shared" si="27"/>
        <v>Bedworth UD</v>
      </c>
      <c r="T893" s="11" t="s">
        <v>5214</v>
      </c>
      <c r="V893" s="11" t="str">
        <f>INDEX('Lookup 1961'!$A$2:$A$1300, MATCH(S893, 'Lookup 1961'!$B$2:$B$1300,0))</f>
        <v>J04000117</v>
      </c>
      <c r="W893" s="11" t="str">
        <f>INDEX('Lookup 1961'!$F$2:$F$1300, MATCH(S893, 'Lookup 1961'!$B$2:$B$1300,0))</f>
        <v>e391069</v>
      </c>
      <c r="X893" s="11" t="str">
        <f>INDEX('Lookup 1961'!$C$2:$C$1300, MATCH(V893, 'Lookup 1961'!$A$2:$A$1300,0))</f>
        <v>Warwickshire</v>
      </c>
    </row>
    <row r="894" spans="1:24" ht="25.05" customHeight="1" x14ac:dyDescent="0.3">
      <c r="A894" s="2" t="s">
        <v>838</v>
      </c>
      <c r="B894" s="2" t="s">
        <v>838</v>
      </c>
      <c r="C894" s="1">
        <v>24</v>
      </c>
      <c r="D894" s="1">
        <v>6</v>
      </c>
      <c r="E894" s="1">
        <v>16</v>
      </c>
      <c r="F894" s="1">
        <v>8</v>
      </c>
      <c r="K894" s="1">
        <v>570</v>
      </c>
      <c r="L894" s="6">
        <v>149074</v>
      </c>
      <c r="M894" s="1">
        <v>71</v>
      </c>
      <c r="N894" s="1">
        <v>9</v>
      </c>
      <c r="O894" s="1">
        <v>12</v>
      </c>
      <c r="P894" s="1">
        <v>6.3</v>
      </c>
      <c r="Q894" s="11">
        <f>'Table H'!$J$213</f>
        <v>0.95026396430030047</v>
      </c>
      <c r="R894" s="11">
        <f t="shared" si="26"/>
        <v>141659.65021410299</v>
      </c>
      <c r="S894" s="11" t="str">
        <f t="shared" si="27"/>
        <v>Kenilworth UD</v>
      </c>
      <c r="T894" s="11" t="s">
        <v>5214</v>
      </c>
      <c r="V894" s="11" t="str">
        <f>INDEX('Lookup 1961'!$A$2:$A$1300, MATCH(S894, 'Lookup 1961'!$B$2:$B$1300,0))</f>
        <v>J04000683</v>
      </c>
      <c r="W894" s="11" t="str">
        <f>INDEX('Lookup 1961'!$F$2:$F$1300, MATCH(S894, 'Lookup 1961'!$B$2:$B$1300,0))</f>
        <v>e391070</v>
      </c>
      <c r="X894" s="11" t="str">
        <f>INDEX('Lookup 1961'!$C$2:$C$1300, MATCH(V894, 'Lookup 1961'!$A$2:$A$1300,0))</f>
        <v>Warwickshire</v>
      </c>
    </row>
    <row r="895" spans="1:24" ht="25.05" customHeight="1" x14ac:dyDescent="0.3">
      <c r="A895" s="2" t="s">
        <v>839</v>
      </c>
      <c r="B895" s="2" t="s">
        <v>839</v>
      </c>
      <c r="S895" s="11" t="str">
        <f t="shared" si="27"/>
        <v xml:space="preserve">WESTMORLAND: </v>
      </c>
      <c r="V895" s="11" t="e">
        <f>INDEX('Lookup 1961'!$A$2:$A$1300, MATCH(S895, 'Lookup 1961'!$B$2:$B$1300,0))</f>
        <v>#N/A</v>
      </c>
      <c r="W895" s="11" t="e">
        <f>INDEX('Lookup 1961'!$F$2:$F$1300, MATCH(S895, 'Lookup 1961'!$B$2:$B$1300,0))</f>
        <v>#N/A</v>
      </c>
      <c r="X895" s="11" t="e">
        <f>INDEX('Lookup 1961'!$C$2:$C$1300, MATCH(V895, 'Lookup 1961'!$A$2:$A$1300,0))</f>
        <v>#N/A</v>
      </c>
    </row>
    <row r="896" spans="1:24" ht="25.05" customHeight="1" x14ac:dyDescent="0.3">
      <c r="A896" s="2" t="s">
        <v>146</v>
      </c>
      <c r="B896" s="2" t="s">
        <v>5257</v>
      </c>
      <c r="S896" s="11" t="str">
        <f t="shared" si="27"/>
        <v xml:space="preserve">Non County Boroughs  </v>
      </c>
      <c r="V896" s="11" t="e">
        <f>INDEX('Lookup 1961'!$A$2:$A$1300, MATCH(S896, 'Lookup 1961'!$B$2:$B$1300,0))</f>
        <v>#N/A</v>
      </c>
      <c r="W896" s="11" t="e">
        <f>INDEX('Lookup 1961'!$F$2:$F$1300, MATCH(S896, 'Lookup 1961'!$B$2:$B$1300,0))</f>
        <v>#N/A</v>
      </c>
      <c r="X896" s="11" t="e">
        <f>INDEX('Lookup 1961'!$C$2:$C$1300, MATCH(V896, 'Lookup 1961'!$A$2:$A$1300,0))</f>
        <v>#N/A</v>
      </c>
    </row>
    <row r="897" spans="1:24" ht="25.05" customHeight="1" x14ac:dyDescent="0.3">
      <c r="A897" s="2" t="s">
        <v>840</v>
      </c>
      <c r="B897" s="2" t="s">
        <v>840</v>
      </c>
      <c r="C897" s="1">
        <v>25</v>
      </c>
      <c r="D897" s="1">
        <v>0</v>
      </c>
      <c r="E897" s="1">
        <v>18</v>
      </c>
      <c r="F897" s="1">
        <v>6</v>
      </c>
      <c r="K897" s="1">
        <v>68</v>
      </c>
      <c r="L897" s="6">
        <v>17328</v>
      </c>
      <c r="M897" s="1">
        <v>56.5</v>
      </c>
      <c r="N897" s="1">
        <v>9</v>
      </c>
      <c r="O897" s="1">
        <v>9</v>
      </c>
      <c r="P897" s="1">
        <v>17.8</v>
      </c>
      <c r="Q897" s="11">
        <f>'Table H'!$J$217</f>
        <v>0.96196585650158439</v>
      </c>
      <c r="R897" s="11">
        <f t="shared" si="26"/>
        <v>16668.944361459453</v>
      </c>
      <c r="S897" s="11" t="str">
        <f t="shared" si="27"/>
        <v>Appleby MB</v>
      </c>
      <c r="T897" s="11" t="s">
        <v>5211</v>
      </c>
      <c r="V897" s="11" t="str">
        <f>INDEX('Lookup 1961'!$A$2:$A$1300, MATCH(S897, 'Lookup 1961'!$B$2:$B$1300,0))</f>
        <v>J04000045</v>
      </c>
      <c r="W897" s="11" t="str">
        <f>INDEX('Lookup 1961'!$F$2:$F$1300, MATCH(S897, 'Lookup 1961'!$B$2:$B$1300,0))</f>
        <v>e401090</v>
      </c>
      <c r="X897" s="11" t="str">
        <f>INDEX('Lookup 1961'!$C$2:$C$1300, MATCH(V897, 'Lookup 1961'!$A$2:$A$1300,0))</f>
        <v>Cumbria</v>
      </c>
    </row>
    <row r="898" spans="1:24" ht="25.05" customHeight="1" x14ac:dyDescent="0.3">
      <c r="A898" s="2" t="s">
        <v>841</v>
      </c>
      <c r="B898" s="2" t="s">
        <v>841</v>
      </c>
      <c r="C898" s="1">
        <v>24</v>
      </c>
      <c r="D898" s="1">
        <v>2</v>
      </c>
      <c r="E898" s="1">
        <v>16</v>
      </c>
      <c r="F898" s="1">
        <v>6</v>
      </c>
      <c r="K898" s="1">
        <v>975</v>
      </c>
      <c r="L898" s="6">
        <v>241755</v>
      </c>
      <c r="M898" s="1">
        <v>60.5</v>
      </c>
      <c r="N898" s="1">
        <v>10</v>
      </c>
      <c r="O898" s="1">
        <v>13</v>
      </c>
      <c r="P898" s="1">
        <v>10.9</v>
      </c>
      <c r="Q898" s="11">
        <f>'Table H'!$J$217</f>
        <v>0.96196585650158439</v>
      </c>
      <c r="R898" s="11">
        <f t="shared" si="26"/>
        <v>232560.05563854054</v>
      </c>
      <c r="S898" s="11" t="str">
        <f t="shared" si="27"/>
        <v>Kendal MB</v>
      </c>
      <c r="T898" s="11" t="s">
        <v>5211</v>
      </c>
      <c r="V898" s="11" t="str">
        <f>INDEX('Lookup 1961'!$A$2:$A$1300, MATCH(S898, 'Lookup 1961'!$B$2:$B$1300,0))</f>
        <v>J04000682</v>
      </c>
      <c r="W898" s="11" t="str">
        <f>INDEX('Lookup 1961'!$F$2:$F$1300, MATCH(S898, 'Lookup 1961'!$B$2:$B$1300,0))</f>
        <v>e401091</v>
      </c>
      <c r="X898" s="11" t="str">
        <f>INDEX('Lookup 1961'!$C$2:$C$1300, MATCH(V898, 'Lookup 1961'!$A$2:$A$1300,0))</f>
        <v>Cumbria</v>
      </c>
    </row>
    <row r="899" spans="1:24" ht="25.05" customHeight="1" x14ac:dyDescent="0.3">
      <c r="A899" s="2" t="s">
        <v>150</v>
      </c>
      <c r="B899" s="2" t="s">
        <v>1221</v>
      </c>
      <c r="S899" s="11" t="str">
        <f t="shared" si="27"/>
        <v xml:space="preserve">Urban Districts  </v>
      </c>
      <c r="V899" s="11" t="e">
        <f>INDEX('Lookup 1961'!$A$2:$A$1300, MATCH(S899, 'Lookup 1961'!$B$2:$B$1300,0))</f>
        <v>#N/A</v>
      </c>
      <c r="W899" s="11" t="e">
        <f>INDEX('Lookup 1961'!$F$2:$F$1300, MATCH(S899, 'Lookup 1961'!$B$2:$B$1300,0))</f>
        <v>#N/A</v>
      </c>
      <c r="X899" s="11" t="e">
        <f>INDEX('Lookup 1961'!$C$2:$C$1300, MATCH(V899, 'Lookup 1961'!$A$2:$A$1300,0))</f>
        <v>#N/A</v>
      </c>
    </row>
    <row r="900" spans="1:24" ht="25.05" customHeight="1" x14ac:dyDescent="0.3">
      <c r="A900" s="2" t="s">
        <v>842</v>
      </c>
      <c r="B900" s="2" t="s">
        <v>842</v>
      </c>
      <c r="C900" s="1">
        <v>25</v>
      </c>
      <c r="D900" s="1">
        <v>6</v>
      </c>
      <c r="E900" s="1">
        <v>17</v>
      </c>
      <c r="F900" s="1">
        <v>6</v>
      </c>
      <c r="K900" s="1">
        <v>337</v>
      </c>
      <c r="L900" s="6">
        <v>85224</v>
      </c>
      <c r="M900" s="1">
        <v>54</v>
      </c>
      <c r="N900" s="1">
        <v>12</v>
      </c>
      <c r="O900" s="1">
        <v>19</v>
      </c>
      <c r="P900" s="1">
        <v>5.4</v>
      </c>
      <c r="Q900" s="11">
        <f>'Table H'!$J$218</f>
        <v>0.98426421387573027</v>
      </c>
      <c r="R900" s="11">
        <f t="shared" ref="R900:R963" si="28">Q900*L900</f>
        <v>83882.933363345233</v>
      </c>
      <c r="S900" s="11" t="str">
        <f t="shared" si="27"/>
        <v>Lakes UD</v>
      </c>
      <c r="T900" s="11" t="s">
        <v>5214</v>
      </c>
      <c r="V900" s="11" t="str">
        <f>INDEX('Lookup 1961'!$A$2:$A$1300, MATCH(S900, 'Lookup 1961'!$B$2:$B$1300,0))</f>
        <v>J04000715</v>
      </c>
      <c r="W900" s="11" t="str">
        <f>INDEX('Lookup 1961'!$F$2:$F$1300, MATCH(S900, 'Lookup 1961'!$B$2:$B$1300,0))</f>
        <v>e401092</v>
      </c>
      <c r="X900" s="11" t="str">
        <f>INDEX('Lookup 1961'!$C$2:$C$1300, MATCH(V900, 'Lookup 1961'!$A$2:$A$1300,0))</f>
        <v>Cumbria</v>
      </c>
    </row>
    <row r="901" spans="1:24" ht="25.05" customHeight="1" x14ac:dyDescent="0.3">
      <c r="A901" s="2" t="s">
        <v>843</v>
      </c>
      <c r="B901" s="2" t="s">
        <v>843</v>
      </c>
      <c r="C901" s="1">
        <v>25</v>
      </c>
      <c r="D901" s="1">
        <v>0</v>
      </c>
      <c r="E901" s="1">
        <v>17</v>
      </c>
      <c r="F901" s="1">
        <v>9</v>
      </c>
      <c r="K901" s="1">
        <v>428</v>
      </c>
      <c r="L901" s="6">
        <v>110254</v>
      </c>
      <c r="M901" s="1">
        <v>41.7</v>
      </c>
      <c r="N901" s="1">
        <v>14</v>
      </c>
      <c r="O901" s="1">
        <v>14</v>
      </c>
      <c r="P901" s="1">
        <v>2.2000000000000002</v>
      </c>
      <c r="Q901" s="11">
        <f>'Table H'!$J$218</f>
        <v>0.98426421387573027</v>
      </c>
      <c r="R901" s="11">
        <f t="shared" si="28"/>
        <v>108519.06663665477</v>
      </c>
      <c r="S901" s="11" t="str">
        <f t="shared" ref="S901:S964" si="29">_xlfn.CONCAT(B901," ",T901)</f>
        <v>Windermere UD</v>
      </c>
      <c r="T901" s="11" t="s">
        <v>5214</v>
      </c>
      <c r="V901" s="11" t="str">
        <f>INDEX('Lookup 1961'!$A$2:$A$1300, MATCH(S901, 'Lookup 1961'!$B$2:$B$1300,0))</f>
        <v>J04001424</v>
      </c>
      <c r="W901" s="11" t="str">
        <f>INDEX('Lookup 1961'!$F$2:$F$1300, MATCH(S901, 'Lookup 1961'!$B$2:$B$1300,0))</f>
        <v>e401093</v>
      </c>
      <c r="X901" s="11" t="str">
        <f>INDEX('Lookup 1961'!$C$2:$C$1300, MATCH(V901, 'Lookup 1961'!$A$2:$A$1300,0))</f>
        <v>Cumbria</v>
      </c>
    </row>
    <row r="902" spans="1:24" ht="25.05" customHeight="1" x14ac:dyDescent="0.3">
      <c r="A902" s="2" t="s">
        <v>844</v>
      </c>
      <c r="B902" s="2" t="s">
        <v>844</v>
      </c>
      <c r="S902" s="11" t="str">
        <f t="shared" si="29"/>
        <v xml:space="preserve">WILTS: </v>
      </c>
      <c r="V902" s="11" t="e">
        <f>INDEX('Lookup 1961'!$A$2:$A$1300, MATCH(S902, 'Lookup 1961'!$B$2:$B$1300,0))</f>
        <v>#N/A</v>
      </c>
      <c r="W902" s="11" t="e">
        <f>INDEX('Lookup 1961'!$F$2:$F$1300, MATCH(S902, 'Lookup 1961'!$B$2:$B$1300,0))</f>
        <v>#N/A</v>
      </c>
      <c r="X902" s="11" t="e">
        <f>INDEX('Lookup 1961'!$C$2:$C$1300, MATCH(V902, 'Lookup 1961'!$A$2:$A$1300,0))</f>
        <v>#N/A</v>
      </c>
    </row>
    <row r="903" spans="1:24" ht="25.05" customHeight="1" x14ac:dyDescent="0.3">
      <c r="A903" s="2" t="s">
        <v>146</v>
      </c>
      <c r="B903" s="2" t="s">
        <v>5257</v>
      </c>
      <c r="S903" s="11" t="str">
        <f t="shared" si="29"/>
        <v xml:space="preserve">Non County Boroughs  </v>
      </c>
      <c r="V903" s="11" t="e">
        <f>INDEX('Lookup 1961'!$A$2:$A$1300, MATCH(S903, 'Lookup 1961'!$B$2:$B$1300,0))</f>
        <v>#N/A</v>
      </c>
      <c r="W903" s="11" t="e">
        <f>INDEX('Lookup 1961'!$F$2:$F$1300, MATCH(S903, 'Lookup 1961'!$B$2:$B$1300,0))</f>
        <v>#N/A</v>
      </c>
      <c r="X903" s="11" t="e">
        <f>INDEX('Lookup 1961'!$C$2:$C$1300, MATCH(V903, 'Lookup 1961'!$A$2:$A$1300,0))</f>
        <v>#N/A</v>
      </c>
    </row>
    <row r="904" spans="1:24" ht="25.05" customHeight="1" x14ac:dyDescent="0.3">
      <c r="A904" s="2" t="s">
        <v>845</v>
      </c>
      <c r="B904" s="2" t="s">
        <v>845</v>
      </c>
      <c r="C904" s="1">
        <v>23</v>
      </c>
      <c r="D904" s="1">
        <v>0</v>
      </c>
      <c r="E904" s="1">
        <v>16</v>
      </c>
      <c r="F904" s="1">
        <v>4</v>
      </c>
      <c r="K904" s="1">
        <v>270</v>
      </c>
      <c r="L904" s="6">
        <v>66319</v>
      </c>
      <c r="M904" s="1">
        <v>67.099999999999994</v>
      </c>
      <c r="N904" s="1">
        <v>8</v>
      </c>
      <c r="O904" s="1">
        <v>9</v>
      </c>
      <c r="P904" s="1">
        <v>14.7</v>
      </c>
      <c r="Q904" s="11">
        <f>'Table H'!$J$222</f>
        <v>0.95052241149476757</v>
      </c>
      <c r="R904" s="11">
        <f t="shared" si="28"/>
        <v>63037.695807921489</v>
      </c>
      <c r="S904" s="11" t="str">
        <f t="shared" si="29"/>
        <v>Calne MB</v>
      </c>
      <c r="T904" s="11" t="s">
        <v>5211</v>
      </c>
      <c r="V904" s="11" t="str">
        <f>INDEX('Lookup 1961'!$A$2:$A$1300, MATCH(S904, 'Lookup 1961'!$B$2:$B$1300,0))</f>
        <v>J04000253</v>
      </c>
      <c r="W904" s="11" t="str">
        <f>INDEX('Lookup 1961'!$F$2:$F$1300, MATCH(S904, 'Lookup 1961'!$B$2:$B$1300,0))</f>
        <v>e421103</v>
      </c>
      <c r="X904" s="11" t="str">
        <f>INDEX('Lookup 1961'!$C$2:$C$1300, MATCH(V904, 'Lookup 1961'!$A$2:$A$1300,0))</f>
        <v>Wiltshire</v>
      </c>
    </row>
    <row r="905" spans="1:24" ht="25.05" customHeight="1" x14ac:dyDescent="0.3">
      <c r="A905" s="2" t="s">
        <v>846</v>
      </c>
      <c r="B905" s="2" t="s">
        <v>846</v>
      </c>
      <c r="C905" s="1">
        <v>23</v>
      </c>
      <c r="D905" s="1">
        <v>0</v>
      </c>
      <c r="E905" s="1">
        <v>16</v>
      </c>
      <c r="F905" s="1">
        <v>0</v>
      </c>
      <c r="K905" s="1">
        <v>760</v>
      </c>
      <c r="L905" s="6">
        <v>191773</v>
      </c>
      <c r="M905" s="1">
        <v>79.099999999999994</v>
      </c>
      <c r="N905" s="1">
        <v>9</v>
      </c>
      <c r="O905" s="1">
        <v>18</v>
      </c>
      <c r="P905" s="1">
        <v>23.8</v>
      </c>
      <c r="Q905" s="11">
        <f>'Table H'!$J$222</f>
        <v>0.95052241149476757</v>
      </c>
      <c r="R905" s="11">
        <f t="shared" si="28"/>
        <v>182284.53441958607</v>
      </c>
      <c r="S905" s="11" t="str">
        <f t="shared" si="29"/>
        <v>Chippenham MB</v>
      </c>
      <c r="T905" s="11" t="s">
        <v>5211</v>
      </c>
      <c r="V905" s="11" t="str">
        <f>INDEX('Lookup 1961'!$A$2:$A$1300, MATCH(S905, 'Lookup 1961'!$B$2:$B$1300,0))</f>
        <v>J04000309</v>
      </c>
      <c r="W905" s="11" t="str">
        <f>INDEX('Lookup 1961'!$F$2:$F$1300, MATCH(S905, 'Lookup 1961'!$B$2:$B$1300,0))</f>
        <v>e421104</v>
      </c>
      <c r="X905" s="11" t="str">
        <f>INDEX('Lookup 1961'!$C$2:$C$1300, MATCH(V905, 'Lookup 1961'!$A$2:$A$1300,0))</f>
        <v>Wiltshire</v>
      </c>
    </row>
    <row r="906" spans="1:24" ht="25.05" customHeight="1" x14ac:dyDescent="0.3">
      <c r="A906" s="2" t="s">
        <v>847</v>
      </c>
      <c r="B906" s="2" t="s">
        <v>847</v>
      </c>
      <c r="C906" s="1">
        <v>22</v>
      </c>
      <c r="D906" s="1">
        <v>4</v>
      </c>
      <c r="E906" s="1">
        <v>15</v>
      </c>
      <c r="F906" s="1">
        <v>4</v>
      </c>
      <c r="K906" s="1">
        <v>390</v>
      </c>
      <c r="L906" s="6">
        <v>102101</v>
      </c>
      <c r="M906" s="1">
        <v>77.3</v>
      </c>
      <c r="N906" s="1">
        <v>9</v>
      </c>
      <c r="O906" s="1">
        <v>11</v>
      </c>
      <c r="P906" s="1">
        <v>24.1</v>
      </c>
      <c r="Q906" s="11">
        <f>'Table H'!$J$222</f>
        <v>0.95052241149476757</v>
      </c>
      <c r="R906" s="11">
        <f t="shared" si="28"/>
        <v>97049.288736027258</v>
      </c>
      <c r="S906" s="11" t="str">
        <f t="shared" si="29"/>
        <v>Devizes MB</v>
      </c>
      <c r="T906" s="11" t="s">
        <v>5211</v>
      </c>
      <c r="V906" s="11" t="str">
        <f>INDEX('Lookup 1961'!$A$2:$A$1300, MATCH(S906, 'Lookup 1961'!$B$2:$B$1300,0))</f>
        <v>J04000405</v>
      </c>
      <c r="W906" s="11" t="str">
        <f>INDEX('Lookup 1961'!$F$2:$F$1300, MATCH(S906, 'Lookup 1961'!$B$2:$B$1300,0))</f>
        <v>e421105</v>
      </c>
      <c r="X906" s="11" t="str">
        <f>INDEX('Lookup 1961'!$C$2:$C$1300, MATCH(V906, 'Lookup 1961'!$A$2:$A$1300,0))</f>
        <v>Wiltshire</v>
      </c>
    </row>
    <row r="907" spans="1:24" ht="25.05" customHeight="1" x14ac:dyDescent="0.3">
      <c r="A907" s="2" t="s">
        <v>848</v>
      </c>
      <c r="B907" s="2" t="s">
        <v>848</v>
      </c>
      <c r="C907" s="1">
        <v>21</v>
      </c>
      <c r="D907" s="1">
        <v>0</v>
      </c>
      <c r="E907" s="1">
        <v>13</v>
      </c>
      <c r="F907" s="1">
        <v>6</v>
      </c>
      <c r="K907" s="1">
        <v>141</v>
      </c>
      <c r="L907" s="6">
        <v>36252</v>
      </c>
      <c r="M907" s="1">
        <v>156.1</v>
      </c>
      <c r="N907" s="1">
        <v>8</v>
      </c>
      <c r="O907" s="1">
        <v>17</v>
      </c>
      <c r="P907" s="1">
        <v>47</v>
      </c>
      <c r="Q907" s="11">
        <f>'Table H'!$J$222</f>
        <v>0.95052241149476757</v>
      </c>
      <c r="R907" s="11">
        <f t="shared" si="28"/>
        <v>34458.338461508312</v>
      </c>
      <c r="S907" s="11" t="str">
        <f t="shared" si="29"/>
        <v>Malmesbury MB</v>
      </c>
      <c r="T907" s="11" t="s">
        <v>5211</v>
      </c>
      <c r="V907" s="11" t="str">
        <f>INDEX('Lookup 1961'!$A$2:$A$1300, MATCH(S907, 'Lookup 1961'!$B$2:$B$1300,0))</f>
        <v>J04000815</v>
      </c>
      <c r="W907" s="11" t="str">
        <f>INDEX('Lookup 1961'!$F$2:$F$1300, MATCH(S907, 'Lookup 1961'!$B$2:$B$1300,0))</f>
        <v>e421106</v>
      </c>
      <c r="X907" s="11" t="str">
        <f>INDEX('Lookup 1961'!$C$2:$C$1300, MATCH(V907, 'Lookup 1961'!$A$2:$A$1300,0))</f>
        <v>Wiltshire</v>
      </c>
    </row>
    <row r="908" spans="1:24" ht="25.05" customHeight="1" x14ac:dyDescent="0.3">
      <c r="A908" s="2" t="s">
        <v>849</v>
      </c>
      <c r="B908" s="2" t="s">
        <v>849</v>
      </c>
      <c r="C908" s="1">
        <v>23</v>
      </c>
      <c r="D908" s="1">
        <v>4</v>
      </c>
      <c r="E908" s="1">
        <v>14</v>
      </c>
      <c r="F908" s="1">
        <v>8</v>
      </c>
      <c r="K908" s="1">
        <v>296</v>
      </c>
      <c r="L908" s="6">
        <v>77018</v>
      </c>
      <c r="M908" s="1">
        <v>82.6</v>
      </c>
      <c r="N908" s="1">
        <v>10</v>
      </c>
      <c r="O908" s="1">
        <v>3</v>
      </c>
      <c r="P908" s="1">
        <v>14.2</v>
      </c>
      <c r="Q908" s="11">
        <f>'Table H'!$J$222</f>
        <v>0.95052241149476757</v>
      </c>
      <c r="R908" s="11">
        <f t="shared" si="28"/>
        <v>73207.335088504013</v>
      </c>
      <c r="S908" s="11" t="str">
        <f t="shared" si="29"/>
        <v>Marlborough MB</v>
      </c>
      <c r="T908" s="11" t="s">
        <v>5211</v>
      </c>
      <c r="V908" s="11" t="str">
        <f>INDEX('Lookup 1961'!$A$2:$A$1300, MATCH(S908, 'Lookup 1961'!$B$2:$B$1300,0))</f>
        <v>J04000833</v>
      </c>
      <c r="W908" s="11" t="str">
        <f>INDEX('Lookup 1961'!$F$2:$F$1300, MATCH(S908, 'Lookup 1961'!$B$2:$B$1300,0))</f>
        <v>e421107</v>
      </c>
      <c r="X908" s="11" t="str">
        <f>INDEX('Lookup 1961'!$C$2:$C$1300, MATCH(V908, 'Lookup 1961'!$A$2:$A$1300,0))</f>
        <v>Wiltshire</v>
      </c>
    </row>
    <row r="909" spans="1:24" ht="25.05" customHeight="1" x14ac:dyDescent="0.3">
      <c r="A909" s="2" t="s">
        <v>850</v>
      </c>
      <c r="B909" s="2" t="s">
        <v>5307</v>
      </c>
      <c r="C909" s="1">
        <v>22</v>
      </c>
      <c r="D909" s="1">
        <v>2</v>
      </c>
      <c r="E909" s="1">
        <v>14</v>
      </c>
      <c r="F909" s="1">
        <v>2</v>
      </c>
      <c r="K909" s="6">
        <v>2458</v>
      </c>
      <c r="L909" s="6">
        <v>621839</v>
      </c>
      <c r="M909" s="1">
        <v>107.3</v>
      </c>
      <c r="N909" s="1">
        <v>12</v>
      </c>
      <c r="O909" s="1">
        <v>14</v>
      </c>
      <c r="P909" s="1">
        <v>29.5</v>
      </c>
      <c r="Q909" s="11">
        <f>'Table H'!$J$222</f>
        <v>0.95052241149476757</v>
      </c>
      <c r="R909" s="11">
        <f t="shared" si="28"/>
        <v>591071.90584149479</v>
      </c>
      <c r="S909" s="11" t="str">
        <f t="shared" si="29"/>
        <v>Salisbury (or New Sarum), city of MB</v>
      </c>
      <c r="T909" s="11" t="s">
        <v>5211</v>
      </c>
      <c r="V909" s="11" t="str">
        <f>INDEX('Lookup 1961'!$A$2:$A$1300, MATCH(S909, 'Lookup 1961'!$B$2:$B$1300,0))</f>
        <v>J04001095</v>
      </c>
      <c r="W909" s="11" t="str">
        <f>INDEX('Lookup 1961'!$F$2:$F$1300, MATCH(S909, 'Lookup 1961'!$B$2:$B$1300,0))</f>
        <v>e421109</v>
      </c>
      <c r="X909" s="11" t="str">
        <f>INDEX('Lookup 1961'!$C$2:$C$1300, MATCH(V909, 'Lookup 1961'!$A$2:$A$1300,0))</f>
        <v>Wiltshire</v>
      </c>
    </row>
    <row r="910" spans="1:24" ht="25.05" customHeight="1" x14ac:dyDescent="0.3">
      <c r="A910" s="2" t="s">
        <v>851</v>
      </c>
      <c r="B910" s="2" t="s">
        <v>851</v>
      </c>
      <c r="C910" s="1">
        <v>26</v>
      </c>
      <c r="D910" s="1">
        <v>5</v>
      </c>
      <c r="E910" s="1">
        <v>18</v>
      </c>
      <c r="F910" s="1">
        <v>6</v>
      </c>
      <c r="K910" s="6">
        <v>3750</v>
      </c>
      <c r="L910" s="6">
        <v>911482</v>
      </c>
      <c r="M910" s="1">
        <v>100.5</v>
      </c>
      <c r="N910" s="1">
        <v>11</v>
      </c>
      <c r="O910" s="1">
        <v>8</v>
      </c>
      <c r="P910" s="1">
        <v>33.1</v>
      </c>
      <c r="Q910" s="11">
        <f>'Table H'!$J$222</f>
        <v>0.95052241149476757</v>
      </c>
      <c r="R910" s="11">
        <f t="shared" si="28"/>
        <v>866384.06867407379</v>
      </c>
      <c r="S910" s="11" t="str">
        <f t="shared" si="29"/>
        <v>Swindon MB</v>
      </c>
      <c r="T910" s="11" t="s">
        <v>5211</v>
      </c>
      <c r="V910" s="11" t="str">
        <f>INDEX('Lookup 1961'!$A$2:$A$1300, MATCH(S910, 'Lookup 1961'!$B$2:$B$1300,0))</f>
        <v>J04001244</v>
      </c>
      <c r="W910" s="11" t="str">
        <f>INDEX('Lookup 1961'!$F$2:$F$1300, MATCH(S910, 'Lookup 1961'!$B$2:$B$1300,0))</f>
        <v>e421110</v>
      </c>
      <c r="X910" s="11" t="str">
        <f>INDEX('Lookup 1961'!$C$2:$C$1300, MATCH(V910, 'Lookup 1961'!$A$2:$A$1300,0))</f>
        <v>Wiltshire</v>
      </c>
    </row>
    <row r="911" spans="1:24" ht="25.05" customHeight="1" x14ac:dyDescent="0.3">
      <c r="A911" s="2" t="s">
        <v>852</v>
      </c>
      <c r="B911" s="2" t="s">
        <v>852</v>
      </c>
      <c r="C911" s="1">
        <v>20</v>
      </c>
      <c r="D911" s="1">
        <v>6</v>
      </c>
      <c r="E911" s="1">
        <v>15</v>
      </c>
      <c r="F911" s="1">
        <v>0</v>
      </c>
      <c r="K911" s="1">
        <v>130</v>
      </c>
      <c r="L911" s="6">
        <v>34423</v>
      </c>
      <c r="M911" s="1">
        <v>74.400000000000006</v>
      </c>
      <c r="N911" s="1">
        <v>7</v>
      </c>
      <c r="O911" s="1">
        <v>16</v>
      </c>
      <c r="P911" s="1">
        <v>29.5</v>
      </c>
      <c r="Q911" s="11">
        <f>'Table H'!$J$222</f>
        <v>0.95052241149476757</v>
      </c>
      <c r="R911" s="11">
        <f t="shared" si="28"/>
        <v>32719.832970884385</v>
      </c>
      <c r="S911" s="11" t="str">
        <f t="shared" si="29"/>
        <v>Wilton MB</v>
      </c>
      <c r="T911" s="11" t="s">
        <v>5211</v>
      </c>
      <c r="V911" s="11" t="str">
        <f>INDEX('Lookup 1961'!$A$2:$A$1300, MATCH(S911, 'Lookup 1961'!$B$2:$B$1300,0))</f>
        <v>J04001417</v>
      </c>
      <c r="W911" s="11" t="str">
        <f>INDEX('Lookup 1961'!$F$2:$F$1300, MATCH(S911, 'Lookup 1961'!$B$2:$B$1300,0))</f>
        <v>e421114</v>
      </c>
      <c r="X911" s="11" t="str">
        <f>INDEX('Lookup 1961'!$C$2:$C$1300, MATCH(V911, 'Lookup 1961'!$A$2:$A$1300,0))</f>
        <v>Wiltshire</v>
      </c>
    </row>
    <row r="912" spans="1:24" ht="25.05" customHeight="1" x14ac:dyDescent="0.3">
      <c r="A912" s="2" t="s">
        <v>150</v>
      </c>
      <c r="B912" s="2" t="s">
        <v>1221</v>
      </c>
      <c r="S912" s="11" t="str">
        <f t="shared" si="29"/>
        <v xml:space="preserve">Urban Districts  </v>
      </c>
      <c r="V912" s="11" t="e">
        <f>INDEX('Lookup 1961'!$A$2:$A$1300, MATCH(S912, 'Lookup 1961'!$B$2:$B$1300,0))</f>
        <v>#N/A</v>
      </c>
      <c r="W912" s="11" t="e">
        <f>INDEX('Lookup 1961'!$F$2:$F$1300, MATCH(S912, 'Lookup 1961'!$B$2:$B$1300,0))</f>
        <v>#N/A</v>
      </c>
      <c r="X912" s="11" t="e">
        <f>INDEX('Lookup 1961'!$C$2:$C$1300, MATCH(V912, 'Lookup 1961'!$A$2:$A$1300,0))</f>
        <v>#N/A</v>
      </c>
    </row>
    <row r="913" spans="1:24" ht="25.05" customHeight="1" x14ac:dyDescent="0.3">
      <c r="A913" s="2" t="s">
        <v>853</v>
      </c>
      <c r="B913" s="2" t="s">
        <v>5282</v>
      </c>
      <c r="C913" s="1">
        <v>23</v>
      </c>
      <c r="D913" s="1">
        <v>0</v>
      </c>
      <c r="E913" s="1">
        <v>16</v>
      </c>
      <c r="F913" s="1">
        <v>6</v>
      </c>
      <c r="K913" s="1">
        <v>194</v>
      </c>
      <c r="L913" s="6">
        <v>50108</v>
      </c>
      <c r="M913" s="1">
        <v>66.3</v>
      </c>
      <c r="N913" s="1">
        <v>7</v>
      </c>
      <c r="O913" s="1">
        <v>4</v>
      </c>
      <c r="P913" s="1">
        <v>21.2</v>
      </c>
      <c r="Q913" s="11">
        <f>'Table H'!$J$223</f>
        <v>0.86544946277606793</v>
      </c>
      <c r="R913" s="11">
        <f t="shared" si="28"/>
        <v>43365.941680783209</v>
      </c>
      <c r="S913" s="11" t="str">
        <f t="shared" si="29"/>
        <v>Bradford on Avon UD</v>
      </c>
      <c r="T913" s="11" t="s">
        <v>5214</v>
      </c>
      <c r="V913" s="11" t="str">
        <f>INDEX('Lookup 1961'!$A$2:$A$1300, MATCH(S913, 'Lookup 1961'!$B$2:$B$1300,0))</f>
        <v>J04000186</v>
      </c>
      <c r="W913" s="11" t="str">
        <f>INDEX('Lookup 1961'!$F$2:$F$1300, MATCH(S913, 'Lookup 1961'!$B$2:$B$1300,0))</f>
        <v>e421102</v>
      </c>
      <c r="X913" s="11" t="str">
        <f>INDEX('Lookup 1961'!$C$2:$C$1300, MATCH(V913, 'Lookup 1961'!$A$2:$A$1300,0))</f>
        <v>Wiltshire</v>
      </c>
    </row>
    <row r="914" spans="1:24" ht="25.05" customHeight="1" x14ac:dyDescent="0.3">
      <c r="A914" s="2" t="s">
        <v>854</v>
      </c>
      <c r="B914" s="2" t="s">
        <v>854</v>
      </c>
      <c r="C914" s="1">
        <v>23</v>
      </c>
      <c r="D914" s="1">
        <v>0</v>
      </c>
      <c r="E914" s="1">
        <v>16</v>
      </c>
      <c r="F914" s="1">
        <v>0</v>
      </c>
      <c r="K914" s="1">
        <v>371</v>
      </c>
      <c r="L914" s="6">
        <v>92547</v>
      </c>
      <c r="M914" s="1">
        <v>75.099999999999994</v>
      </c>
      <c r="N914" s="1">
        <v>10</v>
      </c>
      <c r="O914" s="1">
        <v>6</v>
      </c>
      <c r="P914" s="1">
        <v>21.3</v>
      </c>
      <c r="Q914" s="11">
        <f>'Table H'!$J$223</f>
        <v>0.86544946277606793</v>
      </c>
      <c r="R914" s="11">
        <f t="shared" si="28"/>
        <v>80094.751431536759</v>
      </c>
      <c r="S914" s="11" t="str">
        <f t="shared" si="29"/>
        <v>Melksham UD</v>
      </c>
      <c r="T914" s="11" t="s">
        <v>5214</v>
      </c>
      <c r="V914" s="11" t="str">
        <f>INDEX('Lookup 1961'!$A$2:$A$1300, MATCH(S914, 'Lookup 1961'!$B$2:$B$1300,0))</f>
        <v>J04000842</v>
      </c>
      <c r="W914" s="11" t="str">
        <f>INDEX('Lookup 1961'!$F$2:$F$1300, MATCH(S914, 'Lookup 1961'!$B$2:$B$1300,0))</f>
        <v>e421108</v>
      </c>
      <c r="X914" s="11" t="str">
        <f>INDEX('Lookup 1961'!$C$2:$C$1300, MATCH(V914, 'Lookup 1961'!$A$2:$A$1300,0))</f>
        <v>Wiltshire</v>
      </c>
    </row>
    <row r="915" spans="1:24" ht="25.05" customHeight="1" x14ac:dyDescent="0.3">
      <c r="A915" s="2" t="s">
        <v>855</v>
      </c>
      <c r="B915" s="2" t="s">
        <v>855</v>
      </c>
      <c r="C915" s="1">
        <v>23</v>
      </c>
      <c r="D915" s="1">
        <v>8</v>
      </c>
      <c r="E915" s="1">
        <v>16</v>
      </c>
      <c r="F915" s="1">
        <v>6</v>
      </c>
      <c r="K915" s="1">
        <v>848</v>
      </c>
      <c r="L915" s="6">
        <v>207698</v>
      </c>
      <c r="M915" s="1">
        <v>83.3</v>
      </c>
      <c r="N915" s="1">
        <v>11</v>
      </c>
      <c r="O915" s="1">
        <v>15</v>
      </c>
      <c r="P915" s="1">
        <v>28</v>
      </c>
      <c r="Q915" s="11">
        <f>'Table H'!$J$223</f>
        <v>0.86544946277606793</v>
      </c>
      <c r="R915" s="11">
        <f t="shared" si="28"/>
        <v>179752.12251966377</v>
      </c>
      <c r="S915" s="11" t="str">
        <f t="shared" si="29"/>
        <v>Trowbridge UD</v>
      </c>
      <c r="T915" s="11" t="s">
        <v>5214</v>
      </c>
      <c r="V915" s="11" t="str">
        <f>INDEX('Lookup 1961'!$A$2:$A$1300, MATCH(S915, 'Lookup 1961'!$B$2:$B$1300,0))</f>
        <v>J04001298</v>
      </c>
      <c r="W915" s="11" t="str">
        <f>INDEX('Lookup 1961'!$F$2:$F$1300, MATCH(S915, 'Lookup 1961'!$B$2:$B$1300,0))</f>
        <v>e421111</v>
      </c>
      <c r="X915" s="11" t="str">
        <f>INDEX('Lookup 1961'!$C$2:$C$1300, MATCH(V915, 'Lookup 1961'!$A$2:$A$1300,0))</f>
        <v>Wiltshire</v>
      </c>
    </row>
    <row r="916" spans="1:24" ht="25.05" customHeight="1" x14ac:dyDescent="0.3">
      <c r="A916" s="2" t="s">
        <v>856</v>
      </c>
      <c r="B916" s="2" t="s">
        <v>856</v>
      </c>
      <c r="C916" s="1">
        <v>22</v>
      </c>
      <c r="D916" s="1">
        <v>0</v>
      </c>
      <c r="E916" s="1">
        <v>16</v>
      </c>
      <c r="F916" s="1">
        <v>2</v>
      </c>
      <c r="K916" s="1">
        <v>392</v>
      </c>
      <c r="L916" s="6">
        <v>98006</v>
      </c>
      <c r="M916" s="1">
        <v>52.5</v>
      </c>
      <c r="N916" s="1">
        <v>9</v>
      </c>
      <c r="O916" s="1">
        <v>3</v>
      </c>
      <c r="P916" s="1">
        <v>11.7</v>
      </c>
      <c r="Q916" s="11">
        <f>'Table H'!$J$223</f>
        <v>0.86544946277606793</v>
      </c>
      <c r="R916" s="11">
        <f t="shared" si="28"/>
        <v>84819.240048831314</v>
      </c>
      <c r="S916" s="11" t="str">
        <f t="shared" si="29"/>
        <v>Warminster UD</v>
      </c>
      <c r="T916" s="11" t="s">
        <v>5214</v>
      </c>
      <c r="V916" s="11" t="str">
        <f>INDEX('Lookup 1961'!$A$2:$A$1300, MATCH(S916, 'Lookup 1961'!$B$2:$B$1300,0))</f>
        <v>J04001344</v>
      </c>
      <c r="W916" s="11" t="str">
        <f>INDEX('Lookup 1961'!$F$2:$F$1300, MATCH(S916, 'Lookup 1961'!$B$2:$B$1300,0))</f>
        <v>e421112</v>
      </c>
      <c r="X916" s="11" t="str">
        <f>INDEX('Lookup 1961'!$C$2:$C$1300, MATCH(V916, 'Lookup 1961'!$A$2:$A$1300,0))</f>
        <v>Wiltshire</v>
      </c>
    </row>
    <row r="917" spans="1:24" ht="25.05" customHeight="1" x14ac:dyDescent="0.3">
      <c r="A917" s="2" t="s">
        <v>857</v>
      </c>
      <c r="B917" s="2" t="s">
        <v>857</v>
      </c>
      <c r="C917" s="1">
        <v>21</v>
      </c>
      <c r="D917" s="1">
        <v>2</v>
      </c>
      <c r="E917" s="1">
        <v>15</v>
      </c>
      <c r="F917" s="1">
        <v>0</v>
      </c>
      <c r="K917" s="1">
        <v>218</v>
      </c>
      <c r="L917" s="6">
        <v>54597</v>
      </c>
      <c r="M917" s="1">
        <v>64.2</v>
      </c>
      <c r="N917" s="1">
        <v>7</v>
      </c>
      <c r="O917" s="1">
        <v>8</v>
      </c>
      <c r="P917" s="1">
        <v>15.1</v>
      </c>
      <c r="Q917" s="11">
        <f>'Table H'!$J$223</f>
        <v>0.86544946277606793</v>
      </c>
      <c r="R917" s="11">
        <f t="shared" si="28"/>
        <v>47250.944319184979</v>
      </c>
      <c r="S917" s="11" t="str">
        <f t="shared" si="29"/>
        <v>Westbury UD</v>
      </c>
      <c r="T917" s="11" t="s">
        <v>5214</v>
      </c>
      <c r="V917" s="11" t="str">
        <f>INDEX('Lookup 1961'!$A$2:$A$1300, MATCH(S917, 'Lookup 1961'!$B$2:$B$1300,0))</f>
        <v>J04001389</v>
      </c>
      <c r="W917" s="11" t="str">
        <f>INDEX('Lookup 1961'!$F$2:$F$1300, MATCH(S917, 'Lookup 1961'!$B$2:$B$1300,0))</f>
        <v>e421113</v>
      </c>
      <c r="X917" s="11" t="str">
        <f>INDEX('Lookup 1961'!$C$2:$C$1300, MATCH(V917, 'Lookup 1961'!$A$2:$A$1300,0))</f>
        <v>Wiltshire</v>
      </c>
    </row>
    <row r="918" spans="1:24" ht="25.05" customHeight="1" x14ac:dyDescent="0.3">
      <c r="A918" s="2" t="s">
        <v>858</v>
      </c>
      <c r="B918" s="2" t="s">
        <v>858</v>
      </c>
      <c r="S918" s="11" t="str">
        <f t="shared" si="29"/>
        <v xml:space="preserve">WORCESTER: </v>
      </c>
      <c r="V918" s="11" t="e">
        <f>INDEX('Lookup 1961'!$A$2:$A$1300, MATCH(S918, 'Lookup 1961'!$B$2:$B$1300,0))</f>
        <v>#N/A</v>
      </c>
      <c r="W918" s="11" t="e">
        <f>INDEX('Lookup 1961'!$F$2:$F$1300, MATCH(S918, 'Lookup 1961'!$B$2:$B$1300,0))</f>
        <v>#N/A</v>
      </c>
      <c r="X918" s="11" t="e">
        <f>INDEX('Lookup 1961'!$C$2:$C$1300, MATCH(V918, 'Lookup 1961'!$A$2:$A$1300,0))</f>
        <v>#N/A</v>
      </c>
    </row>
    <row r="919" spans="1:24" ht="25.05" customHeight="1" x14ac:dyDescent="0.3">
      <c r="A919" s="2" t="s">
        <v>146</v>
      </c>
      <c r="B919" s="2" t="s">
        <v>5257</v>
      </c>
      <c r="S919" s="11" t="str">
        <f t="shared" si="29"/>
        <v xml:space="preserve">Non County Boroughs  </v>
      </c>
      <c r="V919" s="11" t="e">
        <f>INDEX('Lookup 1961'!$A$2:$A$1300, MATCH(S919, 'Lookup 1961'!$B$2:$B$1300,0))</f>
        <v>#N/A</v>
      </c>
      <c r="W919" s="11" t="e">
        <f>INDEX('Lookup 1961'!$F$2:$F$1300, MATCH(S919, 'Lookup 1961'!$B$2:$B$1300,0))</f>
        <v>#N/A</v>
      </c>
      <c r="X919" s="11" t="e">
        <f>INDEX('Lookup 1961'!$C$2:$C$1300, MATCH(V919, 'Lookup 1961'!$A$2:$A$1300,0))</f>
        <v>#N/A</v>
      </c>
    </row>
    <row r="920" spans="1:24" ht="25.05" customHeight="1" x14ac:dyDescent="0.3">
      <c r="A920" s="2" t="s">
        <v>859</v>
      </c>
      <c r="B920" s="2" t="s">
        <v>859</v>
      </c>
      <c r="C920" s="1">
        <v>25</v>
      </c>
      <c r="D920" s="1">
        <v>0</v>
      </c>
      <c r="E920" s="1">
        <v>18</v>
      </c>
      <c r="F920" s="1">
        <v>0</v>
      </c>
      <c r="K920" s="1">
        <v>165</v>
      </c>
      <c r="L920" s="6">
        <v>42329</v>
      </c>
      <c r="M920" s="1">
        <v>92.6</v>
      </c>
      <c r="N920" s="1">
        <v>7</v>
      </c>
      <c r="O920" s="1">
        <v>10</v>
      </c>
      <c r="P920" s="1">
        <v>37.1</v>
      </c>
      <c r="Q920" s="11">
        <f>'Table H'!$J$227</f>
        <v>0.88713174032678266</v>
      </c>
      <c r="R920" s="11">
        <f t="shared" si="28"/>
        <v>37551.399436292384</v>
      </c>
      <c r="S920" s="11" t="str">
        <f t="shared" si="29"/>
        <v>Bewdley MB</v>
      </c>
      <c r="T920" s="11" t="s">
        <v>5211</v>
      </c>
      <c r="V920" s="11" t="str">
        <f>INDEX('Lookup 1961'!$A$2:$A$1300, MATCH(S920, 'Lookup 1961'!$B$2:$B$1300,0))</f>
        <v>J04000134</v>
      </c>
      <c r="W920" s="11" t="str">
        <f>INDEX('Lookup 1961'!$F$2:$F$1300, MATCH(S920, 'Lookup 1961'!$B$2:$B$1300,0))</f>
        <v>e431129</v>
      </c>
      <c r="X920" s="11" t="str">
        <f>INDEX('Lookup 1961'!$C$2:$C$1300, MATCH(V920, 'Lookup 1961'!$A$2:$A$1300,0))</f>
        <v>Hereford And Worcs</v>
      </c>
    </row>
    <row r="921" spans="1:24" ht="25.05" customHeight="1" x14ac:dyDescent="0.3">
      <c r="A921" s="2" t="s">
        <v>860</v>
      </c>
      <c r="B921" s="2" t="s">
        <v>860</v>
      </c>
      <c r="C921" s="1">
        <v>26</v>
      </c>
      <c r="D921" s="1">
        <v>7</v>
      </c>
      <c r="E921" s="1">
        <v>17</v>
      </c>
      <c r="F921" s="1">
        <v>3</v>
      </c>
      <c r="K921" s="1">
        <v>361</v>
      </c>
      <c r="L921" s="6">
        <v>93000</v>
      </c>
      <c r="M921" s="1">
        <v>95.2</v>
      </c>
      <c r="N921" s="1">
        <v>12</v>
      </c>
      <c r="O921" s="1">
        <v>10</v>
      </c>
      <c r="P921" s="1">
        <v>40.9</v>
      </c>
      <c r="Q921" s="11">
        <f>'Table H'!$J$227</f>
        <v>0.88713174032678266</v>
      </c>
      <c r="R921" s="11">
        <f t="shared" si="28"/>
        <v>82503.251850390792</v>
      </c>
      <c r="S921" s="11" t="str">
        <f t="shared" si="29"/>
        <v>Droitwich MB</v>
      </c>
      <c r="T921" s="11" t="s">
        <v>5211</v>
      </c>
      <c r="V921" s="11" t="str">
        <f>INDEX('Lookup 1961'!$A$2:$A$1300, MATCH(S921, 'Lookup 1961'!$B$2:$B$1300,0))</f>
        <v>J04000428</v>
      </c>
      <c r="W921" s="11" t="str">
        <f>INDEX('Lookup 1961'!$F$2:$F$1300, MATCH(S921, 'Lookup 1961'!$B$2:$B$1300,0))</f>
        <v>e431131</v>
      </c>
      <c r="X921" s="11" t="str">
        <f>INDEX('Lookup 1961'!$C$2:$C$1300, MATCH(V921, 'Lookup 1961'!$A$2:$A$1300,0))</f>
        <v>Hereford And Worcs</v>
      </c>
    </row>
    <row r="922" spans="1:24" ht="25.05" customHeight="1" x14ac:dyDescent="0.3">
      <c r="A922" s="2" t="s">
        <v>861</v>
      </c>
      <c r="B922" s="2" t="s">
        <v>861</v>
      </c>
      <c r="C922" s="1">
        <v>26</v>
      </c>
      <c r="D922" s="1">
        <v>0</v>
      </c>
      <c r="E922" s="1">
        <v>18</v>
      </c>
      <c r="F922" s="1">
        <v>0</v>
      </c>
      <c r="K922" s="1">
        <v>772</v>
      </c>
      <c r="L922" s="6">
        <v>195969</v>
      </c>
      <c r="M922" s="1">
        <v>105</v>
      </c>
      <c r="N922" s="1">
        <v>14</v>
      </c>
      <c r="O922" s="1">
        <v>0</v>
      </c>
      <c r="P922" s="1">
        <v>40.5</v>
      </c>
      <c r="Q922" s="11">
        <f>'Table H'!$J$227</f>
        <v>0.88713174032678266</v>
      </c>
      <c r="R922" s="11">
        <f t="shared" si="28"/>
        <v>173850.32002009926</v>
      </c>
      <c r="S922" s="11" t="str">
        <f t="shared" si="29"/>
        <v>Evesham MB</v>
      </c>
      <c r="T922" s="11" t="s">
        <v>5211</v>
      </c>
      <c r="V922" s="11" t="str">
        <f>INDEX('Lookup 1961'!$A$2:$A$1300, MATCH(S922, 'Lookup 1961'!$B$2:$B$1300,0))</f>
        <v>J04000484</v>
      </c>
      <c r="W922" s="11" t="str">
        <f>INDEX('Lookup 1961'!$F$2:$F$1300, MATCH(S922, 'Lookup 1961'!$B$2:$B$1300,0))</f>
        <v>e431132</v>
      </c>
      <c r="X922" s="11" t="str">
        <f>INDEX('Lookup 1961'!$C$2:$C$1300, MATCH(V922, 'Lookup 1961'!$A$2:$A$1300,0))</f>
        <v>Hereford And Worcs</v>
      </c>
    </row>
    <row r="923" spans="1:24" ht="25.05" customHeight="1" x14ac:dyDescent="0.3">
      <c r="A923" s="2" t="s">
        <v>862</v>
      </c>
      <c r="B923" s="2" t="s">
        <v>862</v>
      </c>
      <c r="C923" s="1">
        <v>25</v>
      </c>
      <c r="D923" s="1">
        <v>8</v>
      </c>
      <c r="E923" s="1">
        <v>16</v>
      </c>
      <c r="F923" s="1">
        <v>6</v>
      </c>
      <c r="K923" s="6">
        <v>1700</v>
      </c>
      <c r="L923" s="6">
        <v>438234</v>
      </c>
      <c r="M923" s="1">
        <v>131.1</v>
      </c>
      <c r="N923" s="1">
        <v>8</v>
      </c>
      <c r="O923" s="1">
        <v>5</v>
      </c>
      <c r="P923" s="1">
        <v>50.4</v>
      </c>
      <c r="Q923" s="11">
        <f>'Table H'!$J$227</f>
        <v>0.88713174032678266</v>
      </c>
      <c r="R923" s="11">
        <f t="shared" si="28"/>
        <v>388771.29109036725</v>
      </c>
      <c r="S923" s="11" t="str">
        <f t="shared" si="29"/>
        <v>Halesowen MB</v>
      </c>
      <c r="T923" s="11" t="s">
        <v>5211</v>
      </c>
      <c r="V923" s="11" t="str">
        <f>INDEX('Lookup 1961'!$A$2:$A$1300, MATCH(S923, 'Lookup 1961'!$B$2:$B$1300,0))</f>
        <v>J04000564</v>
      </c>
      <c r="W923" s="11" t="str">
        <f>INDEX('Lookup 1961'!$F$2:$F$1300, MATCH(S923, 'Lookup 1961'!$B$2:$B$1300,0))</f>
        <v>e431133</v>
      </c>
      <c r="X923" s="11" t="str">
        <f>INDEX('Lookup 1961'!$C$2:$C$1300, MATCH(V923, 'Lookup 1961'!$A$2:$A$1300,0))</f>
        <v>West Midlands</v>
      </c>
    </row>
    <row r="924" spans="1:24" ht="25.05" customHeight="1" x14ac:dyDescent="0.3">
      <c r="A924" s="2" t="s">
        <v>863</v>
      </c>
      <c r="B924" s="2" t="s">
        <v>863</v>
      </c>
      <c r="C924" s="1">
        <v>23</v>
      </c>
      <c r="D924" s="1">
        <v>6</v>
      </c>
      <c r="E924" s="1">
        <v>16</v>
      </c>
      <c r="F924" s="1">
        <v>4</v>
      </c>
      <c r="K924" s="6">
        <v>1750</v>
      </c>
      <c r="L924" s="6">
        <v>454739</v>
      </c>
      <c r="M924" s="1">
        <v>105.2</v>
      </c>
      <c r="N924" s="1">
        <v>9</v>
      </c>
      <c r="O924" s="1">
        <v>2</v>
      </c>
      <c r="P924" s="1">
        <v>39.799999999999997</v>
      </c>
      <c r="Q924" s="11">
        <f>'Table H'!$J$227</f>
        <v>0.88713174032678266</v>
      </c>
      <c r="R924" s="11">
        <f t="shared" si="28"/>
        <v>403413.40046446084</v>
      </c>
      <c r="S924" s="11" t="str">
        <f t="shared" si="29"/>
        <v>Kidderminster MB</v>
      </c>
      <c r="T924" s="11" t="s">
        <v>5211</v>
      </c>
      <c r="V924" s="11" t="str">
        <f>INDEX('Lookup 1961'!$A$2:$A$1300, MATCH(S924, 'Lookup 1961'!$B$2:$B$1300,0))</f>
        <v>J04000691</v>
      </c>
      <c r="W924" s="11" t="str">
        <f>INDEX('Lookup 1961'!$F$2:$F$1300, MATCH(S924, 'Lookup 1961'!$B$2:$B$1300,0))</f>
        <v>e431134</v>
      </c>
      <c r="X924" s="11" t="str">
        <f>INDEX('Lookup 1961'!$C$2:$C$1300, MATCH(V924, 'Lookup 1961'!$A$2:$A$1300,0))</f>
        <v>Hereford And Worcs</v>
      </c>
    </row>
    <row r="925" spans="1:24" ht="25.05" customHeight="1" x14ac:dyDescent="0.3">
      <c r="A925" s="2" t="s">
        <v>864</v>
      </c>
      <c r="B925" s="2" t="s">
        <v>864</v>
      </c>
      <c r="C925" s="1">
        <v>25</v>
      </c>
      <c r="D925" s="1">
        <v>0</v>
      </c>
      <c r="E925" s="1">
        <v>15</v>
      </c>
      <c r="F925" s="1">
        <v>6</v>
      </c>
      <c r="K925" s="6">
        <v>2340</v>
      </c>
      <c r="L925" s="6">
        <v>575608</v>
      </c>
      <c r="M925" s="1">
        <v>132.69999999999999</v>
      </c>
      <c r="N925" s="1">
        <v>8</v>
      </c>
      <c r="O925" s="1">
        <v>1</v>
      </c>
      <c r="P925" s="1">
        <v>47.8</v>
      </c>
      <c r="Q925" s="11">
        <f>'Table H'!$J$227</f>
        <v>0.88713174032678266</v>
      </c>
      <c r="R925" s="11">
        <f t="shared" si="28"/>
        <v>510640.12678601872</v>
      </c>
      <c r="S925" s="11" t="str">
        <f t="shared" si="29"/>
        <v>Oldbury MB</v>
      </c>
      <c r="T925" s="11" t="s">
        <v>5211</v>
      </c>
      <c r="V925" s="11" t="str">
        <f>INDEX('Lookup 1961'!$A$2:$A$1300, MATCH(S925, 'Lookup 1961'!$B$2:$B$1300,0))</f>
        <v>J04000953</v>
      </c>
      <c r="W925" s="11" t="str">
        <f>INDEX('Lookup 1961'!$F$2:$F$1300, MATCH(S925, 'Lookup 1961'!$B$2:$B$1300,0))</f>
        <v>e431127</v>
      </c>
      <c r="X925" s="11" t="str">
        <f>INDEX('Lookup 1961'!$C$2:$C$1300, MATCH(V925, 'Lookup 1961'!$A$2:$A$1300,0))</f>
        <v>West Midlands</v>
      </c>
    </row>
    <row r="926" spans="1:24" ht="25.05" customHeight="1" x14ac:dyDescent="0.3">
      <c r="A926" s="2" t="s">
        <v>865</v>
      </c>
      <c r="B926" s="2" t="s">
        <v>865</v>
      </c>
      <c r="C926" s="1">
        <v>25</v>
      </c>
      <c r="D926" s="1">
        <v>0</v>
      </c>
      <c r="E926" s="1">
        <v>17</v>
      </c>
      <c r="F926" s="1">
        <v>6</v>
      </c>
      <c r="K926" s="6">
        <v>1705</v>
      </c>
      <c r="L926" s="6">
        <v>440999</v>
      </c>
      <c r="M926" s="1">
        <v>99.2</v>
      </c>
      <c r="N926" s="1">
        <v>9</v>
      </c>
      <c r="O926" s="1">
        <v>10</v>
      </c>
      <c r="P926" s="1">
        <v>39.6</v>
      </c>
      <c r="Q926" s="11">
        <f>'Table H'!$J$227</f>
        <v>0.88713174032678266</v>
      </c>
      <c r="R926" s="11">
        <f t="shared" si="28"/>
        <v>391224.21035237081</v>
      </c>
      <c r="S926" s="11" t="str">
        <f t="shared" si="29"/>
        <v>Stourbridge MB</v>
      </c>
      <c r="T926" s="11" t="s">
        <v>5211</v>
      </c>
      <c r="V926" s="11" t="str">
        <f>INDEX('Lookup 1961'!$A$2:$A$1300, MATCH(S926, 'Lookup 1961'!$B$2:$B$1300,0))</f>
        <v>J04001217</v>
      </c>
      <c r="W926" s="11" t="str">
        <f>INDEX('Lookup 1961'!$F$2:$F$1300, MATCH(S926, 'Lookup 1961'!$B$2:$B$1300,0))</f>
        <v>e431138</v>
      </c>
      <c r="X926" s="11" t="str">
        <f>INDEX('Lookup 1961'!$C$2:$C$1300, MATCH(V926, 'Lookup 1961'!$A$2:$A$1300,0))</f>
        <v>West Midlands</v>
      </c>
    </row>
    <row r="927" spans="1:24" ht="25.05" customHeight="1" x14ac:dyDescent="0.3">
      <c r="A927" s="2" t="s">
        <v>150</v>
      </c>
      <c r="B927" s="2" t="s">
        <v>1221</v>
      </c>
      <c r="S927" s="11" t="str">
        <f t="shared" si="29"/>
        <v xml:space="preserve">Urban Districts  </v>
      </c>
      <c r="V927" s="11" t="e">
        <f>INDEX('Lookup 1961'!$A$2:$A$1300, MATCH(S927, 'Lookup 1961'!$B$2:$B$1300,0))</f>
        <v>#N/A</v>
      </c>
      <c r="W927" s="11" t="e">
        <f>INDEX('Lookup 1961'!$F$2:$F$1300, MATCH(S927, 'Lookup 1961'!$B$2:$B$1300,0))</f>
        <v>#N/A</v>
      </c>
      <c r="X927" s="11" t="e">
        <f>INDEX('Lookup 1961'!$C$2:$C$1300, MATCH(V927, 'Lookup 1961'!$A$2:$A$1300,0))</f>
        <v>#N/A</v>
      </c>
    </row>
    <row r="928" spans="1:24" ht="25.05" customHeight="1" x14ac:dyDescent="0.3">
      <c r="A928" s="2" t="s">
        <v>866</v>
      </c>
      <c r="B928" s="2" t="s">
        <v>866</v>
      </c>
      <c r="C928" s="1">
        <v>23</v>
      </c>
      <c r="D928" s="1">
        <v>6</v>
      </c>
      <c r="E928" s="1">
        <v>17</v>
      </c>
      <c r="F928" s="1">
        <v>0</v>
      </c>
      <c r="K928" s="6">
        <v>1175</v>
      </c>
      <c r="L928" s="6">
        <v>303888</v>
      </c>
      <c r="M928" s="1">
        <v>86.9</v>
      </c>
      <c r="N928" s="1">
        <v>8</v>
      </c>
      <c r="O928" s="1">
        <v>11</v>
      </c>
      <c r="P928" s="1">
        <v>34.5</v>
      </c>
      <c r="Q928" s="11">
        <f>'Table H'!$J$228</f>
        <v>0.90756710060308732</v>
      </c>
      <c r="R928" s="11">
        <f t="shared" si="28"/>
        <v>275798.751068071</v>
      </c>
      <c r="S928" s="11" t="str">
        <f t="shared" si="29"/>
        <v>Bromsgrove UD</v>
      </c>
      <c r="T928" s="11" t="s">
        <v>5214</v>
      </c>
      <c r="V928" s="11" t="str">
        <f>INDEX('Lookup 1961'!$A$2:$A$1300, MATCH(S928, 'Lookup 1961'!$B$2:$B$1300,0))</f>
        <v>J04000220</v>
      </c>
      <c r="W928" s="11" t="str">
        <f>INDEX('Lookup 1961'!$F$2:$F$1300, MATCH(S928, 'Lookup 1961'!$B$2:$B$1300,0))</f>
        <v>e431130</v>
      </c>
      <c r="X928" s="11" t="str">
        <f>INDEX('Lookup 1961'!$C$2:$C$1300, MATCH(V928, 'Lookup 1961'!$A$2:$A$1300,0))</f>
        <v>Hereford And Worcs</v>
      </c>
    </row>
    <row r="929" spans="1:24" ht="25.05" customHeight="1" x14ac:dyDescent="0.3">
      <c r="A929" s="2" t="s">
        <v>867</v>
      </c>
      <c r="B929" s="2" t="s">
        <v>867</v>
      </c>
      <c r="C929" s="1">
        <v>24</v>
      </c>
      <c r="D929" s="1">
        <v>10</v>
      </c>
      <c r="E929" s="1">
        <v>16</v>
      </c>
      <c r="F929" s="1">
        <v>8</v>
      </c>
      <c r="K929" s="6">
        <v>1300</v>
      </c>
      <c r="L929" s="6">
        <v>314032</v>
      </c>
      <c r="M929" s="1">
        <v>64.8</v>
      </c>
      <c r="N929" s="1">
        <v>11</v>
      </c>
      <c r="O929" s="1">
        <v>2</v>
      </c>
      <c r="P929" s="1">
        <v>17.3</v>
      </c>
      <c r="Q929" s="11">
        <f>'Table H'!$J$228</f>
        <v>0.90756710060308732</v>
      </c>
      <c r="R929" s="11">
        <f t="shared" si="28"/>
        <v>285005.1117365887</v>
      </c>
      <c r="S929" s="11" t="str">
        <f t="shared" si="29"/>
        <v>Malvern UD</v>
      </c>
      <c r="T929" s="11" t="s">
        <v>5214</v>
      </c>
      <c r="V929" s="11" t="str">
        <f>INDEX('Lookup 1961'!$A$2:$A$1300, MATCH(S929, 'Lookup 1961'!$B$2:$B$1300,0))</f>
        <v>J04000820</v>
      </c>
      <c r="W929" s="11" t="str">
        <f>INDEX('Lookup 1961'!$F$2:$F$1300, MATCH(S929, 'Lookup 1961'!$B$2:$B$1300,0))</f>
        <v>e431135</v>
      </c>
      <c r="X929" s="11" t="str">
        <f>INDEX('Lookup 1961'!$C$2:$C$1300, MATCH(V929, 'Lookup 1961'!$A$2:$A$1300,0))</f>
        <v>Hereford And Worcs</v>
      </c>
    </row>
    <row r="930" spans="1:24" ht="25.05" customHeight="1" x14ac:dyDescent="0.3">
      <c r="A930" s="2" t="s">
        <v>868</v>
      </c>
      <c r="B930" s="2" t="s">
        <v>868</v>
      </c>
      <c r="C930" s="1">
        <v>24</v>
      </c>
      <c r="D930" s="1">
        <v>6</v>
      </c>
      <c r="E930" s="1">
        <v>16</v>
      </c>
      <c r="F930" s="1">
        <v>8</v>
      </c>
      <c r="K930" s="6">
        <v>1480</v>
      </c>
      <c r="L930" s="6">
        <v>371109</v>
      </c>
      <c r="M930" s="1">
        <v>115.2</v>
      </c>
      <c r="N930" s="1">
        <v>9</v>
      </c>
      <c r="O930" s="1">
        <v>12</v>
      </c>
      <c r="P930" s="1">
        <v>44</v>
      </c>
      <c r="Q930" s="11">
        <f>'Table H'!$J$228</f>
        <v>0.90756710060308732</v>
      </c>
      <c r="R930" s="11">
        <f t="shared" si="28"/>
        <v>336806.31913771114</v>
      </c>
      <c r="S930" s="11" t="str">
        <f t="shared" si="29"/>
        <v>Redditch UD</v>
      </c>
      <c r="T930" s="11" t="s">
        <v>5214</v>
      </c>
      <c r="V930" s="11" t="str">
        <f>INDEX('Lookup 1961'!$A$2:$A$1300, MATCH(S930, 'Lookup 1961'!$B$2:$B$1300,0))</f>
        <v>J04001038</v>
      </c>
      <c r="W930" s="11" t="str">
        <f>INDEX('Lookup 1961'!$F$2:$F$1300, MATCH(S930, 'Lookup 1961'!$B$2:$B$1300,0))</f>
        <v>e431136</v>
      </c>
      <c r="X930" s="11" t="str">
        <f>INDEX('Lookup 1961'!$C$2:$C$1300, MATCH(V930, 'Lookup 1961'!$A$2:$A$1300,0))</f>
        <v>Hereford And Worcs</v>
      </c>
    </row>
    <row r="931" spans="1:24" ht="25.05" customHeight="1" x14ac:dyDescent="0.3">
      <c r="A931" s="2" t="s">
        <v>869</v>
      </c>
      <c r="B931" s="2" t="s">
        <v>869</v>
      </c>
      <c r="C931" s="1">
        <v>25</v>
      </c>
      <c r="D931" s="1">
        <v>3</v>
      </c>
      <c r="E931" s="1">
        <v>18</v>
      </c>
      <c r="F931" s="1">
        <v>6</v>
      </c>
      <c r="K931" s="1">
        <v>458</v>
      </c>
      <c r="L931" s="6">
        <v>114128</v>
      </c>
      <c r="M931" s="1">
        <v>96.5</v>
      </c>
      <c r="N931" s="1">
        <v>9</v>
      </c>
      <c r="O931" s="1">
        <v>3</v>
      </c>
      <c r="P931" s="1">
        <v>37</v>
      </c>
      <c r="Q931" s="11">
        <f>'Table H'!$J$228</f>
        <v>0.90756710060308732</v>
      </c>
      <c r="R931" s="11">
        <f t="shared" si="28"/>
        <v>103578.81805762915</v>
      </c>
      <c r="S931" s="11" t="str">
        <f t="shared" si="29"/>
        <v>Stourport-on-Severn UD</v>
      </c>
      <c r="T931" s="11" t="s">
        <v>5214</v>
      </c>
      <c r="V931" s="11" t="str">
        <f>INDEX('Lookup 1961'!$A$2:$A$1300, MATCH(S931, 'Lookup 1961'!$B$2:$B$1300,0))</f>
        <v>J04001218</v>
      </c>
      <c r="W931" s="11" t="str">
        <f>INDEX('Lookup 1961'!$F$2:$F$1300, MATCH(S931, 'Lookup 1961'!$B$2:$B$1300,0))</f>
        <v>e431139</v>
      </c>
      <c r="X931" s="11" t="str">
        <f>INDEX('Lookup 1961'!$C$2:$C$1300, MATCH(V931, 'Lookup 1961'!$A$2:$A$1300,0))</f>
        <v>Hereford And Worcs</v>
      </c>
    </row>
    <row r="932" spans="1:24" ht="25.05" customHeight="1" x14ac:dyDescent="0.3">
      <c r="A932" s="2" t="s">
        <v>870</v>
      </c>
      <c r="B932" s="2" t="s">
        <v>870</v>
      </c>
      <c r="S932" s="11" t="str">
        <f t="shared" si="29"/>
        <v xml:space="preserve">YORK, EAST RIDING: </v>
      </c>
      <c r="V932" s="11" t="e">
        <f>INDEX('Lookup 1961'!$A$2:$A$1300, MATCH(S932, 'Lookup 1961'!$B$2:$B$1300,0))</f>
        <v>#N/A</v>
      </c>
      <c r="W932" s="11" t="e">
        <f>INDEX('Lookup 1961'!$F$2:$F$1300, MATCH(S932, 'Lookup 1961'!$B$2:$B$1300,0))</f>
        <v>#N/A</v>
      </c>
      <c r="X932" s="11" t="e">
        <f>INDEX('Lookup 1961'!$C$2:$C$1300, MATCH(V932, 'Lookup 1961'!$A$2:$A$1300,0))</f>
        <v>#N/A</v>
      </c>
    </row>
    <row r="933" spans="1:24" ht="25.05" customHeight="1" x14ac:dyDescent="0.3">
      <c r="A933" s="2" t="s">
        <v>146</v>
      </c>
      <c r="B933" s="2" t="s">
        <v>5257</v>
      </c>
      <c r="S933" s="11" t="str">
        <f t="shared" si="29"/>
        <v xml:space="preserve">Non County Boroughs  </v>
      </c>
      <c r="V933" s="11" t="e">
        <f>INDEX('Lookup 1961'!$A$2:$A$1300, MATCH(S933, 'Lookup 1961'!$B$2:$B$1300,0))</f>
        <v>#N/A</v>
      </c>
      <c r="W933" s="11" t="e">
        <f>INDEX('Lookup 1961'!$F$2:$F$1300, MATCH(S933, 'Lookup 1961'!$B$2:$B$1300,0))</f>
        <v>#N/A</v>
      </c>
      <c r="X933" s="11" t="e">
        <f>INDEX('Lookup 1961'!$C$2:$C$1300, MATCH(V933, 'Lookup 1961'!$A$2:$A$1300,0))</f>
        <v>#N/A</v>
      </c>
    </row>
    <row r="934" spans="1:24" ht="25.05" customHeight="1" x14ac:dyDescent="0.3">
      <c r="A934" s="2" t="s">
        <v>871</v>
      </c>
      <c r="B934" s="2" t="s">
        <v>871</v>
      </c>
      <c r="C934" s="1">
        <v>24</v>
      </c>
      <c r="D934" s="1">
        <v>8</v>
      </c>
      <c r="E934" s="1">
        <v>17</v>
      </c>
      <c r="F934" s="1">
        <v>2</v>
      </c>
      <c r="K934" s="1">
        <v>664</v>
      </c>
      <c r="L934" s="6">
        <v>169093</v>
      </c>
      <c r="M934" s="1">
        <v>75.7</v>
      </c>
      <c r="N934" s="1">
        <v>9</v>
      </c>
      <c r="O934" s="1">
        <v>5</v>
      </c>
      <c r="P934" s="1">
        <v>21.9</v>
      </c>
      <c r="Q934" s="11">
        <f>'Table H'!$J$232</f>
        <v>0.96338693719161184</v>
      </c>
      <c r="R934" s="11">
        <f t="shared" si="28"/>
        <v>162901.98737054123</v>
      </c>
      <c r="S934" s="11" t="str">
        <f t="shared" si="29"/>
        <v>Beverley MB</v>
      </c>
      <c r="T934" s="11" t="s">
        <v>5211</v>
      </c>
      <c r="V934" s="11" t="str">
        <f>INDEX('Lookup 1961'!$A$2:$A$1300, MATCH(S934, 'Lookup 1961'!$B$2:$B$1300,0))</f>
        <v>J04000132</v>
      </c>
      <c r="W934" s="11" t="str">
        <f>INDEX('Lookup 1961'!$F$2:$F$1300, MATCH(S934, 'Lookup 1961'!$B$2:$B$1300,0))</f>
        <v>e441149</v>
      </c>
      <c r="X934" s="11" t="str">
        <f>INDEX('Lookup 1961'!$C$2:$C$1300, MATCH(V934, 'Lookup 1961'!$A$2:$A$1300,0))</f>
        <v>Humberside</v>
      </c>
    </row>
    <row r="935" spans="1:24" ht="25.05" customHeight="1" x14ac:dyDescent="0.3">
      <c r="A935" s="2" t="s">
        <v>872</v>
      </c>
      <c r="B935" s="2" t="s">
        <v>872</v>
      </c>
      <c r="C935" s="1">
        <v>24</v>
      </c>
      <c r="D935" s="1">
        <v>0</v>
      </c>
      <c r="E935" s="1">
        <v>18</v>
      </c>
      <c r="F935" s="6">
        <v>4</v>
      </c>
      <c r="G935" s="6"/>
      <c r="H935" s="6"/>
      <c r="I935" s="6"/>
      <c r="J935" s="6"/>
      <c r="K935" s="6">
        <v>1750</v>
      </c>
      <c r="L935" s="6">
        <v>435520</v>
      </c>
      <c r="M935" s="1">
        <v>60.6</v>
      </c>
      <c r="N935" s="1">
        <v>15</v>
      </c>
      <c r="O935" s="1">
        <v>16</v>
      </c>
      <c r="P935" s="1">
        <v>22</v>
      </c>
      <c r="Q935" s="11">
        <f>'Table H'!$J$232</f>
        <v>0.96338693719161184</v>
      </c>
      <c r="R935" s="11">
        <f t="shared" si="28"/>
        <v>419574.27888569079</v>
      </c>
      <c r="S935" s="11" t="str">
        <f t="shared" si="29"/>
        <v>Bridlington MB</v>
      </c>
      <c r="T935" s="11" t="s">
        <v>5211</v>
      </c>
      <c r="V935" s="11" t="str">
        <f>INDEX('Lookup 1961'!$A$2:$A$1300, MATCH(S935, 'Lookup 1961'!$B$2:$B$1300,0))</f>
        <v>J04000203</v>
      </c>
      <c r="W935" s="11" t="str">
        <f>INDEX('Lookup 1961'!$F$2:$F$1300, MATCH(S935, 'Lookup 1961'!$B$2:$B$1300,0))</f>
        <v>e441150</v>
      </c>
      <c r="X935" s="11" t="str">
        <f>INDEX('Lookup 1961'!$C$2:$C$1300, MATCH(V935, 'Lookup 1961'!$A$2:$A$1300,0))</f>
        <v>Humberside</v>
      </c>
    </row>
    <row r="936" spans="1:24" ht="25.05" customHeight="1" x14ac:dyDescent="0.3">
      <c r="A936" s="2" t="s">
        <v>873</v>
      </c>
      <c r="B936" s="2" t="s">
        <v>873</v>
      </c>
      <c r="C936" s="1">
        <v>21</v>
      </c>
      <c r="D936" s="1">
        <v>6</v>
      </c>
      <c r="E936" s="1">
        <v>15</v>
      </c>
      <c r="F936" s="1">
        <v>6</v>
      </c>
      <c r="K936" s="1">
        <v>66</v>
      </c>
      <c r="L936" s="6">
        <v>17979</v>
      </c>
      <c r="M936" s="1">
        <v>68.8</v>
      </c>
      <c r="N936" s="1">
        <v>5</v>
      </c>
      <c r="O936" s="1">
        <v>18</v>
      </c>
      <c r="P936" s="1">
        <v>14.7</v>
      </c>
      <c r="Q936" s="11">
        <f>'Table H'!$J$232</f>
        <v>0.96338693719161184</v>
      </c>
      <c r="R936" s="11">
        <f t="shared" si="28"/>
        <v>17320.733743767989</v>
      </c>
      <c r="S936" s="11" t="str">
        <f t="shared" si="29"/>
        <v>Hedon MB</v>
      </c>
      <c r="T936" s="11" t="s">
        <v>5211</v>
      </c>
      <c r="V936" s="11" t="str">
        <f>INDEX('Lookup 1961'!$A$2:$A$1300, MATCH(S936, 'Lookup 1961'!$B$2:$B$1300,0))</f>
        <v>J04000600</v>
      </c>
      <c r="W936" s="11" t="str">
        <f>INDEX('Lookup 1961'!$F$2:$F$1300, MATCH(S936, 'Lookup 1961'!$B$2:$B$1300,0))</f>
        <v>e441154</v>
      </c>
      <c r="X936" s="11" t="str">
        <f>INDEX('Lookup 1961'!$C$2:$C$1300, MATCH(V936, 'Lookup 1961'!$A$2:$A$1300,0))</f>
        <v>Humberside</v>
      </c>
    </row>
    <row r="937" spans="1:24" ht="25.05" customHeight="1" x14ac:dyDescent="0.3">
      <c r="A937" s="2" t="s">
        <v>150</v>
      </c>
      <c r="B937" s="2" t="s">
        <v>1221</v>
      </c>
      <c r="S937" s="11" t="str">
        <f t="shared" si="29"/>
        <v xml:space="preserve">Urban Districts  </v>
      </c>
      <c r="V937" s="11" t="e">
        <f>INDEX('Lookup 1961'!$A$2:$A$1300, MATCH(S937, 'Lookup 1961'!$B$2:$B$1300,0))</f>
        <v>#N/A</v>
      </c>
      <c r="W937" s="11" t="e">
        <f>INDEX('Lookup 1961'!$F$2:$F$1300, MATCH(S937, 'Lookup 1961'!$B$2:$B$1300,0))</f>
        <v>#N/A</v>
      </c>
      <c r="X937" s="11" t="e">
        <f>INDEX('Lookup 1961'!$C$2:$C$1300, MATCH(V937, 'Lookup 1961'!$A$2:$A$1300,0))</f>
        <v>#N/A</v>
      </c>
    </row>
    <row r="938" spans="1:24" ht="25.05" customHeight="1" x14ac:dyDescent="0.3">
      <c r="A938" s="2" t="s">
        <v>874</v>
      </c>
      <c r="B938" s="2" t="s">
        <v>874</v>
      </c>
      <c r="C938" s="1">
        <v>22</v>
      </c>
      <c r="D938" s="1">
        <v>0</v>
      </c>
      <c r="E938" s="1">
        <v>16</v>
      </c>
      <c r="F938" s="1">
        <v>0</v>
      </c>
      <c r="K938" s="1">
        <v>293</v>
      </c>
      <c r="L938" s="6">
        <v>73498</v>
      </c>
      <c r="M938" s="1">
        <v>115.4</v>
      </c>
      <c r="N938" s="1">
        <v>8</v>
      </c>
      <c r="O938" s="1">
        <v>13</v>
      </c>
      <c r="P938" s="1">
        <v>60.3</v>
      </c>
      <c r="Q938" s="11">
        <f>'Table H'!$J$233</f>
        <v>0.97023107252339469</v>
      </c>
      <c r="R938" s="11">
        <f t="shared" si="28"/>
        <v>71310.043368324463</v>
      </c>
      <c r="S938" s="11" t="str">
        <f t="shared" si="29"/>
        <v>Driffield UD</v>
      </c>
      <c r="T938" s="11" t="s">
        <v>5214</v>
      </c>
      <c r="V938" s="11" t="str">
        <f>INDEX('Lookup 1961'!$A$2:$A$1300, MATCH(S938, 'Lookup 1961'!$B$2:$B$1300,0))</f>
        <v>J04000427</v>
      </c>
      <c r="W938" s="11" t="str">
        <f>INDEX('Lookup 1961'!$F$2:$F$1300, MATCH(S938, 'Lookup 1961'!$B$2:$B$1300,0))</f>
        <v>e441151</v>
      </c>
      <c r="X938" s="11" t="str">
        <f>INDEX('Lookup 1961'!$C$2:$C$1300, MATCH(V938, 'Lookup 1961'!$A$2:$A$1300,0))</f>
        <v>Humberside</v>
      </c>
    </row>
    <row r="939" spans="1:24" ht="25.05" customHeight="1" x14ac:dyDescent="0.3">
      <c r="A939" s="2" t="s">
        <v>875</v>
      </c>
      <c r="B939" s="2" t="s">
        <v>875</v>
      </c>
      <c r="C939" s="1">
        <v>24</v>
      </c>
      <c r="D939" s="1">
        <v>6</v>
      </c>
      <c r="E939" s="1">
        <v>18</v>
      </c>
      <c r="F939" s="1">
        <v>6</v>
      </c>
      <c r="K939" s="1">
        <v>410</v>
      </c>
      <c r="L939" s="6">
        <v>105390</v>
      </c>
      <c r="M939" s="1">
        <v>85.2</v>
      </c>
      <c r="N939" s="1">
        <v>19</v>
      </c>
      <c r="O939" s="1">
        <v>2</v>
      </c>
      <c r="P939" s="1">
        <v>35.299999999999997</v>
      </c>
      <c r="Q939" s="11">
        <f>'Table H'!$J$233</f>
        <v>0.97023107252339469</v>
      </c>
      <c r="R939" s="11">
        <f t="shared" si="28"/>
        <v>102252.65273324057</v>
      </c>
      <c r="S939" s="11" t="str">
        <f t="shared" si="29"/>
        <v>Filey UD</v>
      </c>
      <c r="T939" s="11" t="s">
        <v>5214</v>
      </c>
      <c r="V939" s="11" t="str">
        <f>INDEX('Lookup 1961'!$A$2:$A$1300, MATCH(S939, 'Lookup 1961'!$B$2:$B$1300,0))</f>
        <v>J04000502</v>
      </c>
      <c r="W939" s="11" t="str">
        <f>INDEX('Lookup 1961'!$F$2:$F$1300, MATCH(S939, 'Lookup 1961'!$B$2:$B$1300,0))</f>
        <v>e441152</v>
      </c>
      <c r="X939" s="11" t="str">
        <f>INDEX('Lookup 1961'!$C$2:$C$1300, MATCH(V939, 'Lookup 1961'!$A$2:$A$1300,0))</f>
        <v>North Yorkshire</v>
      </c>
    </row>
    <row r="940" spans="1:24" ht="25.05" customHeight="1" x14ac:dyDescent="0.3">
      <c r="A940" s="2" t="s">
        <v>876</v>
      </c>
      <c r="B940" s="2" t="s">
        <v>876</v>
      </c>
      <c r="C940" s="1">
        <v>25</v>
      </c>
      <c r="D940" s="1">
        <v>10</v>
      </c>
      <c r="E940" s="1">
        <v>18</v>
      </c>
      <c r="F940" s="1">
        <v>2</v>
      </c>
      <c r="K940" s="6">
        <v>1840</v>
      </c>
      <c r="L940" s="6">
        <v>445107</v>
      </c>
      <c r="M940" s="1">
        <v>83.4</v>
      </c>
      <c r="N940" s="1">
        <v>10</v>
      </c>
      <c r="O940" s="1">
        <v>10</v>
      </c>
      <c r="P940" s="1">
        <v>27.8</v>
      </c>
      <c r="Q940" s="11">
        <f>'Table H'!$J$233</f>
        <v>0.97023107252339469</v>
      </c>
      <c r="R940" s="11">
        <f t="shared" si="28"/>
        <v>431856.64199767064</v>
      </c>
      <c r="S940" s="11" t="str">
        <f t="shared" si="29"/>
        <v>Haltemprice UD</v>
      </c>
      <c r="T940" s="11" t="s">
        <v>5214</v>
      </c>
      <c r="V940" s="11" t="str">
        <f>INDEX('Lookup 1961'!$A$2:$A$1300, MATCH(S940, 'Lookup 1961'!$B$2:$B$1300,0))</f>
        <v>J04000569</v>
      </c>
      <c r="W940" s="11" t="str">
        <f>INDEX('Lookup 1961'!$F$2:$F$1300, MATCH(S940, 'Lookup 1961'!$B$2:$B$1300,0))</f>
        <v>e441153</v>
      </c>
      <c r="X940" s="11" t="str">
        <f>INDEX('Lookup 1961'!$C$2:$C$1300, MATCH(V940, 'Lookup 1961'!$A$2:$A$1300,0))</f>
        <v>Humberside</v>
      </c>
    </row>
    <row r="941" spans="1:24" ht="25.05" customHeight="1" x14ac:dyDescent="0.3">
      <c r="A941" s="2" t="s">
        <v>877</v>
      </c>
      <c r="B941" s="2" t="s">
        <v>877</v>
      </c>
      <c r="C941" s="1">
        <v>24</v>
      </c>
      <c r="D941" s="1">
        <v>6</v>
      </c>
      <c r="E941" s="1">
        <v>18</v>
      </c>
      <c r="F941" s="1">
        <v>8</v>
      </c>
      <c r="K941" s="1">
        <v>273</v>
      </c>
      <c r="L941" s="6">
        <v>68752</v>
      </c>
      <c r="M941" s="1">
        <v>56.1</v>
      </c>
      <c r="N941" s="1">
        <v>11</v>
      </c>
      <c r="O941" s="1">
        <v>16</v>
      </c>
      <c r="P941" s="1">
        <v>21</v>
      </c>
      <c r="Q941" s="11">
        <f>'Table H'!$J$233</f>
        <v>0.97023107252339469</v>
      </c>
      <c r="R941" s="11">
        <f t="shared" si="28"/>
        <v>66705.326698128425</v>
      </c>
      <c r="S941" s="11" t="str">
        <f t="shared" si="29"/>
        <v>Hornsea UD</v>
      </c>
      <c r="T941" s="11" t="s">
        <v>5214</v>
      </c>
      <c r="V941" s="11" t="str">
        <f>INDEX('Lookup 1961'!$A$2:$A$1300, MATCH(S941, 'Lookup 1961'!$B$2:$B$1300,0))</f>
        <v>J04000645</v>
      </c>
      <c r="W941" s="11" t="str">
        <f>INDEX('Lookup 1961'!$F$2:$F$1300, MATCH(S941, 'Lookup 1961'!$B$2:$B$1300,0))</f>
        <v>e441155</v>
      </c>
      <c r="X941" s="11" t="str">
        <f>INDEX('Lookup 1961'!$C$2:$C$1300, MATCH(V941, 'Lookup 1961'!$A$2:$A$1300,0))</f>
        <v>Humberside</v>
      </c>
    </row>
    <row r="942" spans="1:24" ht="25.05" customHeight="1" x14ac:dyDescent="0.3">
      <c r="A942" s="2" t="s">
        <v>878</v>
      </c>
      <c r="B942" s="2" t="s">
        <v>878</v>
      </c>
      <c r="C942" s="1">
        <v>23</v>
      </c>
      <c r="D942" s="1">
        <v>3</v>
      </c>
      <c r="E942" s="1">
        <v>15</v>
      </c>
      <c r="F942" s="1">
        <v>10</v>
      </c>
      <c r="K942" s="1">
        <v>170</v>
      </c>
      <c r="L942" s="6">
        <v>43135</v>
      </c>
      <c r="M942" s="1">
        <v>68.099999999999994</v>
      </c>
      <c r="N942" s="1">
        <v>6</v>
      </c>
      <c r="O942" s="1">
        <v>18</v>
      </c>
      <c r="P942" s="1">
        <v>15.2</v>
      </c>
      <c r="Q942" s="11">
        <f>'Table H'!$J$233</f>
        <v>0.97023107252339469</v>
      </c>
      <c r="R942" s="11">
        <f t="shared" si="28"/>
        <v>41850.917313296632</v>
      </c>
      <c r="S942" s="11" t="str">
        <f t="shared" si="29"/>
        <v>Norton UD</v>
      </c>
      <c r="T942" s="11" t="s">
        <v>5214</v>
      </c>
      <c r="V942" s="11" t="str">
        <f>INDEX('Lookup 1961'!$A$2:$A$1300, MATCH(S942, 'Lookup 1961'!$B$2:$B$1300,0))</f>
        <v>J04000940</v>
      </c>
      <c r="W942" s="11" t="str">
        <f>INDEX('Lookup 1961'!$F$2:$F$1300, MATCH(S942, 'Lookup 1961'!$B$2:$B$1300,0))</f>
        <v>e441156</v>
      </c>
      <c r="X942" s="11" t="str">
        <f>INDEX('Lookup 1961'!$C$2:$C$1300, MATCH(V942, 'Lookup 1961'!$A$2:$A$1300,0))</f>
        <v>North Yorkshire</v>
      </c>
    </row>
    <row r="943" spans="1:24" ht="25.05" customHeight="1" x14ac:dyDescent="0.3">
      <c r="A943" s="2" t="s">
        <v>879</v>
      </c>
      <c r="B943" s="2" t="s">
        <v>879</v>
      </c>
      <c r="C943" s="1">
        <v>23</v>
      </c>
      <c r="D943" s="1">
        <v>10</v>
      </c>
      <c r="E943" s="1">
        <v>17</v>
      </c>
      <c r="F943" s="1">
        <v>10</v>
      </c>
      <c r="K943" s="1">
        <v>217</v>
      </c>
      <c r="L943" s="6">
        <v>57642</v>
      </c>
      <c r="M943" s="1">
        <v>80.900000000000006</v>
      </c>
      <c r="N943" s="1">
        <v>10</v>
      </c>
      <c r="O943" s="1">
        <v>2</v>
      </c>
      <c r="P943" s="1">
        <v>36.1</v>
      </c>
      <c r="Q943" s="11">
        <f>'Table H'!$J$233</f>
        <v>0.97023107252339469</v>
      </c>
      <c r="R943" s="11">
        <f t="shared" si="28"/>
        <v>55926.059482393517</v>
      </c>
      <c r="S943" s="11" t="str">
        <f t="shared" si="29"/>
        <v>Withernsea UD</v>
      </c>
      <c r="T943" s="11" t="s">
        <v>5214</v>
      </c>
      <c r="V943" s="11" t="str">
        <f>INDEX('Lookup 1961'!$A$2:$A$1300, MATCH(S943, 'Lookup 1961'!$B$2:$B$1300,0))</f>
        <v>J04001434</v>
      </c>
      <c r="W943" s="11" t="str">
        <f>INDEX('Lookup 1961'!$F$2:$F$1300, MATCH(S943, 'Lookup 1961'!$B$2:$B$1300,0))</f>
        <v>e441157</v>
      </c>
      <c r="X943" s="11" t="str">
        <f>INDEX('Lookup 1961'!$C$2:$C$1300, MATCH(V943, 'Lookup 1961'!$A$2:$A$1300,0))</f>
        <v>Humberside</v>
      </c>
    </row>
    <row r="944" spans="1:24" ht="25.05" customHeight="1" x14ac:dyDescent="0.3">
      <c r="A944" s="2" t="s">
        <v>880</v>
      </c>
      <c r="B944" s="2" t="s">
        <v>880</v>
      </c>
      <c r="S944" s="11" t="str">
        <f t="shared" si="29"/>
        <v xml:space="preserve">YORK, NORTH RIDING: </v>
      </c>
      <c r="V944" s="11" t="e">
        <f>INDEX('Lookup 1961'!$A$2:$A$1300, MATCH(S944, 'Lookup 1961'!$B$2:$B$1300,0))</f>
        <v>#N/A</v>
      </c>
      <c r="W944" s="11" t="e">
        <f>INDEX('Lookup 1961'!$F$2:$F$1300, MATCH(S944, 'Lookup 1961'!$B$2:$B$1300,0))</f>
        <v>#N/A</v>
      </c>
      <c r="X944" s="11" t="e">
        <f>INDEX('Lookup 1961'!$C$2:$C$1300, MATCH(V944, 'Lookup 1961'!$A$2:$A$1300,0))</f>
        <v>#N/A</v>
      </c>
    </row>
    <row r="945" spans="1:24" ht="25.05" customHeight="1" x14ac:dyDescent="0.3">
      <c r="A945" s="2" t="s">
        <v>146</v>
      </c>
      <c r="B945" s="2" t="s">
        <v>5257</v>
      </c>
      <c r="S945" s="11" t="str">
        <f t="shared" si="29"/>
        <v xml:space="preserve">Non County Boroughs  </v>
      </c>
      <c r="V945" s="11" t="e">
        <f>INDEX('Lookup 1961'!$A$2:$A$1300, MATCH(S945, 'Lookup 1961'!$B$2:$B$1300,0))</f>
        <v>#N/A</v>
      </c>
      <c r="W945" s="11" t="e">
        <f>INDEX('Lookup 1961'!$F$2:$F$1300, MATCH(S945, 'Lookup 1961'!$B$2:$B$1300,0))</f>
        <v>#N/A</v>
      </c>
      <c r="X945" s="11" t="e">
        <f>INDEX('Lookup 1961'!$C$2:$C$1300, MATCH(V945, 'Lookup 1961'!$A$2:$A$1300,0))</f>
        <v>#N/A</v>
      </c>
    </row>
    <row r="946" spans="1:24" ht="25.05" customHeight="1" x14ac:dyDescent="0.3">
      <c r="A946" s="2" t="s">
        <v>881</v>
      </c>
      <c r="B946" s="2" t="s">
        <v>881</v>
      </c>
      <c r="C946" s="1">
        <v>26</v>
      </c>
      <c r="D946" s="1">
        <v>2</v>
      </c>
      <c r="E946" s="1">
        <v>18</v>
      </c>
      <c r="F946" s="1">
        <v>0</v>
      </c>
      <c r="K946" s="6">
        <v>1465</v>
      </c>
      <c r="L946" s="8">
        <v>371691</v>
      </c>
      <c r="M946" s="1">
        <v>79.900000000000006</v>
      </c>
      <c r="N946" s="1">
        <v>11</v>
      </c>
      <c r="O946" s="1">
        <v>10</v>
      </c>
      <c r="P946" s="1">
        <v>21.6</v>
      </c>
      <c r="Q946" s="11">
        <f>'Table H'!$J$237</f>
        <v>0.9230029905992716</v>
      </c>
      <c r="R946" s="11">
        <f t="shared" si="28"/>
        <v>343071.90457883384</v>
      </c>
      <c r="S946" s="11" t="str">
        <f t="shared" si="29"/>
        <v>Redcar MB</v>
      </c>
      <c r="T946" s="11" t="s">
        <v>5211</v>
      </c>
      <c r="V946" s="11" t="str">
        <f>INDEX('Lookup 1961'!$A$2:$A$1300, MATCH(S946, 'Lookup 1961'!$B$2:$B$1300,0))</f>
        <v>J04001037</v>
      </c>
      <c r="W946" s="11" t="str">
        <f>INDEX('Lookup 1961'!$F$2:$F$1300, MATCH(S946, 'Lookup 1961'!$B$2:$B$1300,0))</f>
        <v>e451167</v>
      </c>
      <c r="X946" s="11" t="str">
        <f>INDEX('Lookup 1961'!$C$2:$C$1300, MATCH(V946, 'Lookup 1961'!$A$2:$A$1300,0))</f>
        <v>Cleveland</v>
      </c>
    </row>
    <row r="947" spans="1:24" ht="25.05" customHeight="1" x14ac:dyDescent="0.3">
      <c r="A947" s="2" t="s">
        <v>789</v>
      </c>
      <c r="B947" s="2" t="s">
        <v>789</v>
      </c>
      <c r="C947" s="1">
        <v>29</v>
      </c>
      <c r="D947" s="1">
        <v>2</v>
      </c>
      <c r="E947" s="1">
        <v>22</v>
      </c>
      <c r="F947" s="1">
        <v>0</v>
      </c>
      <c r="K947" s="1">
        <v>266</v>
      </c>
      <c r="L947" s="6">
        <v>66274</v>
      </c>
      <c r="M947" s="1">
        <v>66.099999999999994</v>
      </c>
      <c r="N947" s="1">
        <v>12</v>
      </c>
      <c r="O947" s="1">
        <v>9</v>
      </c>
      <c r="P947" s="1">
        <v>27.1</v>
      </c>
      <c r="Q947" s="11">
        <f>'Table H'!$J$237</f>
        <v>0.9230029905992716</v>
      </c>
      <c r="R947" s="11">
        <f t="shared" si="28"/>
        <v>61171.100198976128</v>
      </c>
      <c r="S947" s="11" t="str">
        <f t="shared" si="29"/>
        <v>Richmond MB</v>
      </c>
      <c r="T947" s="11" t="s">
        <v>5211</v>
      </c>
      <c r="V947" s="11" t="str">
        <f>INDEX('Lookup 1961'!$A$2:$A$1300, MATCH(S947, 'Lookup 1961'!$B$2:$B$1300,0))</f>
        <v>J04001047</v>
      </c>
      <c r="W947" s="11" t="str">
        <f>INDEX('Lookup 1961'!$F$2:$F$1300, MATCH(S947, 'Lookup 1961'!$B$2:$B$1300,0))</f>
        <v>e451173</v>
      </c>
      <c r="X947" s="11" t="str">
        <f>INDEX('Lookup 1961'!$C$2:$C$1300, MATCH(V947, 'Lookup 1961'!$A$2:$A$1300,0))</f>
        <v>North Yorkshire</v>
      </c>
    </row>
    <row r="948" spans="1:24" ht="25.05" customHeight="1" x14ac:dyDescent="0.3">
      <c r="A948" s="2" t="s">
        <v>882</v>
      </c>
      <c r="B948" s="2" t="s">
        <v>882</v>
      </c>
      <c r="C948" s="1">
        <v>23</v>
      </c>
      <c r="D948" s="1">
        <v>9</v>
      </c>
      <c r="E948" s="1">
        <v>16</v>
      </c>
      <c r="F948" s="1">
        <v>4</v>
      </c>
      <c r="K948" s="6">
        <v>3520</v>
      </c>
      <c r="L948" s="6">
        <v>904075</v>
      </c>
      <c r="M948" s="1">
        <v>56.3</v>
      </c>
      <c r="N948" s="1">
        <v>16</v>
      </c>
      <c r="O948" s="1">
        <v>1</v>
      </c>
      <c r="P948" s="1">
        <v>6.4</v>
      </c>
      <c r="Q948" s="11">
        <f>'Table H'!$J$237</f>
        <v>0.9230029905992716</v>
      </c>
      <c r="R948" s="11">
        <f t="shared" si="28"/>
        <v>834463.92872603645</v>
      </c>
      <c r="S948" s="11" t="str">
        <f t="shared" si="29"/>
        <v>Scarborough MB</v>
      </c>
      <c r="T948" s="11" t="s">
        <v>5211</v>
      </c>
      <c r="V948" s="11" t="str">
        <f>INDEX('Lookup 1961'!$A$2:$A$1300, MATCH(S948, 'Lookup 1961'!$B$2:$B$1300,0))</f>
        <v>J04001107</v>
      </c>
      <c r="W948" s="11" t="str">
        <f>INDEX('Lookup 1961'!$F$2:$F$1300, MATCH(S948, 'Lookup 1961'!$B$2:$B$1300,0))</f>
        <v>e451176</v>
      </c>
      <c r="X948" s="11" t="str">
        <f>INDEX('Lookup 1961'!$C$2:$C$1300, MATCH(V948, 'Lookup 1961'!$A$2:$A$1300,0))</f>
        <v>North Yorkshire</v>
      </c>
    </row>
    <row r="949" spans="1:24" ht="25.05" customHeight="1" x14ac:dyDescent="0.3">
      <c r="A949" s="2" t="s">
        <v>883</v>
      </c>
      <c r="B949" s="2" t="s">
        <v>5283</v>
      </c>
      <c r="C949" s="1">
        <v>26</v>
      </c>
      <c r="D949" s="1">
        <v>6</v>
      </c>
      <c r="E949" s="1">
        <v>19</v>
      </c>
      <c r="F949" s="1">
        <v>0</v>
      </c>
      <c r="K949" s="1">
        <v>620</v>
      </c>
      <c r="L949" s="6">
        <v>168694</v>
      </c>
      <c r="M949" s="1">
        <v>66.7</v>
      </c>
      <c r="N949" s="1">
        <v>6</v>
      </c>
      <c r="O949" s="1">
        <v>6</v>
      </c>
      <c r="P949" s="1">
        <v>21.2</v>
      </c>
      <c r="Q949" s="11">
        <f>'Table H'!$J$237</f>
        <v>0.9230029905992716</v>
      </c>
      <c r="R949" s="11">
        <f t="shared" si="28"/>
        <v>155705.06649615354</v>
      </c>
      <c r="S949" s="11" t="str">
        <f t="shared" si="29"/>
        <v>Thornaby on Tees MB</v>
      </c>
      <c r="T949" s="11" t="s">
        <v>5211</v>
      </c>
      <c r="V949" s="11" t="str">
        <f>INDEX('Lookup 1961'!$A$2:$A$1300, MATCH(S949, 'Lookup 1961'!$B$2:$B$1300,0))</f>
        <v>J04001270</v>
      </c>
      <c r="W949" s="11" t="str">
        <f>INDEX('Lookup 1961'!$F$2:$F$1300, MATCH(S949, 'Lookup 1961'!$B$2:$B$1300,0))</f>
        <v>e451167</v>
      </c>
      <c r="X949" s="11" t="str">
        <f>INDEX('Lookup 1961'!$C$2:$C$1300, MATCH(V949, 'Lookup 1961'!$A$2:$A$1300,0))</f>
        <v>Cleveland</v>
      </c>
    </row>
    <row r="950" spans="1:24" ht="25.05" customHeight="1" x14ac:dyDescent="0.3">
      <c r="A950" s="2" t="s">
        <v>150</v>
      </c>
      <c r="B950" s="2" t="s">
        <v>1221</v>
      </c>
      <c r="S950" s="11" t="str">
        <f t="shared" si="29"/>
        <v xml:space="preserve">Urban Districts  </v>
      </c>
      <c r="V950" s="11" t="e">
        <f>INDEX('Lookup 1961'!$A$2:$A$1300, MATCH(S950, 'Lookup 1961'!$B$2:$B$1300,0))</f>
        <v>#N/A</v>
      </c>
      <c r="W950" s="11" t="e">
        <f>INDEX('Lookup 1961'!$F$2:$F$1300, MATCH(S950, 'Lookup 1961'!$B$2:$B$1300,0))</f>
        <v>#N/A</v>
      </c>
      <c r="X950" s="11" t="e">
        <f>INDEX('Lookup 1961'!$C$2:$C$1300, MATCH(V950, 'Lookup 1961'!$A$2:$A$1300,0))</f>
        <v>#N/A</v>
      </c>
    </row>
    <row r="951" spans="1:24" ht="25.05" customHeight="1" x14ac:dyDescent="0.3">
      <c r="A951" s="2" t="s">
        <v>884</v>
      </c>
      <c r="B951" s="2" t="s">
        <v>884</v>
      </c>
      <c r="C951" s="1">
        <v>24</v>
      </c>
      <c r="D951" s="1">
        <v>0</v>
      </c>
      <c r="E951" s="1">
        <v>16</v>
      </c>
      <c r="F951" s="1">
        <v>0</v>
      </c>
      <c r="K951" s="6">
        <v>1660</v>
      </c>
      <c r="L951" s="6">
        <v>421118</v>
      </c>
      <c r="M951" s="1">
        <v>147.1</v>
      </c>
      <c r="N951" s="1">
        <v>9</v>
      </c>
      <c r="O951" s="1">
        <v>7</v>
      </c>
      <c r="P951" s="1">
        <v>62.1</v>
      </c>
      <c r="Q951" s="11">
        <f>'Table H'!$J$238</f>
        <v>0.76081222595887787</v>
      </c>
      <c r="R951" s="11">
        <f t="shared" si="28"/>
        <v>320391.72297135071</v>
      </c>
      <c r="S951" s="11" t="str">
        <f t="shared" si="29"/>
        <v>Eston UD</v>
      </c>
      <c r="T951" s="11" t="s">
        <v>5214</v>
      </c>
      <c r="V951" s="11" t="str">
        <f>INDEX('Lookup 1961'!$A$2:$A$1300, MATCH(S951, 'Lookup 1961'!$B$2:$B$1300,0))</f>
        <v>J04000481</v>
      </c>
      <c r="W951" s="11" t="str">
        <f>INDEX('Lookup 1961'!$F$2:$F$1300, MATCH(S951, 'Lookup 1961'!$B$2:$B$1300,0))</f>
        <v>e451167</v>
      </c>
      <c r="X951" s="11" t="str">
        <f>INDEX('Lookup 1961'!$C$2:$C$1300, MATCH(V951, 'Lookup 1961'!$A$2:$A$1300,0))</f>
        <v>Cleveland</v>
      </c>
    </row>
    <row r="952" spans="1:24" ht="25.05" customHeight="1" x14ac:dyDescent="0.3">
      <c r="A952" s="2" t="s">
        <v>885</v>
      </c>
      <c r="B952" s="2" t="s">
        <v>885</v>
      </c>
      <c r="C952" s="1">
        <v>24</v>
      </c>
      <c r="D952" s="1">
        <v>6</v>
      </c>
      <c r="E952" s="1">
        <v>16</v>
      </c>
      <c r="F952" s="1">
        <v>0</v>
      </c>
      <c r="K952" s="1">
        <v>388</v>
      </c>
      <c r="L952" s="6">
        <v>98459</v>
      </c>
      <c r="M952" s="1">
        <v>95.8</v>
      </c>
      <c r="N952" s="1">
        <v>8</v>
      </c>
      <c r="O952" s="1">
        <v>16</v>
      </c>
      <c r="P952" s="1">
        <v>6.7</v>
      </c>
      <c r="Q952" s="11">
        <f>'Table H'!$J$238</f>
        <v>0.76081222595887787</v>
      </c>
      <c r="R952" s="11">
        <f t="shared" si="28"/>
        <v>74908.810955685156</v>
      </c>
      <c r="S952" s="11" t="str">
        <f t="shared" si="29"/>
        <v>Guisborough UD</v>
      </c>
      <c r="T952" s="11" t="s">
        <v>5214</v>
      </c>
      <c r="V952" s="11" t="str">
        <f>INDEX('Lookup 1961'!$A$2:$A$1300, MATCH(S952, 'Lookup 1961'!$B$2:$B$1300,0))</f>
        <v>J04000558</v>
      </c>
      <c r="W952" s="11" t="str">
        <f>INDEX('Lookup 1961'!$F$2:$F$1300, MATCH(S952, 'Lookup 1961'!$B$2:$B$1300,0))</f>
        <v>e451168</v>
      </c>
      <c r="X952" s="11" t="str">
        <f>INDEX('Lookup 1961'!$C$2:$C$1300, MATCH(V952, 'Lookup 1961'!$A$2:$A$1300,0))</f>
        <v>Cleveland</v>
      </c>
    </row>
    <row r="953" spans="1:24" ht="25.05" customHeight="1" x14ac:dyDescent="0.3">
      <c r="A953" s="2" t="s">
        <v>886</v>
      </c>
      <c r="B953" s="2" t="s">
        <v>886</v>
      </c>
      <c r="C953" s="1">
        <v>24</v>
      </c>
      <c r="D953" s="1">
        <v>8</v>
      </c>
      <c r="E953" s="1">
        <v>16</v>
      </c>
      <c r="F953" s="1">
        <v>6</v>
      </c>
      <c r="K953" s="1">
        <v>256</v>
      </c>
      <c r="L953" s="6">
        <v>68595</v>
      </c>
      <c r="M953" s="1">
        <v>111.3</v>
      </c>
      <c r="N953" s="1">
        <v>6</v>
      </c>
      <c r="O953" s="1">
        <v>18</v>
      </c>
      <c r="P953" s="1">
        <v>40.6</v>
      </c>
      <c r="Q953" s="11">
        <f>'Table H'!$J$238</f>
        <v>0.76081222595887787</v>
      </c>
      <c r="R953" s="11">
        <f t="shared" si="28"/>
        <v>52187.914639649229</v>
      </c>
      <c r="S953" s="11" t="str">
        <f t="shared" si="29"/>
        <v>Loftus UD</v>
      </c>
      <c r="T953" s="11" t="s">
        <v>5214</v>
      </c>
      <c r="V953" s="11" t="str">
        <f>INDEX('Lookup 1961'!$A$2:$A$1300, MATCH(S953, 'Lookup 1961'!$B$2:$B$1300,0))</f>
        <v>J04000774</v>
      </c>
      <c r="W953" s="11" t="str">
        <f>INDEX('Lookup 1961'!$F$2:$F$1300, MATCH(S953, 'Lookup 1961'!$B$2:$B$1300,0))</f>
        <v>e451169</v>
      </c>
      <c r="X953" s="11" t="str">
        <f>INDEX('Lookup 1961'!$C$2:$C$1300, MATCH(V953, 'Lookup 1961'!$A$2:$A$1300,0))</f>
        <v>Cleveland</v>
      </c>
    </row>
    <row r="954" spans="1:24" ht="25.05" customHeight="1" x14ac:dyDescent="0.3">
      <c r="A954" s="2" t="s">
        <v>887</v>
      </c>
      <c r="B954" s="2" t="s">
        <v>887</v>
      </c>
      <c r="C954" s="1">
        <v>25</v>
      </c>
      <c r="D954" s="1">
        <v>0</v>
      </c>
      <c r="E954" s="1">
        <v>17</v>
      </c>
      <c r="F954" s="1">
        <v>2</v>
      </c>
      <c r="K954" s="1">
        <v>190</v>
      </c>
      <c r="L954" s="6">
        <v>51652</v>
      </c>
      <c r="M954" s="1">
        <v>65.599999999999994</v>
      </c>
      <c r="N954" s="1">
        <v>10</v>
      </c>
      <c r="O954" s="1">
        <v>2</v>
      </c>
      <c r="P954" s="1">
        <v>12.8</v>
      </c>
      <c r="Q954" s="11">
        <f>'Table H'!$J$238</f>
        <v>0.76081222595887787</v>
      </c>
      <c r="R954" s="11">
        <f t="shared" si="28"/>
        <v>39297.473095227957</v>
      </c>
      <c r="S954" s="11" t="str">
        <f t="shared" si="29"/>
        <v>Malton UD</v>
      </c>
      <c r="T954" s="11" t="s">
        <v>5214</v>
      </c>
      <c r="V954" s="11" t="str">
        <f>INDEX('Lookup 1961'!$A$2:$A$1300, MATCH(S954, 'Lookup 1961'!$B$2:$B$1300,0))</f>
        <v>J04000819</v>
      </c>
      <c r="W954" s="11" t="str">
        <f>INDEX('Lookup 1961'!$F$2:$F$1300, MATCH(S954, 'Lookup 1961'!$B$2:$B$1300,0))</f>
        <v>e451170</v>
      </c>
      <c r="X954" s="11" t="str">
        <f>INDEX('Lookup 1961'!$C$2:$C$1300, MATCH(V954, 'Lookup 1961'!$A$2:$A$1300,0))</f>
        <v>North Yorkshire</v>
      </c>
    </row>
    <row r="955" spans="1:24" ht="25.05" customHeight="1" x14ac:dyDescent="0.3">
      <c r="A955" s="2" t="s">
        <v>888</v>
      </c>
      <c r="B955" s="2" t="s">
        <v>888</v>
      </c>
      <c r="C955" s="1">
        <v>24</v>
      </c>
      <c r="D955" s="1">
        <v>6</v>
      </c>
      <c r="E955" s="1">
        <v>16</v>
      </c>
      <c r="F955" s="1">
        <v>8</v>
      </c>
      <c r="K955" s="1">
        <v>300</v>
      </c>
      <c r="L955" s="6">
        <v>79627</v>
      </c>
      <c r="M955" s="1">
        <v>81.8</v>
      </c>
      <c r="N955" s="1">
        <v>11</v>
      </c>
      <c r="O955" s="1">
        <v>8</v>
      </c>
      <c r="P955" s="1">
        <v>29.1</v>
      </c>
      <c r="Q955" s="11">
        <f>'Table H'!$J$238</f>
        <v>0.76081222595887787</v>
      </c>
      <c r="R955" s="11">
        <f t="shared" si="28"/>
        <v>60581.195116427567</v>
      </c>
      <c r="S955" s="11" t="str">
        <f t="shared" si="29"/>
        <v>Northallerton UD</v>
      </c>
      <c r="T955" s="11" t="s">
        <v>5214</v>
      </c>
      <c r="V955" s="11" t="str">
        <f>INDEX('Lookup 1961'!$A$2:$A$1300, MATCH(S955, 'Lookup 1961'!$B$2:$B$1300,0))</f>
        <v>J04000930</v>
      </c>
      <c r="W955" s="11" t="str">
        <f>INDEX('Lookup 1961'!$F$2:$F$1300, MATCH(S955, 'Lookup 1961'!$B$2:$B$1300,0))</f>
        <v>e451171</v>
      </c>
      <c r="X955" s="11" t="str">
        <f>INDEX('Lookup 1961'!$C$2:$C$1300, MATCH(V955, 'Lookup 1961'!$A$2:$A$1300,0))</f>
        <v>North Yorkshire</v>
      </c>
    </row>
    <row r="956" spans="1:24" ht="25.05" customHeight="1" x14ac:dyDescent="0.3">
      <c r="A956" s="2" t="s">
        <v>889</v>
      </c>
      <c r="B956" s="2" t="s">
        <v>889</v>
      </c>
      <c r="C956" s="1">
        <v>26</v>
      </c>
      <c r="D956" s="1">
        <v>6</v>
      </c>
      <c r="E956" s="1">
        <v>19</v>
      </c>
      <c r="F956" s="1">
        <v>0</v>
      </c>
      <c r="K956" s="1">
        <v>145</v>
      </c>
      <c r="L956" s="6">
        <v>38801</v>
      </c>
      <c r="M956" s="1">
        <v>77</v>
      </c>
      <c r="N956" s="1">
        <v>8</v>
      </c>
      <c r="O956" s="1">
        <v>8</v>
      </c>
      <c r="P956" s="1">
        <v>22.9</v>
      </c>
      <c r="Q956" s="11">
        <f>'Table H'!$J$238</f>
        <v>0.76081222595887787</v>
      </c>
      <c r="R956" s="11">
        <f t="shared" si="28"/>
        <v>29520.27517943042</v>
      </c>
      <c r="S956" s="11" t="str">
        <f t="shared" si="29"/>
        <v>Pickering UD</v>
      </c>
      <c r="T956" s="11" t="s">
        <v>5214</v>
      </c>
      <c r="V956" s="11" t="str">
        <f>INDEX('Lookup 1961'!$A$2:$A$1300, MATCH(S956, 'Lookup 1961'!$B$2:$B$1300,0))</f>
        <v>J04000994</v>
      </c>
      <c r="W956" s="11" t="str">
        <f>INDEX('Lookup 1961'!$F$2:$F$1300, MATCH(S956, 'Lookup 1961'!$B$2:$B$1300,0))</f>
        <v>e451172</v>
      </c>
      <c r="X956" s="11" t="str">
        <f>INDEX('Lookup 1961'!$C$2:$C$1300, MATCH(V956, 'Lookup 1961'!$A$2:$A$1300,0))</f>
        <v>North Yorkshire</v>
      </c>
    </row>
    <row r="957" spans="1:24" ht="25.05" customHeight="1" x14ac:dyDescent="0.3">
      <c r="A957" s="5" t="s">
        <v>890</v>
      </c>
      <c r="B957" s="5" t="s">
        <v>5308</v>
      </c>
      <c r="C957" s="1">
        <v>24</v>
      </c>
      <c r="D957" s="1">
        <v>4</v>
      </c>
      <c r="E957" s="1">
        <v>18</v>
      </c>
      <c r="F957" s="1">
        <v>0</v>
      </c>
      <c r="K957" s="1">
        <v>364</v>
      </c>
      <c r="L957" s="6">
        <v>94778</v>
      </c>
      <c r="M957" s="1">
        <v>48.1</v>
      </c>
      <c r="N957" s="1">
        <v>10</v>
      </c>
      <c r="O957" s="1">
        <v>2</v>
      </c>
      <c r="P957" s="1">
        <v>18</v>
      </c>
      <c r="Q957" s="11">
        <f>'Table H'!$J$238</f>
        <v>0.76081222595887787</v>
      </c>
      <c r="R957" s="11">
        <f t="shared" si="28"/>
        <v>72108.261151930521</v>
      </c>
      <c r="S957" s="11" t="str">
        <f t="shared" si="29"/>
        <v>Saltburn and Marske-by-the-Sea UD</v>
      </c>
      <c r="T957" s="11" t="s">
        <v>5214</v>
      </c>
      <c r="V957" s="11" t="str">
        <f>INDEX('Lookup 1961'!$A$2:$A$1300, MATCH(S957, 'Lookup 1961'!$B$2:$B$1300,0))</f>
        <v>J04001098</v>
      </c>
      <c r="W957" s="11" t="str">
        <f>INDEX('Lookup 1961'!$F$2:$F$1300, MATCH(S957, 'Lookup 1961'!$B$2:$B$1300,0))</f>
        <v>e451174</v>
      </c>
      <c r="X957" s="11" t="str">
        <f>INDEX('Lookup 1961'!$C$2:$C$1300, MATCH(V957, 'Lookup 1961'!$A$2:$A$1300,0))</f>
        <v>Cleveland</v>
      </c>
    </row>
    <row r="958" spans="1:24" ht="25.05" customHeight="1" x14ac:dyDescent="0.3">
      <c r="A958" s="2" t="s">
        <v>891</v>
      </c>
      <c r="B958" s="2" t="s">
        <v>891</v>
      </c>
      <c r="C958" s="1">
        <v>20</v>
      </c>
      <c r="D958" s="1">
        <v>2</v>
      </c>
      <c r="E958" s="1">
        <v>14</v>
      </c>
      <c r="F958" s="1">
        <v>2</v>
      </c>
      <c r="K958" s="1">
        <v>345</v>
      </c>
      <c r="L958" s="6">
        <v>88598</v>
      </c>
      <c r="M958" s="1">
        <v>41.6</v>
      </c>
      <c r="N958" s="1">
        <v>9</v>
      </c>
      <c r="O958" s="1">
        <v>12</v>
      </c>
      <c r="P958" s="1">
        <v>-4.0999999999999996</v>
      </c>
      <c r="Q958" s="11">
        <f>'Table H'!$J$238</f>
        <v>0.76081222595887787</v>
      </c>
      <c r="R958" s="11">
        <f t="shared" si="28"/>
        <v>67406.441595504657</v>
      </c>
      <c r="S958" s="11" t="str">
        <f t="shared" si="29"/>
        <v>Scalby UD</v>
      </c>
      <c r="T958" s="11" t="s">
        <v>5214</v>
      </c>
      <c r="V958" s="11" t="str">
        <f>INDEX('Lookup 1961'!$A$2:$A$1300, MATCH(S958, 'Lookup 1961'!$B$2:$B$1300,0))</f>
        <v>J04001106</v>
      </c>
      <c r="W958" s="11" t="str">
        <f>INDEX('Lookup 1961'!$F$2:$F$1300, MATCH(S958, 'Lookup 1961'!$B$2:$B$1300,0))</f>
        <v>e451175</v>
      </c>
      <c r="X958" s="11" t="str">
        <f>INDEX('Lookup 1961'!$C$2:$C$1300, MATCH(V958, 'Lookup 1961'!$A$2:$A$1300,0))</f>
        <v>North Yorkshire</v>
      </c>
    </row>
    <row r="959" spans="1:24" ht="25.05" customHeight="1" x14ac:dyDescent="0.3">
      <c r="A959" s="2" t="s">
        <v>892</v>
      </c>
      <c r="B959" s="2" t="s">
        <v>892</v>
      </c>
      <c r="C959" s="1">
        <v>25</v>
      </c>
      <c r="D959" s="1">
        <v>6</v>
      </c>
      <c r="E959" s="1">
        <v>19</v>
      </c>
      <c r="F959" s="1">
        <v>0</v>
      </c>
      <c r="K959" s="1">
        <v>275</v>
      </c>
      <c r="L959" s="6">
        <v>75165</v>
      </c>
      <c r="M959" s="1">
        <v>51.4</v>
      </c>
      <c r="N959" s="1">
        <v>5</v>
      </c>
      <c r="O959" s="1">
        <v>7</v>
      </c>
      <c r="P959" s="1">
        <v>11.5</v>
      </c>
      <c r="Q959" s="11">
        <f>'Table H'!$J$238</f>
        <v>0.76081222595887787</v>
      </c>
      <c r="R959" s="11">
        <f t="shared" si="28"/>
        <v>57186.450964199059</v>
      </c>
      <c r="S959" s="11" t="str">
        <f t="shared" si="29"/>
        <v>Skelton and Brotton UD</v>
      </c>
      <c r="T959" s="11" t="s">
        <v>5214</v>
      </c>
      <c r="V959" s="11" t="str">
        <f>INDEX('Lookup 1961'!$A$2:$A$1300, MATCH(S959, 'Lookup 1961'!$B$2:$B$1300,0))</f>
        <v>J04001146</v>
      </c>
      <c r="W959" s="11" t="str">
        <f>INDEX('Lookup 1961'!$F$2:$F$1300, MATCH(S959, 'Lookup 1961'!$B$2:$B$1300,0))</f>
        <v>e451177</v>
      </c>
      <c r="X959" s="11" t="str">
        <f>INDEX('Lookup 1961'!$C$2:$C$1300, MATCH(V959, 'Lookup 1961'!$A$2:$A$1300,0))</f>
        <v>Cleveland</v>
      </c>
    </row>
    <row r="960" spans="1:24" ht="25.05" customHeight="1" x14ac:dyDescent="0.3">
      <c r="A960" s="2" t="s">
        <v>893</v>
      </c>
      <c r="B960" s="2" t="s">
        <v>893</v>
      </c>
      <c r="C960" s="1">
        <v>26</v>
      </c>
      <c r="D960" s="1">
        <v>6</v>
      </c>
      <c r="E960" s="1">
        <v>19</v>
      </c>
      <c r="F960" s="1">
        <v>6</v>
      </c>
      <c r="K960" s="1">
        <v>615</v>
      </c>
      <c r="L960" s="6">
        <v>157757</v>
      </c>
      <c r="M960" s="1">
        <v>60</v>
      </c>
      <c r="N960" s="1">
        <v>12</v>
      </c>
      <c r="O960" s="1">
        <v>17</v>
      </c>
      <c r="P960" s="1">
        <v>18.100000000000001</v>
      </c>
      <c r="Q960" s="11">
        <f>'Table H'!$J$238</f>
        <v>0.76081222595887787</v>
      </c>
      <c r="R960" s="11">
        <f t="shared" si="28"/>
        <v>120023.4543305947</v>
      </c>
      <c r="S960" s="11" t="str">
        <f t="shared" si="29"/>
        <v>Whitby UD</v>
      </c>
      <c r="T960" s="11" t="s">
        <v>5214</v>
      </c>
      <c r="V960" s="11" t="str">
        <f>INDEX('Lookup 1961'!$A$2:$A$1300, MATCH(S960, 'Lookup 1961'!$B$2:$B$1300,0))</f>
        <v>J04001400</v>
      </c>
      <c r="W960" s="11" t="str">
        <f>INDEX('Lookup 1961'!$F$2:$F$1300, MATCH(S960, 'Lookup 1961'!$B$2:$B$1300,0))</f>
        <v>e451178</v>
      </c>
      <c r="X960" s="11" t="str">
        <f>INDEX('Lookup 1961'!$C$2:$C$1300, MATCH(V960, 'Lookup 1961'!$A$2:$A$1300,0))</f>
        <v>North Yorkshire</v>
      </c>
    </row>
    <row r="961" spans="1:24" ht="25.05" customHeight="1" x14ac:dyDescent="0.3">
      <c r="A961" s="2" t="s">
        <v>894</v>
      </c>
      <c r="B961" s="2" t="s">
        <v>894</v>
      </c>
      <c r="S961" s="11" t="str">
        <f t="shared" si="29"/>
        <v xml:space="preserve">YORK, WEST RIDING: </v>
      </c>
      <c r="V961" s="11" t="e">
        <f>INDEX('Lookup 1961'!$A$2:$A$1300, MATCH(S961, 'Lookup 1961'!$B$2:$B$1300,0))</f>
        <v>#N/A</v>
      </c>
      <c r="W961" s="11" t="e">
        <f>INDEX('Lookup 1961'!$F$2:$F$1300, MATCH(S961, 'Lookup 1961'!$B$2:$B$1300,0))</f>
        <v>#N/A</v>
      </c>
      <c r="X961" s="11" t="e">
        <f>INDEX('Lookup 1961'!$C$2:$C$1300, MATCH(V961, 'Lookup 1961'!$A$2:$A$1300,0))</f>
        <v>#N/A</v>
      </c>
    </row>
    <row r="962" spans="1:24" ht="25.05" customHeight="1" x14ac:dyDescent="0.3">
      <c r="A962" s="2" t="s">
        <v>146</v>
      </c>
      <c r="B962" s="2" t="s">
        <v>5257</v>
      </c>
      <c r="S962" s="11" t="str">
        <f t="shared" si="29"/>
        <v xml:space="preserve">Non County Boroughs  </v>
      </c>
      <c r="V962" s="11" t="e">
        <f>INDEX('Lookup 1961'!$A$2:$A$1300, MATCH(S962, 'Lookup 1961'!$B$2:$B$1300,0))</f>
        <v>#N/A</v>
      </c>
      <c r="W962" s="11" t="e">
        <f>INDEX('Lookup 1961'!$F$2:$F$1300, MATCH(S962, 'Lookup 1961'!$B$2:$B$1300,0))</f>
        <v>#N/A</v>
      </c>
      <c r="X962" s="11" t="e">
        <f>INDEX('Lookup 1961'!$C$2:$C$1300, MATCH(V962, 'Lookup 1961'!$A$2:$A$1300,0))</f>
        <v>#N/A</v>
      </c>
    </row>
    <row r="963" spans="1:24" ht="25.05" customHeight="1" x14ac:dyDescent="0.3">
      <c r="A963" s="2" t="s">
        <v>895</v>
      </c>
      <c r="B963" s="2" t="s">
        <v>895</v>
      </c>
      <c r="C963" s="1">
        <v>24</v>
      </c>
      <c r="D963" s="1">
        <v>0</v>
      </c>
      <c r="E963" s="1">
        <v>18</v>
      </c>
      <c r="F963" s="1">
        <v>0</v>
      </c>
      <c r="K963" s="6">
        <v>1114</v>
      </c>
      <c r="L963" s="6">
        <v>286592</v>
      </c>
      <c r="M963" s="1">
        <v>43.4</v>
      </c>
      <c r="N963" s="1">
        <v>6</v>
      </c>
      <c r="O963" s="1">
        <v>4</v>
      </c>
      <c r="P963" s="1">
        <v>9.3000000000000007</v>
      </c>
      <c r="Q963" s="11">
        <f>'Table H'!$J$242</f>
        <v>0.90747607389989793</v>
      </c>
      <c r="R963" s="11">
        <f t="shared" si="28"/>
        <v>260075.38297111954</v>
      </c>
      <c r="S963" s="11" t="str">
        <f t="shared" si="29"/>
        <v>Batley MB</v>
      </c>
      <c r="T963" s="11" t="s">
        <v>5211</v>
      </c>
      <c r="V963" s="11" t="str">
        <f>INDEX('Lookup 1961'!$A$2:$A$1300, MATCH(S963, 'Lookup 1961'!$B$2:$B$1300,0))</f>
        <v>J04000101</v>
      </c>
      <c r="W963" s="11" t="str">
        <f>INDEX('Lookup 1961'!$F$2:$F$1300, MATCH(S963, 'Lookup 1961'!$B$2:$B$1300,0))</f>
        <v>e461214</v>
      </c>
      <c r="X963" s="11" t="str">
        <f>INDEX('Lookup 1961'!$C$2:$C$1300, MATCH(V963, 'Lookup 1961'!$A$2:$A$1300,0))</f>
        <v>West Yorkshire</v>
      </c>
    </row>
    <row r="964" spans="1:24" ht="25.05" customHeight="1" x14ac:dyDescent="0.3">
      <c r="A964" s="2" t="s">
        <v>896</v>
      </c>
      <c r="B964" s="2" t="s">
        <v>896</v>
      </c>
      <c r="C964" s="1">
        <v>27</v>
      </c>
      <c r="D964" s="1">
        <v>0</v>
      </c>
      <c r="E964" s="1">
        <v>20</v>
      </c>
      <c r="F964" s="1">
        <v>0</v>
      </c>
      <c r="K964" s="6">
        <v>1070</v>
      </c>
      <c r="L964" s="6">
        <v>267245</v>
      </c>
      <c r="M964" s="1">
        <v>51.1</v>
      </c>
      <c r="N964" s="1">
        <v>8</v>
      </c>
      <c r="O964" s="1">
        <v>10</v>
      </c>
      <c r="P964" s="1">
        <v>11</v>
      </c>
      <c r="Q964" s="11">
        <f>'Table H'!$J$242</f>
        <v>0.90747607389989793</v>
      </c>
      <c r="R964" s="11">
        <f t="shared" ref="R964:R1027" si="30">Q964*L964</f>
        <v>242518.44336937822</v>
      </c>
      <c r="S964" s="11" t="str">
        <f t="shared" si="29"/>
        <v>Brighouse MB</v>
      </c>
      <c r="T964" s="11" t="s">
        <v>5211</v>
      </c>
      <c r="V964" s="11" t="str">
        <f>INDEX('Lookup 1961'!$A$2:$A$1300, MATCH(S964, 'Lookup 1961'!$B$2:$B$1300,0))</f>
        <v>J04000210</v>
      </c>
      <c r="W964" s="11" t="str">
        <f>INDEX('Lookup 1961'!$F$2:$F$1300, MATCH(S964, 'Lookup 1961'!$B$2:$B$1300,0))</f>
        <v>e461217</v>
      </c>
      <c r="X964" s="11" t="str">
        <f>INDEX('Lookup 1961'!$C$2:$C$1300, MATCH(V964, 'Lookup 1961'!$A$2:$A$1300,0))</f>
        <v>West Yorkshire</v>
      </c>
    </row>
    <row r="965" spans="1:24" ht="25.05" customHeight="1" x14ac:dyDescent="0.3">
      <c r="A965" s="2" t="s">
        <v>897</v>
      </c>
      <c r="B965" s="2" t="s">
        <v>897</v>
      </c>
      <c r="C965" s="1">
        <v>25</v>
      </c>
      <c r="D965" s="1">
        <v>6</v>
      </c>
      <c r="E965" s="1">
        <v>19</v>
      </c>
      <c r="F965" s="1">
        <v>4</v>
      </c>
      <c r="K965" s="6">
        <v>1300</v>
      </c>
      <c r="L965" s="6">
        <v>342866</v>
      </c>
      <c r="M965" s="1">
        <v>67.5</v>
      </c>
      <c r="N965" s="1">
        <v>7</v>
      </c>
      <c r="O965" s="1">
        <v>8</v>
      </c>
      <c r="P965" s="1">
        <v>28.1</v>
      </c>
      <c r="Q965" s="11">
        <f>'Table H'!$J$242</f>
        <v>0.90747607389989793</v>
      </c>
      <c r="R965" s="11">
        <f t="shared" si="30"/>
        <v>311142.69155376242</v>
      </c>
      <c r="S965" s="11" t="str">
        <f t="shared" ref="S965:S1028" si="31">_xlfn.CONCAT(B965," ",T965)</f>
        <v>Castleford MB</v>
      </c>
      <c r="T965" s="11" t="s">
        <v>5211</v>
      </c>
      <c r="V965" s="11" t="str">
        <f>INDEX('Lookup 1961'!$A$2:$A$1300, MATCH(S965, 'Lookup 1961'!$B$2:$B$1300,0))</f>
        <v>J04000273</v>
      </c>
      <c r="W965" s="11" t="str">
        <f>INDEX('Lookup 1961'!$F$2:$F$1300, MATCH(S965, 'Lookup 1961'!$B$2:$B$1300,0))</f>
        <v>e461218</v>
      </c>
      <c r="X965" s="11" t="str">
        <f>INDEX('Lookup 1961'!$C$2:$C$1300, MATCH(V965, 'Lookup 1961'!$A$2:$A$1300,0))</f>
        <v>West Yorkshire</v>
      </c>
    </row>
    <row r="966" spans="1:24" ht="25.05" customHeight="1" x14ac:dyDescent="0.3">
      <c r="A966" s="2" t="s">
        <v>898</v>
      </c>
      <c r="B966" s="2" t="s">
        <v>898</v>
      </c>
      <c r="C966" s="1">
        <v>26</v>
      </c>
      <c r="D966" s="1">
        <v>4</v>
      </c>
      <c r="E966" s="1">
        <v>18</v>
      </c>
      <c r="F966" s="1">
        <v>0</v>
      </c>
      <c r="K966" s="1">
        <v>660</v>
      </c>
      <c r="L966" s="6">
        <v>185348</v>
      </c>
      <c r="M966" s="1">
        <v>71.8</v>
      </c>
      <c r="N966" s="1">
        <v>7</v>
      </c>
      <c r="O966" s="1">
        <v>13</v>
      </c>
      <c r="P966" s="1">
        <v>14.5</v>
      </c>
      <c r="Q966" s="11">
        <f>'Table H'!$J$242</f>
        <v>0.90747607389989793</v>
      </c>
      <c r="R966" s="11">
        <f t="shared" si="30"/>
        <v>168198.87534519829</v>
      </c>
      <c r="S966" s="11" t="str">
        <f t="shared" si="31"/>
        <v>Goole MB</v>
      </c>
      <c r="T966" s="11" t="s">
        <v>5211</v>
      </c>
      <c r="V966" s="11" t="str">
        <f>INDEX('Lookup 1961'!$A$2:$A$1300, MATCH(S966, 'Lookup 1961'!$B$2:$B$1300,0))</f>
        <v>J04000542</v>
      </c>
      <c r="W966" s="11" t="str">
        <f>INDEX('Lookup 1961'!$F$2:$F$1300, MATCH(S966, 'Lookup 1961'!$B$2:$B$1300,0))</f>
        <v>e461232</v>
      </c>
      <c r="X966" s="11" t="str">
        <f>INDEX('Lookup 1961'!$C$2:$C$1300, MATCH(V966, 'Lookup 1961'!$A$2:$A$1300,0))</f>
        <v>Humberside</v>
      </c>
    </row>
    <row r="967" spans="1:24" ht="25.05" customHeight="1" x14ac:dyDescent="0.3">
      <c r="A967" s="2" t="s">
        <v>899</v>
      </c>
      <c r="B967" s="2" t="s">
        <v>899</v>
      </c>
      <c r="C967" s="1">
        <v>21</v>
      </c>
      <c r="D967" s="1">
        <v>0</v>
      </c>
      <c r="E967" s="1">
        <v>15</v>
      </c>
      <c r="F967" s="1">
        <v>6</v>
      </c>
      <c r="K967" s="6">
        <v>3370</v>
      </c>
      <c r="L967" s="6">
        <v>871055</v>
      </c>
      <c r="M967" s="1">
        <v>35.299999999999997</v>
      </c>
      <c r="N967" s="1">
        <v>12</v>
      </c>
      <c r="O967" s="1">
        <v>0</v>
      </c>
      <c r="P967" s="1">
        <v>-1.8</v>
      </c>
      <c r="Q967" s="11">
        <f>'Table H'!$J$242</f>
        <v>0.90747607389989793</v>
      </c>
      <c r="R967" s="11">
        <f t="shared" si="30"/>
        <v>790461.57155087555</v>
      </c>
      <c r="S967" s="11" t="str">
        <f t="shared" si="31"/>
        <v>Harrogate MB</v>
      </c>
      <c r="T967" s="11" t="s">
        <v>5211</v>
      </c>
      <c r="V967" s="11" t="str">
        <f>INDEX('Lookup 1961'!$A$2:$A$1300, MATCH(S967, 'Lookup 1961'!$B$2:$B$1300,0))</f>
        <v>J04000576</v>
      </c>
      <c r="W967" s="11" t="str">
        <f>INDEX('Lookup 1961'!$F$2:$F$1300, MATCH(S967, 'Lookup 1961'!$B$2:$B$1300,0))</f>
        <v>e461233</v>
      </c>
      <c r="X967" s="11" t="str">
        <f>INDEX('Lookup 1961'!$C$2:$C$1300, MATCH(V967, 'Lookup 1961'!$A$2:$A$1300,0))</f>
        <v>North Yorkshire</v>
      </c>
    </row>
    <row r="968" spans="1:24" ht="25.05" customHeight="1" x14ac:dyDescent="0.3">
      <c r="A968" s="2" t="s">
        <v>900</v>
      </c>
      <c r="B968" s="2" t="s">
        <v>900</v>
      </c>
      <c r="C968" s="1">
        <v>24</v>
      </c>
      <c r="D968" s="1">
        <v>0</v>
      </c>
      <c r="E968" s="1">
        <v>18</v>
      </c>
      <c r="F968" s="1">
        <v>6</v>
      </c>
      <c r="K968" s="6">
        <v>2150</v>
      </c>
      <c r="L968" s="6">
        <v>592111</v>
      </c>
      <c r="M968" s="1">
        <v>51.6</v>
      </c>
      <c r="N968" s="1">
        <v>8</v>
      </c>
      <c r="O968" s="1">
        <v>12</v>
      </c>
      <c r="P968" s="1">
        <v>9</v>
      </c>
      <c r="Q968" s="11">
        <f>'Table H'!$J$242</f>
        <v>0.90747607389989793</v>
      </c>
      <c r="R968" s="11">
        <f t="shared" si="30"/>
        <v>537326.56559294241</v>
      </c>
      <c r="S968" s="11" t="str">
        <f t="shared" si="31"/>
        <v>Keighley MB</v>
      </c>
      <c r="T968" s="11" t="s">
        <v>5211</v>
      </c>
      <c r="V968" s="11" t="str">
        <f>INDEX('Lookup 1961'!$A$2:$A$1300, MATCH(S968, 'Lookup 1961'!$B$2:$B$1300,0))</f>
        <v>J04000680</v>
      </c>
      <c r="W968" s="11" t="str">
        <f>INDEX('Lookup 1961'!$F$2:$F$1300, MATCH(S968, 'Lookup 1961'!$B$2:$B$1300,0))</f>
        <v>e461242</v>
      </c>
      <c r="X968" s="11" t="str">
        <f>INDEX('Lookup 1961'!$C$2:$C$1300, MATCH(V968, 'Lookup 1961'!$A$2:$A$1300,0))</f>
        <v>West Yorkshire</v>
      </c>
    </row>
    <row r="969" spans="1:24" ht="25.05" customHeight="1" x14ac:dyDescent="0.3">
      <c r="A969" s="2" t="s">
        <v>901</v>
      </c>
      <c r="B969" s="2" t="s">
        <v>901</v>
      </c>
      <c r="C969" s="1">
        <v>24</v>
      </c>
      <c r="D969" s="1">
        <v>6</v>
      </c>
      <c r="E969" s="1">
        <v>18</v>
      </c>
      <c r="F969" s="1">
        <v>6</v>
      </c>
      <c r="K969" s="6">
        <v>1140</v>
      </c>
      <c r="L969" s="6">
        <v>304274</v>
      </c>
      <c r="M969" s="1">
        <v>53.2</v>
      </c>
      <c r="N969" s="1">
        <v>6</v>
      </c>
      <c r="O969" s="1">
        <v>12</v>
      </c>
      <c r="P969" s="1">
        <v>14.3</v>
      </c>
      <c r="Q969" s="11">
        <f>'Table H'!$J$242</f>
        <v>0.90747607389989793</v>
      </c>
      <c r="R969" s="11">
        <f t="shared" si="30"/>
        <v>276121.37490981753</v>
      </c>
      <c r="S969" s="11" t="str">
        <f t="shared" si="31"/>
        <v>Morley MB</v>
      </c>
      <c r="T969" s="11" t="s">
        <v>5211</v>
      </c>
      <c r="V969" s="11" t="str">
        <f>INDEX('Lookup 1961'!$A$2:$A$1300, MATCH(S969, 'Lookup 1961'!$B$2:$B$1300,0))</f>
        <v>J04000869</v>
      </c>
      <c r="W969" s="11" t="str">
        <f>INDEX('Lookup 1961'!$F$2:$F$1300, MATCH(S969, 'Lookup 1961'!$B$2:$B$1300,0))</f>
        <v>e461250</v>
      </c>
      <c r="X969" s="11" t="str">
        <f>INDEX('Lookup 1961'!$C$2:$C$1300, MATCH(V969, 'Lookup 1961'!$A$2:$A$1300,0))</f>
        <v>West Yorkshire</v>
      </c>
    </row>
    <row r="970" spans="1:24" ht="25.05" customHeight="1" x14ac:dyDescent="0.3">
      <c r="A970" s="2" t="s">
        <v>902</v>
      </c>
      <c r="B970" s="2" t="s">
        <v>902</v>
      </c>
      <c r="C970" s="1">
        <v>24</v>
      </c>
      <c r="D970" s="1">
        <v>3</v>
      </c>
      <c r="E970" s="1">
        <v>16</v>
      </c>
      <c r="F970" s="1">
        <v>6</v>
      </c>
      <c r="K970" s="1">
        <v>445</v>
      </c>
      <c r="L970" s="6">
        <v>114553</v>
      </c>
      <c r="M970" s="1">
        <v>49.1</v>
      </c>
      <c r="N970" s="1">
        <v>6</v>
      </c>
      <c r="O970" s="1">
        <v>4</v>
      </c>
      <c r="P970" s="1">
        <v>4.0999999999999996</v>
      </c>
      <c r="Q970" s="11">
        <f>'Table H'!$J$242</f>
        <v>0.90747607389989793</v>
      </c>
      <c r="R970" s="11">
        <f t="shared" si="30"/>
        <v>103954.106693455</v>
      </c>
      <c r="S970" s="11" t="str">
        <f t="shared" si="31"/>
        <v>Ossett MB</v>
      </c>
      <c r="T970" s="11" t="s">
        <v>5211</v>
      </c>
      <c r="V970" s="11" t="str">
        <f>INDEX('Lookup 1961'!$A$2:$A$1300, MATCH(S970, 'Lookup 1961'!$B$2:$B$1300,0))</f>
        <v>J04000959</v>
      </c>
      <c r="W970" s="11" t="str">
        <f>INDEX('Lookup 1961'!$F$2:$F$1300, MATCH(S970, 'Lookup 1961'!$B$2:$B$1300,0))</f>
        <v>e461252</v>
      </c>
      <c r="X970" s="11" t="str">
        <f>INDEX('Lookup 1961'!$C$2:$C$1300, MATCH(V970, 'Lookup 1961'!$A$2:$A$1300,0))</f>
        <v>West Yorkshire</v>
      </c>
    </row>
    <row r="971" spans="1:24" ht="25.05" customHeight="1" x14ac:dyDescent="0.3">
      <c r="A971" s="2" t="s">
        <v>903</v>
      </c>
      <c r="B971" s="2" t="s">
        <v>903</v>
      </c>
      <c r="C971" s="1">
        <v>23</v>
      </c>
      <c r="D971" s="1">
        <v>8</v>
      </c>
      <c r="E971" s="1">
        <v>18</v>
      </c>
      <c r="F971" s="1">
        <v>0</v>
      </c>
      <c r="K971" s="1">
        <v>970</v>
      </c>
      <c r="L971" s="6">
        <v>246505</v>
      </c>
      <c r="M971" s="1">
        <v>62.5</v>
      </c>
      <c r="N971" s="1">
        <v>8</v>
      </c>
      <c r="O971" s="1">
        <v>18</v>
      </c>
      <c r="P971" s="1">
        <v>24.9</v>
      </c>
      <c r="Q971" s="11">
        <f>'Table H'!$J$242</f>
        <v>0.90747607389989793</v>
      </c>
      <c r="R971" s="11">
        <f t="shared" si="30"/>
        <v>223697.38959669435</v>
      </c>
      <c r="S971" s="11" t="str">
        <f t="shared" si="31"/>
        <v>Pontefract MB</v>
      </c>
      <c r="T971" s="11" t="s">
        <v>5211</v>
      </c>
      <c r="V971" s="11" t="str">
        <f>INDEX('Lookup 1961'!$A$2:$A$1300, MATCH(S971, 'Lookup 1961'!$B$2:$B$1300,0))</f>
        <v>J04001000</v>
      </c>
      <c r="W971" s="11" t="str">
        <f>INDEX('Lookup 1961'!$F$2:$F$1300, MATCH(S971, 'Lookup 1961'!$B$2:$B$1300,0))</f>
        <v>e461255</v>
      </c>
      <c r="X971" s="11" t="str">
        <f>INDEX('Lookup 1961'!$C$2:$C$1300, MATCH(V971, 'Lookup 1961'!$A$2:$A$1300,0))</f>
        <v>West Yorkshire</v>
      </c>
    </row>
    <row r="972" spans="1:24" ht="25.05" customHeight="1" x14ac:dyDescent="0.3">
      <c r="A972" s="2" t="s">
        <v>904</v>
      </c>
      <c r="B972" s="2" t="s">
        <v>904</v>
      </c>
      <c r="C972" s="1">
        <v>23</v>
      </c>
      <c r="D972" s="1">
        <v>3</v>
      </c>
      <c r="E972" s="1">
        <v>17</v>
      </c>
      <c r="F972" s="1">
        <v>9</v>
      </c>
      <c r="K972" s="6">
        <v>1050</v>
      </c>
      <c r="L972" s="6">
        <v>278548</v>
      </c>
      <c r="M972" s="1">
        <v>51.5</v>
      </c>
      <c r="N972" s="1">
        <v>7</v>
      </c>
      <c r="O972" s="1">
        <v>7</v>
      </c>
      <c r="P972" s="1">
        <v>11.4</v>
      </c>
      <c r="Q972" s="11">
        <f>'Table H'!$J$242</f>
        <v>0.90747607389989793</v>
      </c>
      <c r="R972" s="11">
        <f t="shared" si="30"/>
        <v>252775.64543266877</v>
      </c>
      <c r="S972" s="11" t="str">
        <f t="shared" si="31"/>
        <v>Pudsey MB</v>
      </c>
      <c r="T972" s="11" t="s">
        <v>5211</v>
      </c>
      <c r="V972" s="11" t="str">
        <f>INDEX('Lookup 1961'!$A$2:$A$1300, MATCH(S972, 'Lookup 1961'!$B$2:$B$1300,0))</f>
        <v>J04001023</v>
      </c>
      <c r="W972" s="11" t="str">
        <f>INDEX('Lookup 1961'!$F$2:$F$1300, MATCH(S972, 'Lookup 1961'!$B$2:$B$1300,0))</f>
        <v>e461256</v>
      </c>
      <c r="X972" s="11" t="str">
        <f>INDEX('Lookup 1961'!$C$2:$C$1300, MATCH(V972, 'Lookup 1961'!$A$2:$A$1300,0))</f>
        <v>West Yorkshire</v>
      </c>
    </row>
    <row r="973" spans="1:24" ht="25.05" customHeight="1" x14ac:dyDescent="0.3">
      <c r="A973" s="2" t="s">
        <v>905</v>
      </c>
      <c r="B973" s="2" t="s">
        <v>5309</v>
      </c>
      <c r="C973" s="1">
        <v>24</v>
      </c>
      <c r="D973" s="1">
        <v>0</v>
      </c>
      <c r="E973" s="1">
        <v>17</v>
      </c>
      <c r="F973" s="1">
        <v>0</v>
      </c>
      <c r="K973" s="1">
        <v>442</v>
      </c>
      <c r="L973" s="6">
        <v>111899</v>
      </c>
      <c r="M973" s="1">
        <v>56.8</v>
      </c>
      <c r="N973" s="1">
        <v>9</v>
      </c>
      <c r="O973" s="1">
        <v>1</v>
      </c>
      <c r="P973" s="1">
        <v>10.6</v>
      </c>
      <c r="Q973" s="11">
        <f>'Table H'!$J$242</f>
        <v>0.90747607389989793</v>
      </c>
      <c r="R973" s="11">
        <f t="shared" si="30"/>
        <v>101545.66519332468</v>
      </c>
      <c r="S973" s="11" t="str">
        <f t="shared" si="31"/>
        <v>Ripon, city of MB</v>
      </c>
      <c r="T973" s="11" t="s">
        <v>5211</v>
      </c>
      <c r="V973" s="11" t="str">
        <f>INDEX('Lookup 1961'!$A$2:$A$1300, MATCH(S973, 'Lookup 1961'!$B$2:$B$1300,0))</f>
        <v>J04001053</v>
      </c>
      <c r="W973" s="11" t="str">
        <f>INDEX('Lookup 1961'!$F$2:$F$1300, MATCH(S973, 'Lookup 1961'!$B$2:$B$1300,0))</f>
        <v>e461259</v>
      </c>
      <c r="X973" s="11" t="str">
        <f>INDEX('Lookup 1961'!$C$2:$C$1300, MATCH(V973, 'Lookup 1961'!$A$2:$A$1300,0))</f>
        <v>North Yorkshire</v>
      </c>
    </row>
    <row r="974" spans="1:24" ht="25.05" customHeight="1" x14ac:dyDescent="0.3">
      <c r="A974" s="2" t="s">
        <v>906</v>
      </c>
      <c r="B974" s="2" t="s">
        <v>906</v>
      </c>
      <c r="C974" s="1">
        <v>23</v>
      </c>
      <c r="D974" s="1">
        <v>6</v>
      </c>
      <c r="E974" s="1">
        <v>17</v>
      </c>
      <c r="F974" s="1">
        <v>0</v>
      </c>
      <c r="K974" s="6">
        <v>1110</v>
      </c>
      <c r="L974" s="6">
        <v>285380</v>
      </c>
      <c r="M974" s="1">
        <v>50.5</v>
      </c>
      <c r="N974" s="1">
        <v>6</v>
      </c>
      <c r="O974" s="1">
        <v>7</v>
      </c>
      <c r="P974" s="1">
        <v>8.9</v>
      </c>
      <c r="Q974" s="11">
        <f>'Table H'!$J$242</f>
        <v>0.90747607389989793</v>
      </c>
      <c r="R974" s="11">
        <f t="shared" si="30"/>
        <v>258975.52196955288</v>
      </c>
      <c r="S974" s="11" t="str">
        <f t="shared" si="31"/>
        <v>Spenborough MB</v>
      </c>
      <c r="T974" s="11" t="s">
        <v>5211</v>
      </c>
      <c r="V974" s="11" t="str">
        <f>INDEX('Lookup 1961'!$A$2:$A$1300, MATCH(S974, 'Lookup 1961'!$B$2:$B$1300,0))</f>
        <v>J04001176</v>
      </c>
      <c r="W974" s="11" t="str">
        <f>INDEX('Lookup 1961'!$F$2:$F$1300, MATCH(S974, 'Lookup 1961'!$B$2:$B$1300,0))</f>
        <v>e461269</v>
      </c>
      <c r="X974" s="11" t="str">
        <f>INDEX('Lookup 1961'!$C$2:$C$1300, MATCH(V974, 'Lookup 1961'!$A$2:$A$1300,0))</f>
        <v>West Yorkshire</v>
      </c>
    </row>
    <row r="975" spans="1:24" ht="25.05" customHeight="1" x14ac:dyDescent="0.3">
      <c r="A975" s="2" t="s">
        <v>907</v>
      </c>
      <c r="B975" s="2" t="s">
        <v>907</v>
      </c>
      <c r="C975" s="1">
        <v>24</v>
      </c>
      <c r="D975" s="1">
        <v>0</v>
      </c>
      <c r="E975" s="1">
        <v>18</v>
      </c>
      <c r="F975" s="1">
        <v>6</v>
      </c>
      <c r="K975" s="1">
        <v>615</v>
      </c>
      <c r="L975" s="6">
        <v>165727</v>
      </c>
      <c r="M975" s="1">
        <v>41.2</v>
      </c>
      <c r="N975" s="1">
        <v>7</v>
      </c>
      <c r="O975" s="1">
        <v>11</v>
      </c>
      <c r="P975" s="1">
        <v>3.2</v>
      </c>
      <c r="Q975" s="11">
        <f>'Table H'!$J$242</f>
        <v>0.90747607389989793</v>
      </c>
      <c r="R975" s="11">
        <f t="shared" si="30"/>
        <v>150393.28729920837</v>
      </c>
      <c r="S975" s="11" t="str">
        <f t="shared" si="31"/>
        <v>Todmorden MB</v>
      </c>
      <c r="T975" s="11" t="s">
        <v>5211</v>
      </c>
      <c r="V975" s="11" t="str">
        <f>INDEX('Lookup 1961'!$A$2:$A$1300, MATCH(S975, 'Lookup 1961'!$B$2:$B$1300,0))</f>
        <v>J04001281</v>
      </c>
      <c r="W975" s="11" t="str">
        <f>INDEX('Lookup 1961'!$F$2:$F$1300, MATCH(S975, 'Lookup 1961'!$B$2:$B$1300,0))</f>
        <v>e461274</v>
      </c>
      <c r="X975" s="11" t="str">
        <f>INDEX('Lookup 1961'!$C$2:$C$1300, MATCH(V975, 'Lookup 1961'!$A$2:$A$1300,0))</f>
        <v>West Yorkshire</v>
      </c>
    </row>
    <row r="976" spans="1:24" ht="25.05" customHeight="1" x14ac:dyDescent="0.3">
      <c r="A976" s="2" t="s">
        <v>150</v>
      </c>
      <c r="B976" s="2" t="s">
        <v>1221</v>
      </c>
      <c r="S976" s="11" t="str">
        <f t="shared" si="31"/>
        <v xml:space="preserve">Urban Districts  </v>
      </c>
      <c r="V976" s="11" t="e">
        <f>INDEX('Lookup 1961'!$A$2:$A$1300, MATCH(S976, 'Lookup 1961'!$B$2:$B$1300,0))</f>
        <v>#N/A</v>
      </c>
      <c r="W976" s="11" t="e">
        <f>INDEX('Lookup 1961'!$F$2:$F$1300, MATCH(S976, 'Lookup 1961'!$B$2:$B$1300,0))</f>
        <v>#N/A</v>
      </c>
      <c r="X976" s="11" t="e">
        <f>INDEX('Lookup 1961'!$C$2:$C$1300, MATCH(V976, 'Lookup 1961'!$A$2:$A$1300,0))</f>
        <v>#N/A</v>
      </c>
    </row>
    <row r="977" spans="1:24" ht="25.05" customHeight="1" x14ac:dyDescent="0.3">
      <c r="A977" s="2" t="s">
        <v>908</v>
      </c>
      <c r="B977" s="2" t="s">
        <v>5284</v>
      </c>
      <c r="C977" s="1">
        <v>24</v>
      </c>
      <c r="D977" s="1">
        <v>9</v>
      </c>
      <c r="E977" s="1">
        <v>19</v>
      </c>
      <c r="F977" s="1">
        <v>0</v>
      </c>
      <c r="K977" s="1">
        <v>520</v>
      </c>
      <c r="L977" s="6">
        <v>136113</v>
      </c>
      <c r="M977" s="1">
        <v>63.3</v>
      </c>
      <c r="N977" s="1">
        <v>6</v>
      </c>
      <c r="O977" s="1">
        <v>9</v>
      </c>
      <c r="P977" s="1">
        <v>23.8</v>
      </c>
      <c r="Q977" s="11">
        <f>'Table H'!$J$243</f>
        <v>0.88440289091309254</v>
      </c>
      <c r="R977" s="11">
        <f t="shared" si="30"/>
        <v>120378.73069085377</v>
      </c>
      <c r="S977" s="11" t="str">
        <f t="shared" si="31"/>
        <v>Adwick le Street UD</v>
      </c>
      <c r="T977" s="11" t="s">
        <v>5214</v>
      </c>
      <c r="V977" s="11" t="str">
        <f>INDEX('Lookup 1961'!$A$2:$A$1300, MATCH(S977, 'Lookup 1961'!$B$2:$B$1300,0))</f>
        <v>J04000017</v>
      </c>
      <c r="W977" s="11" t="str">
        <f>INDEX('Lookup 1961'!$F$2:$F$1300, MATCH(S977, 'Lookup 1961'!$B$2:$B$1300,0))</f>
        <v>e461210</v>
      </c>
      <c r="X977" s="11" t="str">
        <f>INDEX('Lookup 1961'!$C$2:$C$1300, MATCH(V977, 'Lookup 1961'!$A$2:$A$1300,0))</f>
        <v>South Yorkshire</v>
      </c>
    </row>
    <row r="978" spans="1:24" ht="25.05" customHeight="1" x14ac:dyDescent="0.3">
      <c r="A978" s="2" t="s">
        <v>909</v>
      </c>
      <c r="B978" s="2" t="s">
        <v>909</v>
      </c>
      <c r="C978" s="1">
        <v>25</v>
      </c>
      <c r="D978" s="1">
        <v>0</v>
      </c>
      <c r="E978" s="1">
        <v>17</v>
      </c>
      <c r="F978" s="1">
        <v>6</v>
      </c>
      <c r="K978" s="6">
        <v>1024</v>
      </c>
      <c r="L978" s="6">
        <v>251887</v>
      </c>
      <c r="M978" s="1">
        <v>54.3</v>
      </c>
      <c r="N978" s="1">
        <v>8</v>
      </c>
      <c r="O978" s="1">
        <v>1</v>
      </c>
      <c r="P978" s="1">
        <v>10.8</v>
      </c>
      <c r="Q978" s="11">
        <f>'Table H'!$J$243</f>
        <v>0.88440289091309254</v>
      </c>
      <c r="R978" s="11">
        <f t="shared" si="30"/>
        <v>222769.59098342614</v>
      </c>
      <c r="S978" s="11" t="str">
        <f t="shared" si="31"/>
        <v>Aireborough UD</v>
      </c>
      <c r="T978" s="11" t="s">
        <v>5214</v>
      </c>
      <c r="V978" s="11" t="str">
        <f>INDEX('Lookup 1961'!$A$2:$A$1300, MATCH(S978, 'Lookup 1961'!$B$2:$B$1300,0))</f>
        <v>J04000019</v>
      </c>
      <c r="W978" s="11" t="str">
        <f>INDEX('Lookup 1961'!$F$2:$F$1300, MATCH(S978, 'Lookup 1961'!$B$2:$B$1300,0))</f>
        <v>e461211</v>
      </c>
      <c r="X978" s="11" t="str">
        <f>INDEX('Lookup 1961'!$C$2:$C$1300, MATCH(V978, 'Lookup 1961'!$A$2:$A$1300,0))</f>
        <v>West Yorkshire</v>
      </c>
    </row>
    <row r="979" spans="1:24" ht="25.05" customHeight="1" x14ac:dyDescent="0.3">
      <c r="A979" s="2" t="s">
        <v>910</v>
      </c>
      <c r="B979" s="2" t="s">
        <v>910</v>
      </c>
      <c r="C979" s="1">
        <v>23</v>
      </c>
      <c r="D979" s="1">
        <v>0</v>
      </c>
      <c r="E979" s="1">
        <v>17</v>
      </c>
      <c r="F979" s="1">
        <v>3</v>
      </c>
      <c r="K979" s="1">
        <v>430</v>
      </c>
      <c r="L979" s="6">
        <v>108512</v>
      </c>
      <c r="M979" s="1">
        <v>50</v>
      </c>
      <c r="N979" s="1">
        <v>8</v>
      </c>
      <c r="O979" s="1">
        <v>9</v>
      </c>
      <c r="P979" s="1">
        <v>8.5</v>
      </c>
      <c r="Q979" s="11">
        <f>'Table H'!$J$243</f>
        <v>0.88440289091309254</v>
      </c>
      <c r="R979" s="11">
        <f t="shared" si="30"/>
        <v>95968.326498761497</v>
      </c>
      <c r="S979" s="11" t="str">
        <f t="shared" si="31"/>
        <v>Baildon UD</v>
      </c>
      <c r="T979" s="11" t="s">
        <v>5214</v>
      </c>
      <c r="V979" s="11" t="str">
        <f>INDEX('Lookup 1961'!$A$2:$A$1300, MATCH(S979, 'Lookup 1961'!$B$2:$B$1300,0))</f>
        <v>J04000070</v>
      </c>
      <c r="W979" s="11" t="str">
        <f>INDEX('Lookup 1961'!$F$2:$F$1300, MATCH(S979, 'Lookup 1961'!$B$2:$B$1300,0))</f>
        <v>e461212</v>
      </c>
      <c r="X979" s="11" t="str">
        <f>INDEX('Lookup 1961'!$C$2:$C$1300, MATCH(V979, 'Lookup 1961'!$A$2:$A$1300,0))</f>
        <v>West Yorkshire</v>
      </c>
    </row>
    <row r="980" spans="1:24" ht="25.05" customHeight="1" x14ac:dyDescent="0.3">
      <c r="A980" s="2" t="s">
        <v>911</v>
      </c>
      <c r="B980" s="2" t="s">
        <v>911</v>
      </c>
      <c r="C980" s="1">
        <v>24</v>
      </c>
      <c r="D980" s="1">
        <v>0</v>
      </c>
      <c r="E980" s="1">
        <v>17</v>
      </c>
      <c r="F980" s="1">
        <v>2</v>
      </c>
      <c r="K980" s="1">
        <v>373</v>
      </c>
      <c r="L980" s="6">
        <v>97525</v>
      </c>
      <c r="M980" s="1">
        <v>43.6</v>
      </c>
      <c r="N980" s="1">
        <v>7</v>
      </c>
      <c r="O980" s="1">
        <v>7</v>
      </c>
      <c r="P980" s="1">
        <v>4.8</v>
      </c>
      <c r="Q980" s="11">
        <f>'Table H'!$J$243</f>
        <v>0.88440289091309254</v>
      </c>
      <c r="R980" s="11">
        <f t="shared" si="30"/>
        <v>86251.391936299347</v>
      </c>
      <c r="S980" s="11" t="str">
        <f t="shared" si="31"/>
        <v>Barnoldswick UD</v>
      </c>
      <c r="T980" s="11" t="s">
        <v>5214</v>
      </c>
      <c r="V980" s="11" t="str">
        <f>INDEX('Lookup 1961'!$A$2:$A$1300, MATCH(S980, 'Lookup 1961'!$B$2:$B$1300,0))</f>
        <v>J04000086</v>
      </c>
      <c r="W980" s="11" t="str">
        <f>INDEX('Lookup 1961'!$F$2:$F$1300, MATCH(S980, 'Lookup 1961'!$B$2:$B$1300,0))</f>
        <v>e461213</v>
      </c>
      <c r="X980" s="11" t="str">
        <f>INDEX('Lookup 1961'!$C$2:$C$1300, MATCH(V980, 'Lookup 1961'!$A$2:$A$1300,0))</f>
        <v>Lancashire</v>
      </c>
    </row>
    <row r="981" spans="1:24" ht="25.05" customHeight="1" x14ac:dyDescent="0.3">
      <c r="A981" s="2" t="s">
        <v>912</v>
      </c>
      <c r="B981" s="2" t="s">
        <v>5285</v>
      </c>
      <c r="C981" s="1">
        <v>25</v>
      </c>
      <c r="D981" s="1">
        <v>6</v>
      </c>
      <c r="E981" s="1">
        <v>17</v>
      </c>
      <c r="F981" s="1">
        <v>9</v>
      </c>
      <c r="K981" s="1">
        <v>592</v>
      </c>
      <c r="L981" s="6">
        <v>156892</v>
      </c>
      <c r="M981" s="1">
        <v>62.4</v>
      </c>
      <c r="N981" s="1">
        <v>5</v>
      </c>
      <c r="O981" s="1">
        <v>19</v>
      </c>
      <c r="P981" s="1">
        <v>9.1999999999999993</v>
      </c>
      <c r="Q981" s="11">
        <f>'Table H'!$J$243</f>
        <v>0.88440289091309254</v>
      </c>
      <c r="R981" s="11">
        <f t="shared" si="30"/>
        <v>138755.73836113693</v>
      </c>
      <c r="S981" s="11" t="str">
        <f t="shared" si="31"/>
        <v>Bentley with Arksey UD</v>
      </c>
      <c r="T981" s="11" t="s">
        <v>5214</v>
      </c>
      <c r="V981" s="11" t="str">
        <f>INDEX('Lookup 1961'!$A$2:$A$1300, MATCH(S981, 'Lookup 1961'!$B$2:$B$1300,0))</f>
        <v>J04000124</v>
      </c>
      <c r="W981" s="11" t="str">
        <f>INDEX('Lookup 1961'!$F$2:$F$1300, MATCH(S981, 'Lookup 1961'!$B$2:$B$1300,0))</f>
        <v>e461215</v>
      </c>
      <c r="X981" s="11" t="str">
        <f>INDEX('Lookup 1961'!$C$2:$C$1300, MATCH(V981, 'Lookup 1961'!$A$2:$A$1300,0))</f>
        <v>South Yorkshire</v>
      </c>
    </row>
    <row r="982" spans="1:24" ht="25.05" customHeight="1" x14ac:dyDescent="0.3">
      <c r="A982" s="2" t="s">
        <v>913</v>
      </c>
      <c r="B982" s="2" t="s">
        <v>913</v>
      </c>
      <c r="C982" s="1">
        <v>25</v>
      </c>
      <c r="D982" s="1">
        <v>10</v>
      </c>
      <c r="E982" s="1">
        <v>20</v>
      </c>
      <c r="F982" s="1">
        <v>0</v>
      </c>
      <c r="K982" s="1">
        <v>800</v>
      </c>
      <c r="L982" s="6">
        <v>224423</v>
      </c>
      <c r="M982" s="1">
        <v>50.8</v>
      </c>
      <c r="N982" s="1">
        <v>9</v>
      </c>
      <c r="O982" s="1">
        <v>19</v>
      </c>
      <c r="P982" s="1">
        <v>17.8</v>
      </c>
      <c r="Q982" s="11">
        <f>'Table H'!$J$243</f>
        <v>0.88440289091309254</v>
      </c>
      <c r="R982" s="11">
        <f t="shared" si="30"/>
        <v>198480.34998738897</v>
      </c>
      <c r="S982" s="11" t="str">
        <f t="shared" si="31"/>
        <v>Bingley UD</v>
      </c>
      <c r="T982" s="11" t="s">
        <v>5214</v>
      </c>
      <c r="V982" s="11" t="str">
        <f>INDEX('Lookup 1961'!$A$2:$A$1300, MATCH(S982, 'Lookup 1961'!$B$2:$B$1300,0))</f>
        <v>J04000148</v>
      </c>
      <c r="W982" s="11" t="str">
        <f>INDEX('Lookup 1961'!$F$2:$F$1300, MATCH(S982, 'Lookup 1961'!$B$2:$B$1300,0))</f>
        <v>e461216</v>
      </c>
      <c r="X982" s="11" t="str">
        <f>INDEX('Lookup 1961'!$C$2:$C$1300, MATCH(V982, 'Lookup 1961'!$A$2:$A$1300,0))</f>
        <v>West Yorkshire</v>
      </c>
    </row>
    <row r="983" spans="1:24" ht="25.05" customHeight="1" x14ac:dyDescent="0.3">
      <c r="A983" s="2" t="s">
        <v>914</v>
      </c>
      <c r="B983" s="2" t="s">
        <v>914</v>
      </c>
      <c r="C983" s="1">
        <v>24</v>
      </c>
      <c r="D983" s="1">
        <v>0</v>
      </c>
      <c r="E983" s="1">
        <v>18</v>
      </c>
      <c r="F983" s="1">
        <v>0</v>
      </c>
      <c r="K983" s="1">
        <v>736</v>
      </c>
      <c r="L983" s="6">
        <v>190564</v>
      </c>
      <c r="M983" s="1">
        <v>37.700000000000003</v>
      </c>
      <c r="N983" s="1">
        <v>7</v>
      </c>
      <c r="O983" s="1">
        <v>18</v>
      </c>
      <c r="P983" s="1">
        <v>8.1999999999999993</v>
      </c>
      <c r="Q983" s="11">
        <f>'Table H'!$J$243</f>
        <v>0.88440289091309254</v>
      </c>
      <c r="R983" s="11">
        <f t="shared" si="30"/>
        <v>168535.35250396255</v>
      </c>
      <c r="S983" s="11" t="str">
        <f t="shared" si="31"/>
        <v>Colne Valley UD</v>
      </c>
      <c r="T983" s="11" t="s">
        <v>5214</v>
      </c>
      <c r="V983" s="11" t="str">
        <f>INDEX('Lookup 1961'!$A$2:$A$1300, MATCH(S983, 'Lookup 1961'!$B$2:$B$1300,0))</f>
        <v>J04000338</v>
      </c>
      <c r="W983" s="11" t="str">
        <f>INDEX('Lookup 1961'!$F$2:$F$1300, MATCH(S983, 'Lookup 1961'!$B$2:$B$1300,0))</f>
        <v>e461219</v>
      </c>
      <c r="X983" s="11" t="str">
        <f>INDEX('Lookup 1961'!$C$2:$C$1300, MATCH(V983, 'Lookup 1961'!$A$2:$A$1300,0))</f>
        <v>West Yorkshire</v>
      </c>
    </row>
    <row r="984" spans="1:24" ht="25.05" customHeight="1" x14ac:dyDescent="0.3">
      <c r="A984" s="2" t="s">
        <v>915</v>
      </c>
      <c r="B984" s="2" t="s">
        <v>915</v>
      </c>
      <c r="C984" s="1">
        <v>29</v>
      </c>
      <c r="D984" s="1">
        <v>0</v>
      </c>
      <c r="E984" s="1">
        <v>20</v>
      </c>
      <c r="F984" s="1">
        <v>0</v>
      </c>
      <c r="K984" s="1">
        <v>390</v>
      </c>
      <c r="L984" s="6">
        <v>104216</v>
      </c>
      <c r="M984" s="1">
        <v>50.6</v>
      </c>
      <c r="N984" s="1">
        <v>5</v>
      </c>
      <c r="O984" s="1">
        <v>13</v>
      </c>
      <c r="P984" s="1">
        <v>7.2</v>
      </c>
      <c r="Q984" s="11">
        <f>'Table H'!$J$243</f>
        <v>0.88440289091309254</v>
      </c>
      <c r="R984" s="11">
        <f t="shared" si="30"/>
        <v>92168.931679398855</v>
      </c>
      <c r="S984" s="11" t="str">
        <f t="shared" si="31"/>
        <v>Conisbrough UD</v>
      </c>
      <c r="T984" s="11" t="s">
        <v>5214</v>
      </c>
      <c r="V984" s="11" t="str">
        <f>INDEX('Lookup 1961'!$A$2:$A$1300, MATCH(S984, 'Lookup 1961'!$B$2:$B$1300,0))</f>
        <v>J04000343</v>
      </c>
      <c r="W984" s="11" t="str">
        <f>INDEX('Lookup 1961'!$F$2:$F$1300, MATCH(S984, 'Lookup 1961'!$B$2:$B$1300,0))</f>
        <v>e461220</v>
      </c>
      <c r="X984" s="11" t="str">
        <f>INDEX('Lookup 1961'!$C$2:$C$1300, MATCH(V984, 'Lookup 1961'!$A$2:$A$1300,0))</f>
        <v>South Yorkshire</v>
      </c>
    </row>
    <row r="985" spans="1:24" ht="25.05" customHeight="1" x14ac:dyDescent="0.3">
      <c r="A985" s="2" t="s">
        <v>916</v>
      </c>
      <c r="B985" s="2" t="s">
        <v>916</v>
      </c>
      <c r="C985" s="1">
        <v>25</v>
      </c>
      <c r="D985" s="1">
        <v>0</v>
      </c>
      <c r="E985" s="1">
        <v>19</v>
      </c>
      <c r="F985" s="1">
        <v>0</v>
      </c>
      <c r="K985" s="1">
        <v>200</v>
      </c>
      <c r="L985" s="6">
        <v>53442</v>
      </c>
      <c r="M985" s="1">
        <v>59.2</v>
      </c>
      <c r="N985" s="1">
        <v>5</v>
      </c>
      <c r="O985" s="1">
        <v>1</v>
      </c>
      <c r="P985" s="1">
        <v>14.2</v>
      </c>
      <c r="Q985" s="11">
        <f>'Table H'!$J$243</f>
        <v>0.88440289091309254</v>
      </c>
      <c r="R985" s="11">
        <f t="shared" si="30"/>
        <v>47264.259296177494</v>
      </c>
      <c r="S985" s="11" t="str">
        <f t="shared" si="31"/>
        <v>Cudworth UD</v>
      </c>
      <c r="T985" s="11" t="s">
        <v>5214</v>
      </c>
      <c r="V985" s="11" t="str">
        <f>INDEX('Lookup 1961'!$A$2:$A$1300, MATCH(S985, 'Lookup 1961'!$B$2:$B$1300,0))</f>
        <v>J04000374</v>
      </c>
      <c r="W985" s="11" t="str">
        <f>INDEX('Lookup 1961'!$F$2:$F$1300, MATCH(S985, 'Lookup 1961'!$B$2:$B$1300,0))</f>
        <v>e461221</v>
      </c>
      <c r="X985" s="11" t="str">
        <f>INDEX('Lookup 1961'!$C$2:$C$1300, MATCH(V985, 'Lookup 1961'!$A$2:$A$1300,0))</f>
        <v>South Yorkshire</v>
      </c>
    </row>
    <row r="986" spans="1:24" ht="25.05" customHeight="1" x14ac:dyDescent="0.3">
      <c r="A986" s="2" t="s">
        <v>917</v>
      </c>
      <c r="B986" s="2" t="s">
        <v>917</v>
      </c>
      <c r="C986" s="1">
        <v>26</v>
      </c>
      <c r="D986" s="1">
        <v>0</v>
      </c>
      <c r="E986" s="1">
        <v>18</v>
      </c>
      <c r="F986" s="1">
        <v>6</v>
      </c>
      <c r="K986" s="1">
        <v>162</v>
      </c>
      <c r="L986" s="6">
        <v>42299</v>
      </c>
      <c r="M986" s="1">
        <v>68.599999999999994</v>
      </c>
      <c r="N986" s="1">
        <v>5</v>
      </c>
      <c r="O986" s="1">
        <v>17</v>
      </c>
      <c r="P986" s="1">
        <v>20</v>
      </c>
      <c r="Q986" s="11">
        <f>'Table H'!$J$243</f>
        <v>0.88440289091309254</v>
      </c>
      <c r="R986" s="11">
        <f t="shared" si="30"/>
        <v>37409.357882732904</v>
      </c>
      <c r="S986" s="11" t="str">
        <f t="shared" si="31"/>
        <v>Darfield UD</v>
      </c>
      <c r="T986" s="11" t="s">
        <v>5214</v>
      </c>
      <c r="V986" s="11" t="str">
        <f>INDEX('Lookup 1961'!$A$2:$A$1300, MATCH(S986, 'Lookup 1961'!$B$2:$B$1300,0))</f>
        <v>J04000379</v>
      </c>
      <c r="W986" s="11" t="str">
        <f>INDEX('Lookup 1961'!$F$2:$F$1300, MATCH(S986, 'Lookup 1961'!$B$2:$B$1300,0))</f>
        <v>e461222</v>
      </c>
      <c r="X986" s="11" t="str">
        <f>INDEX('Lookup 1961'!$C$2:$C$1300, MATCH(V986, 'Lookup 1961'!$A$2:$A$1300,0))</f>
        <v>South Yorkshire</v>
      </c>
    </row>
    <row r="987" spans="1:24" ht="25.05" customHeight="1" x14ac:dyDescent="0.3">
      <c r="A987" s="2" t="s">
        <v>918</v>
      </c>
      <c r="B987" s="2" t="s">
        <v>918</v>
      </c>
      <c r="C987" s="1">
        <v>26</v>
      </c>
      <c r="D987" s="1">
        <v>0</v>
      </c>
      <c r="E987" s="1">
        <v>18</v>
      </c>
      <c r="F987" s="1">
        <v>6</v>
      </c>
      <c r="K987" s="1">
        <v>330</v>
      </c>
      <c r="L987" s="6">
        <v>92576</v>
      </c>
      <c r="M987" s="1">
        <v>81.599999999999994</v>
      </c>
      <c r="N987" s="1">
        <v>5</v>
      </c>
      <c r="O987" s="1">
        <v>11</v>
      </c>
      <c r="P987" s="1">
        <v>30.7</v>
      </c>
      <c r="Q987" s="11">
        <f>'Table H'!$J$243</f>
        <v>0.88440289091309254</v>
      </c>
      <c r="R987" s="11">
        <f t="shared" si="30"/>
        <v>81874.482029170453</v>
      </c>
      <c r="S987" s="11" t="str">
        <f t="shared" si="31"/>
        <v>Darton UD</v>
      </c>
      <c r="T987" s="11" t="s">
        <v>5214</v>
      </c>
      <c r="V987" s="11" t="str">
        <f>INDEX('Lookup 1961'!$A$2:$A$1300, MATCH(S987, 'Lookup 1961'!$B$2:$B$1300,0))</f>
        <v>J04000386</v>
      </c>
      <c r="W987" s="11" t="str">
        <f>INDEX('Lookup 1961'!$F$2:$F$1300, MATCH(S987, 'Lookup 1961'!$B$2:$B$1300,0))</f>
        <v>e461223</v>
      </c>
      <c r="X987" s="11" t="str">
        <f>INDEX('Lookup 1961'!$C$2:$C$1300, MATCH(V987, 'Lookup 1961'!$A$2:$A$1300,0))</f>
        <v>South Yorkshire</v>
      </c>
    </row>
    <row r="988" spans="1:24" ht="25.05" customHeight="1" x14ac:dyDescent="0.3">
      <c r="A988" s="2" t="s">
        <v>919</v>
      </c>
      <c r="B988" s="2" t="s">
        <v>919</v>
      </c>
      <c r="C988" s="1">
        <v>27</v>
      </c>
      <c r="D988" s="1">
        <v>6</v>
      </c>
      <c r="E988" s="1">
        <v>18</v>
      </c>
      <c r="F988" s="1">
        <v>10</v>
      </c>
      <c r="K988" s="1">
        <v>640</v>
      </c>
      <c r="L988" s="6">
        <v>177463</v>
      </c>
      <c r="M988" s="1">
        <v>62.9</v>
      </c>
      <c r="N988" s="1">
        <v>5</v>
      </c>
      <c r="O988" s="1">
        <v>15</v>
      </c>
      <c r="P988" s="1">
        <v>12.9</v>
      </c>
      <c r="Q988" s="11">
        <f>'Table H'!$J$243</f>
        <v>0.88440289091309254</v>
      </c>
      <c r="R988" s="11">
        <f t="shared" si="30"/>
        <v>156948.79023011014</v>
      </c>
      <c r="S988" s="11" t="str">
        <f t="shared" si="31"/>
        <v>Dearne UD</v>
      </c>
      <c r="T988" s="11" t="s">
        <v>5214</v>
      </c>
      <c r="V988" s="11" t="str">
        <f>INDEX('Lookup 1961'!$A$2:$A$1300, MATCH(S988, 'Lookup 1961'!$B$2:$B$1300,0))</f>
        <v>J04000393</v>
      </c>
      <c r="W988" s="11" t="str">
        <f>INDEX('Lookup 1961'!$F$2:$F$1300, MATCH(S988, 'Lookup 1961'!$B$2:$B$1300,0))</f>
        <v>e461224</v>
      </c>
      <c r="X988" s="11" t="str">
        <f>INDEX('Lookup 1961'!$C$2:$C$1300, MATCH(V988, 'Lookup 1961'!$A$2:$A$1300,0))</f>
        <v>South Yorkshire</v>
      </c>
    </row>
    <row r="989" spans="1:24" ht="25.05" customHeight="1" x14ac:dyDescent="0.3">
      <c r="A989" s="2" t="s">
        <v>920</v>
      </c>
      <c r="B989" s="2" t="s">
        <v>920</v>
      </c>
      <c r="C989" s="1">
        <v>26</v>
      </c>
      <c r="D989" s="1">
        <v>0</v>
      </c>
      <c r="E989" s="1">
        <v>20</v>
      </c>
      <c r="F989" s="1">
        <v>0</v>
      </c>
      <c r="K989" s="1">
        <v>220</v>
      </c>
      <c r="L989" s="6">
        <v>59122</v>
      </c>
      <c r="M989" s="1">
        <v>46.6</v>
      </c>
      <c r="N989" s="1">
        <v>5</v>
      </c>
      <c r="O989" s="1">
        <v>16</v>
      </c>
      <c r="P989" s="1">
        <v>14.5</v>
      </c>
      <c r="Q989" s="11">
        <f>'Table H'!$J$243</f>
        <v>0.88440289091309254</v>
      </c>
      <c r="R989" s="11">
        <f t="shared" si="30"/>
        <v>52287.667716563854</v>
      </c>
      <c r="S989" s="11" t="str">
        <f t="shared" si="31"/>
        <v>Denby Dale UD</v>
      </c>
      <c r="T989" s="11" t="s">
        <v>5214</v>
      </c>
      <c r="V989" s="11" t="str">
        <f>INDEX('Lookup 1961'!$A$2:$A$1300, MATCH(S989, 'Lookup 1961'!$B$2:$B$1300,0))</f>
        <v>J04000396</v>
      </c>
      <c r="W989" s="11" t="str">
        <f>INDEX('Lookup 1961'!$F$2:$F$1300, MATCH(S989, 'Lookup 1961'!$B$2:$B$1300,0))</f>
        <v>e461225</v>
      </c>
      <c r="X989" s="11" t="str">
        <f>INDEX('Lookup 1961'!$C$2:$C$1300, MATCH(V989, 'Lookup 1961'!$A$2:$A$1300,0))</f>
        <v>West Yorkshire</v>
      </c>
    </row>
    <row r="990" spans="1:24" ht="25.05" customHeight="1" x14ac:dyDescent="0.3">
      <c r="A990" s="2" t="s">
        <v>921</v>
      </c>
      <c r="B990" s="2" t="s">
        <v>921</v>
      </c>
      <c r="C990" s="1">
        <v>21</v>
      </c>
      <c r="D990" s="1">
        <v>6</v>
      </c>
      <c r="E990" s="1">
        <v>15</v>
      </c>
      <c r="F990" s="1">
        <v>9</v>
      </c>
      <c r="K990" s="1">
        <v>88</v>
      </c>
      <c r="L990" s="6">
        <v>23800</v>
      </c>
      <c r="M990" s="1">
        <v>61.3</v>
      </c>
      <c r="N990" s="1">
        <v>6</v>
      </c>
      <c r="O990" s="1">
        <v>16</v>
      </c>
      <c r="P990" s="1">
        <v>15.9</v>
      </c>
      <c r="Q990" s="11">
        <f>'Table H'!$J$243</f>
        <v>0.88440289091309254</v>
      </c>
      <c r="R990" s="11">
        <f t="shared" si="30"/>
        <v>21048.788803731604</v>
      </c>
      <c r="S990" s="11" t="str">
        <f t="shared" si="31"/>
        <v>Denholme UD</v>
      </c>
      <c r="T990" s="11" t="s">
        <v>5214</v>
      </c>
      <c r="V990" s="11" t="str">
        <f>INDEX('Lookup 1961'!$A$2:$A$1300, MATCH(S990, 'Lookup 1961'!$B$2:$B$1300,0))</f>
        <v>J04000397</v>
      </c>
      <c r="W990" s="11" t="str">
        <f>INDEX('Lookup 1961'!$F$2:$F$1300, MATCH(S990, 'Lookup 1961'!$B$2:$B$1300,0))</f>
        <v>e461226</v>
      </c>
      <c r="X990" s="11" t="str">
        <f>INDEX('Lookup 1961'!$C$2:$C$1300, MATCH(V990, 'Lookup 1961'!$A$2:$A$1300,0))</f>
        <v>West Yorkshire</v>
      </c>
    </row>
    <row r="991" spans="1:24" ht="25.05" customHeight="1" x14ac:dyDescent="0.3">
      <c r="A991" s="2" t="s">
        <v>922</v>
      </c>
      <c r="B991" s="2" t="s">
        <v>922</v>
      </c>
      <c r="C991" s="1">
        <v>26</v>
      </c>
      <c r="D991" s="1">
        <v>0</v>
      </c>
      <c r="E991" s="1">
        <v>21</v>
      </c>
      <c r="F991" s="1">
        <v>0</v>
      </c>
      <c r="K991" s="1">
        <v>79</v>
      </c>
      <c r="L991" s="6">
        <v>24520</v>
      </c>
      <c r="M991" s="1">
        <v>54.7</v>
      </c>
      <c r="N991" s="1">
        <v>5</v>
      </c>
      <c r="O991" s="1">
        <v>16</v>
      </c>
      <c r="P991" s="1">
        <v>29.1</v>
      </c>
      <c r="Q991" s="11">
        <f>'Table H'!$J$243</f>
        <v>0.88440289091309254</v>
      </c>
      <c r="R991" s="11">
        <f t="shared" si="30"/>
        <v>21685.558885189028</v>
      </c>
      <c r="S991" s="11" t="str">
        <f t="shared" si="31"/>
        <v>Dodworth UD</v>
      </c>
      <c r="T991" s="11" t="s">
        <v>5214</v>
      </c>
      <c r="V991" s="11" t="str">
        <f>INDEX('Lookup 1961'!$A$2:$A$1300, MATCH(S991, 'Lookup 1961'!$B$2:$B$1300,0))</f>
        <v>J04000411</v>
      </c>
      <c r="W991" s="11" t="str">
        <f>INDEX('Lookup 1961'!$F$2:$F$1300, MATCH(S991, 'Lookup 1961'!$B$2:$B$1300,0))</f>
        <v>e461227</v>
      </c>
      <c r="X991" s="11" t="str">
        <f>INDEX('Lookup 1961'!$C$2:$C$1300, MATCH(V991, 'Lookup 1961'!$A$2:$A$1300,0))</f>
        <v>South Yorkshire</v>
      </c>
    </row>
    <row r="992" spans="1:24" ht="25.05" customHeight="1" x14ac:dyDescent="0.3">
      <c r="A992" s="2" t="s">
        <v>923</v>
      </c>
      <c r="B992" s="2" t="s">
        <v>923</v>
      </c>
      <c r="C992" s="1">
        <v>24</v>
      </c>
      <c r="D992" s="1">
        <v>6</v>
      </c>
      <c r="E992" s="1">
        <v>18</v>
      </c>
      <c r="F992" s="1">
        <v>0</v>
      </c>
      <c r="K992" s="1">
        <v>156</v>
      </c>
      <c r="L992" s="6">
        <v>45172</v>
      </c>
      <c r="M992" s="1">
        <v>49.2</v>
      </c>
      <c r="N992" s="1">
        <v>7</v>
      </c>
      <c r="O992" s="1">
        <v>12</v>
      </c>
      <c r="P992" s="1">
        <v>6.7</v>
      </c>
      <c r="Q992" s="11">
        <f>'Table H'!$J$243</f>
        <v>0.88440289091309254</v>
      </c>
      <c r="R992" s="11">
        <f t="shared" si="30"/>
        <v>39950.247388326214</v>
      </c>
      <c r="S992" s="11" t="str">
        <f t="shared" si="31"/>
        <v>Earby UD</v>
      </c>
      <c r="T992" s="11" t="s">
        <v>5214</v>
      </c>
      <c r="V992" s="11" t="str">
        <f>INDEX('Lookup 1961'!$A$2:$A$1300, MATCH(S992, 'Lookup 1961'!$B$2:$B$1300,0))</f>
        <v>J04000442</v>
      </c>
      <c r="W992" s="11" t="str">
        <f>INDEX('Lookup 1961'!$F$2:$F$1300, MATCH(S992, 'Lookup 1961'!$B$2:$B$1300,0))</f>
        <v>e461228</v>
      </c>
      <c r="X992" s="11" t="str">
        <f>INDEX('Lookup 1961'!$C$2:$C$1300, MATCH(V992, 'Lookup 1961'!$A$2:$A$1300,0))</f>
        <v>Lancashire</v>
      </c>
    </row>
    <row r="993" spans="1:24" ht="25.05" customHeight="1" x14ac:dyDescent="0.3">
      <c r="A993" s="2" t="s">
        <v>924</v>
      </c>
      <c r="B993" s="2" t="s">
        <v>924</v>
      </c>
      <c r="C993" s="1">
        <v>22</v>
      </c>
      <c r="D993" s="1">
        <v>0</v>
      </c>
      <c r="E993" s="1">
        <v>17</v>
      </c>
      <c r="F993" s="1">
        <v>0</v>
      </c>
      <c r="K993" s="1">
        <v>560</v>
      </c>
      <c r="L993" s="6">
        <v>153956</v>
      </c>
      <c r="M993" s="1">
        <v>53.6</v>
      </c>
      <c r="N993" s="1">
        <v>6</v>
      </c>
      <c r="O993" s="1">
        <v>9</v>
      </c>
      <c r="P993" s="1">
        <v>16.5</v>
      </c>
      <c r="Q993" s="11">
        <f>'Table H'!$J$243</f>
        <v>0.88440289091309254</v>
      </c>
      <c r="R993" s="11">
        <f t="shared" si="30"/>
        <v>136159.13147341608</v>
      </c>
      <c r="S993" s="11" t="str">
        <f t="shared" si="31"/>
        <v>Elland UD</v>
      </c>
      <c r="T993" s="11" t="s">
        <v>5214</v>
      </c>
      <c r="V993" s="11" t="str">
        <f>INDEX('Lookup 1961'!$A$2:$A$1300, MATCH(S993, 'Lookup 1961'!$B$2:$B$1300,0))</f>
        <v>J04000466</v>
      </c>
      <c r="W993" s="11" t="str">
        <f>INDEX('Lookup 1961'!$F$2:$F$1300, MATCH(S993, 'Lookup 1961'!$B$2:$B$1300,0))</f>
        <v>e461229</v>
      </c>
      <c r="X993" s="11" t="str">
        <f>INDEX('Lookup 1961'!$C$2:$C$1300, MATCH(V993, 'Lookup 1961'!$A$2:$A$1300,0))</f>
        <v>West Yorkshire</v>
      </c>
    </row>
    <row r="994" spans="1:24" ht="25.05" customHeight="1" x14ac:dyDescent="0.3">
      <c r="A994" s="2" t="s">
        <v>925</v>
      </c>
      <c r="B994" s="2" t="s">
        <v>925</v>
      </c>
      <c r="C994" s="1">
        <v>26</v>
      </c>
      <c r="D994" s="1">
        <v>6</v>
      </c>
      <c r="E994" s="1">
        <v>19</v>
      </c>
      <c r="F994" s="1">
        <v>9</v>
      </c>
      <c r="K994" s="1">
        <v>320</v>
      </c>
      <c r="L994" s="6">
        <v>86532</v>
      </c>
      <c r="M994" s="1">
        <v>43.4</v>
      </c>
      <c r="N994" s="1">
        <v>5</v>
      </c>
      <c r="O994" s="1">
        <v>12</v>
      </c>
      <c r="P994" s="1">
        <v>9.6</v>
      </c>
      <c r="Q994" s="11">
        <f>'Table H'!$J$243</f>
        <v>0.88440289091309254</v>
      </c>
      <c r="R994" s="11">
        <f t="shared" si="30"/>
        <v>76529.150956491721</v>
      </c>
      <c r="S994" s="11" t="str">
        <f t="shared" si="31"/>
        <v>Featherstone UD</v>
      </c>
      <c r="T994" s="11" t="s">
        <v>5214</v>
      </c>
      <c r="V994" s="11" t="str">
        <f>INDEX('Lookup 1961'!$A$2:$A$1300, MATCH(S994, 'Lookup 1961'!$B$2:$B$1300,0))</f>
        <v>J04000497</v>
      </c>
      <c r="W994" s="11" t="str">
        <f>INDEX('Lookup 1961'!$F$2:$F$1300, MATCH(S994, 'Lookup 1961'!$B$2:$B$1300,0))</f>
        <v>e461230</v>
      </c>
      <c r="X994" s="11" t="str">
        <f>INDEX('Lookup 1961'!$C$2:$C$1300, MATCH(V994, 'Lookup 1961'!$A$2:$A$1300,0))</f>
        <v>West Yorkshire</v>
      </c>
    </row>
    <row r="995" spans="1:24" ht="25.05" customHeight="1" x14ac:dyDescent="0.3">
      <c r="A995" s="2" t="s">
        <v>926</v>
      </c>
      <c r="B995" s="2" t="s">
        <v>926</v>
      </c>
      <c r="C995" s="1">
        <v>27</v>
      </c>
      <c r="D995" s="1">
        <v>0</v>
      </c>
      <c r="E995" s="1">
        <v>18</v>
      </c>
      <c r="F995" s="1">
        <v>0</v>
      </c>
      <c r="K995" s="1">
        <v>364</v>
      </c>
      <c r="L995" s="6">
        <v>94752</v>
      </c>
      <c r="M995" s="1">
        <v>58.8</v>
      </c>
      <c r="N995" s="1">
        <v>6</v>
      </c>
      <c r="O995" s="1">
        <v>1</v>
      </c>
      <c r="P995" s="1">
        <v>0.8</v>
      </c>
      <c r="Q995" s="11">
        <f>'Table H'!$J$243</f>
        <v>0.88440289091309254</v>
      </c>
      <c r="R995" s="11">
        <f t="shared" si="30"/>
        <v>83798.942719797342</v>
      </c>
      <c r="S995" s="11" t="str">
        <f t="shared" si="31"/>
        <v>Garforth UD</v>
      </c>
      <c r="T995" s="11" t="s">
        <v>5214</v>
      </c>
      <c r="V995" s="11" t="str">
        <f>INDEX('Lookup 1961'!$A$2:$A$1300, MATCH(S995, 'Lookup 1961'!$B$2:$B$1300,0))</f>
        <v>J04000526</v>
      </c>
      <c r="W995" s="11" t="str">
        <f>INDEX('Lookup 1961'!$F$2:$F$1300, MATCH(S995, 'Lookup 1961'!$B$2:$B$1300,0))</f>
        <v>e461231</v>
      </c>
      <c r="X995" s="11" t="str">
        <f>INDEX('Lookup 1961'!$C$2:$C$1300, MATCH(V995, 'Lookup 1961'!$A$2:$A$1300,0))</f>
        <v>West Yorkshire</v>
      </c>
    </row>
    <row r="996" spans="1:24" ht="25.05" customHeight="1" x14ac:dyDescent="0.3">
      <c r="A996" s="2" t="s">
        <v>927</v>
      </c>
      <c r="B996" s="2" t="s">
        <v>927</v>
      </c>
      <c r="C996" s="1">
        <v>23</v>
      </c>
      <c r="D996" s="1">
        <v>6</v>
      </c>
      <c r="E996" s="1">
        <v>17</v>
      </c>
      <c r="F996" s="1">
        <v>4</v>
      </c>
      <c r="K996" s="1">
        <v>390</v>
      </c>
      <c r="L996" s="6">
        <v>100151</v>
      </c>
      <c r="M996" s="1">
        <v>47.5</v>
      </c>
      <c r="N996" s="1">
        <v>8</v>
      </c>
      <c r="O996" s="1">
        <v>11</v>
      </c>
      <c r="P996" s="1">
        <v>9.5</v>
      </c>
      <c r="Q996" s="11">
        <f>'Table H'!$J$243</f>
        <v>0.88440289091309254</v>
      </c>
      <c r="R996" s="11">
        <f t="shared" si="30"/>
        <v>88573.833927837128</v>
      </c>
      <c r="S996" s="11" t="str">
        <f t="shared" si="31"/>
        <v>Hebden Royd UD</v>
      </c>
      <c r="T996" s="11" t="s">
        <v>5214</v>
      </c>
      <c r="V996" s="11" t="str">
        <f>INDEX('Lookup 1961'!$A$2:$A$1300, MATCH(S996, 'Lookup 1961'!$B$2:$B$1300,0))</f>
        <v>J04000598</v>
      </c>
      <c r="W996" s="11" t="str">
        <f>INDEX('Lookup 1961'!$F$2:$F$1300, MATCH(S996, 'Lookup 1961'!$B$2:$B$1300,0))</f>
        <v>e461234</v>
      </c>
      <c r="X996" s="11" t="str">
        <f>INDEX('Lookup 1961'!$C$2:$C$1300, MATCH(V996, 'Lookup 1961'!$A$2:$A$1300,0))</f>
        <v>West Yorkshire</v>
      </c>
    </row>
    <row r="997" spans="1:24" ht="25.05" customHeight="1" x14ac:dyDescent="0.3">
      <c r="A997" s="2" t="s">
        <v>928</v>
      </c>
      <c r="B997" s="2" t="s">
        <v>928</v>
      </c>
      <c r="C997" s="1">
        <v>23</v>
      </c>
      <c r="D997" s="1">
        <v>0</v>
      </c>
      <c r="E997" s="1">
        <v>17</v>
      </c>
      <c r="F997" s="1">
        <v>6</v>
      </c>
      <c r="K997" s="1">
        <v>302</v>
      </c>
      <c r="L997" s="6">
        <v>77462</v>
      </c>
      <c r="M997" s="1">
        <v>47.4</v>
      </c>
      <c r="N997" s="1">
        <v>7</v>
      </c>
      <c r="O997" s="1">
        <v>11</v>
      </c>
      <c r="P997" s="1">
        <v>10.199999999999999</v>
      </c>
      <c r="Q997" s="11">
        <f>'Table H'!$J$243</f>
        <v>0.88440289091309254</v>
      </c>
      <c r="R997" s="11">
        <f t="shared" si="30"/>
        <v>68507.616735909978</v>
      </c>
      <c r="S997" s="11" t="str">
        <f t="shared" si="31"/>
        <v>Heckmondwike UD</v>
      </c>
      <c r="T997" s="11" t="s">
        <v>5214</v>
      </c>
      <c r="V997" s="11" t="str">
        <f>INDEX('Lookup 1961'!$A$2:$A$1300, MATCH(S997, 'Lookup 1961'!$B$2:$B$1300,0))</f>
        <v>J04000599</v>
      </c>
      <c r="W997" s="11" t="str">
        <f>INDEX('Lookup 1961'!$F$2:$F$1300, MATCH(S997, 'Lookup 1961'!$B$2:$B$1300,0))</f>
        <v>e461235</v>
      </c>
      <c r="X997" s="11" t="str">
        <f>INDEX('Lookup 1961'!$C$2:$C$1300, MATCH(V997, 'Lookup 1961'!$A$2:$A$1300,0))</f>
        <v>West Yorkshire</v>
      </c>
    </row>
    <row r="998" spans="1:24" ht="25.05" customHeight="1" x14ac:dyDescent="0.3">
      <c r="A998" s="2" t="s">
        <v>929</v>
      </c>
      <c r="B998" s="2" t="s">
        <v>929</v>
      </c>
      <c r="C998" s="1">
        <v>27</v>
      </c>
      <c r="D998" s="1">
        <v>6</v>
      </c>
      <c r="E998" s="1">
        <v>20</v>
      </c>
      <c r="F998" s="1">
        <v>0</v>
      </c>
      <c r="K998" s="1">
        <v>340</v>
      </c>
      <c r="L998" s="6">
        <v>91112</v>
      </c>
      <c r="M998" s="1">
        <v>52.2</v>
      </c>
      <c r="N998" s="1">
        <v>6</v>
      </c>
      <c r="O998" s="1">
        <v>0</v>
      </c>
      <c r="P998" s="1">
        <v>6.5</v>
      </c>
      <c r="Q998" s="11">
        <f>'Table H'!$J$243</f>
        <v>0.88440289091309254</v>
      </c>
      <c r="R998" s="11">
        <f t="shared" si="30"/>
        <v>80579.716196873691</v>
      </c>
      <c r="S998" s="11" t="str">
        <f t="shared" si="31"/>
        <v>Hemsworth UD</v>
      </c>
      <c r="T998" s="11" t="s">
        <v>5214</v>
      </c>
      <c r="V998" s="11" t="str">
        <f>INDEX('Lookup 1961'!$A$2:$A$1300, MATCH(S998, 'Lookup 1961'!$B$2:$B$1300,0))</f>
        <v>J04000606</v>
      </c>
      <c r="W998" s="11" t="str">
        <f>INDEX('Lookup 1961'!$F$2:$F$1300, MATCH(S998, 'Lookup 1961'!$B$2:$B$1300,0))</f>
        <v>e461236</v>
      </c>
      <c r="X998" s="11" t="str">
        <f>INDEX('Lookup 1961'!$C$2:$C$1300, MATCH(V998, 'Lookup 1961'!$A$2:$A$1300,0))</f>
        <v>West Yorkshire</v>
      </c>
    </row>
    <row r="999" spans="1:24" ht="25.05" customHeight="1" x14ac:dyDescent="0.3">
      <c r="A999" s="2" t="s">
        <v>930</v>
      </c>
      <c r="B999" s="2" t="s">
        <v>930</v>
      </c>
      <c r="C999" s="1">
        <v>22</v>
      </c>
      <c r="D999" s="1">
        <v>0</v>
      </c>
      <c r="E999" s="1">
        <v>15</v>
      </c>
      <c r="F999" s="1">
        <v>6</v>
      </c>
      <c r="K999" s="1">
        <v>595</v>
      </c>
      <c r="L999" s="6">
        <v>159823</v>
      </c>
      <c r="M999" s="1">
        <v>52.1</v>
      </c>
      <c r="N999" s="1">
        <v>6</v>
      </c>
      <c r="O999" s="1">
        <v>8</v>
      </c>
      <c r="P999" s="1">
        <v>0.4</v>
      </c>
      <c r="Q999" s="11">
        <f>'Table H'!$J$243</f>
        <v>0.88440289091309254</v>
      </c>
      <c r="R999" s="11">
        <f t="shared" si="30"/>
        <v>141347.92323440319</v>
      </c>
      <c r="S999" s="11" t="str">
        <f t="shared" si="31"/>
        <v>Holmfirth UD</v>
      </c>
      <c r="T999" s="11" t="s">
        <v>5214</v>
      </c>
      <c r="V999" s="11" t="str">
        <f>INDEX('Lookup 1961'!$A$2:$A$1300, MATCH(S999, 'Lookup 1961'!$B$2:$B$1300,0))</f>
        <v>J04000633</v>
      </c>
      <c r="W999" s="11" t="str">
        <f>INDEX('Lookup 1961'!$F$2:$F$1300, MATCH(S999, 'Lookup 1961'!$B$2:$B$1300,0))</f>
        <v>e461237</v>
      </c>
      <c r="X999" s="11" t="str">
        <f>INDEX('Lookup 1961'!$C$2:$C$1300, MATCH(V999, 'Lookup 1961'!$A$2:$A$1300,0))</f>
        <v>West Yorkshire</v>
      </c>
    </row>
    <row r="1000" spans="1:24" ht="25.05" customHeight="1" x14ac:dyDescent="0.3">
      <c r="A1000" s="2" t="s">
        <v>931</v>
      </c>
      <c r="B1000" s="2" t="s">
        <v>931</v>
      </c>
      <c r="C1000" s="1">
        <v>25</v>
      </c>
      <c r="D1000" s="1">
        <v>0</v>
      </c>
      <c r="E1000" s="1">
        <v>18</v>
      </c>
      <c r="F1000" s="1">
        <v>0</v>
      </c>
      <c r="K1000" s="1">
        <v>236</v>
      </c>
      <c r="L1000" s="6">
        <v>62202</v>
      </c>
      <c r="M1000" s="1">
        <v>45.6</v>
      </c>
      <c r="N1000" s="1">
        <v>6</v>
      </c>
      <c r="O1000" s="1">
        <v>8</v>
      </c>
      <c r="P1000" s="1">
        <v>4</v>
      </c>
      <c r="Q1000" s="11">
        <f>'Table H'!$J$243</f>
        <v>0.88440289091309254</v>
      </c>
      <c r="R1000" s="11">
        <f t="shared" si="30"/>
        <v>55011.628620576179</v>
      </c>
      <c r="S1000" s="11" t="str">
        <f t="shared" si="31"/>
        <v>Horbury UD</v>
      </c>
      <c r="T1000" s="11" t="s">
        <v>5214</v>
      </c>
      <c r="V1000" s="11" t="str">
        <f>INDEX('Lookup 1961'!$A$2:$A$1300, MATCH(S1000, 'Lookup 1961'!$B$2:$B$1300,0))</f>
        <v>J04000641</v>
      </c>
      <c r="W1000" s="11" t="str">
        <f>INDEX('Lookup 1961'!$F$2:$F$1300, MATCH(S1000, 'Lookup 1961'!$B$2:$B$1300,0))</f>
        <v>e461238</v>
      </c>
      <c r="X1000" s="11" t="str">
        <f>INDEX('Lookup 1961'!$C$2:$C$1300, MATCH(V1000, 'Lookup 1961'!$A$2:$A$1300,0))</f>
        <v>West Yorkshire</v>
      </c>
    </row>
    <row r="1001" spans="1:24" ht="25.05" customHeight="1" x14ac:dyDescent="0.3">
      <c r="A1001" s="2" t="s">
        <v>932</v>
      </c>
      <c r="B1001" s="2" t="s">
        <v>932</v>
      </c>
      <c r="C1001" s="1">
        <v>24</v>
      </c>
      <c r="D1001" s="1">
        <v>2</v>
      </c>
      <c r="E1001" s="1">
        <v>18</v>
      </c>
      <c r="F1001" s="1">
        <v>8</v>
      </c>
      <c r="K1001" s="1">
        <v>522</v>
      </c>
      <c r="L1001" s="6">
        <v>134310</v>
      </c>
      <c r="M1001" s="1">
        <v>50.9</v>
      </c>
      <c r="N1001" s="1">
        <v>8</v>
      </c>
      <c r="O1001" s="1">
        <v>9</v>
      </c>
      <c r="P1001" s="1">
        <v>13.7</v>
      </c>
      <c r="Q1001" s="11">
        <f>'Table H'!$J$243</f>
        <v>0.88440289091309254</v>
      </c>
      <c r="R1001" s="11">
        <f t="shared" si="30"/>
        <v>118784.15227853745</v>
      </c>
      <c r="S1001" s="11" t="str">
        <f t="shared" si="31"/>
        <v>Horsforth UD</v>
      </c>
      <c r="T1001" s="11" t="s">
        <v>5214</v>
      </c>
      <c r="V1001" s="11" t="str">
        <f>INDEX('Lookup 1961'!$A$2:$A$1300, MATCH(S1001, 'Lookup 1961'!$B$2:$B$1300,0))</f>
        <v>J04000647</v>
      </c>
      <c r="W1001" s="11" t="str">
        <f>INDEX('Lookup 1961'!$F$2:$F$1300, MATCH(S1001, 'Lookup 1961'!$B$2:$B$1300,0))</f>
        <v>e461239</v>
      </c>
      <c r="X1001" s="11" t="str">
        <f>INDEX('Lookup 1961'!$C$2:$C$1300, MATCH(V1001, 'Lookup 1961'!$A$2:$A$1300,0))</f>
        <v>West Yorkshire</v>
      </c>
    </row>
    <row r="1002" spans="1:24" ht="25.05" customHeight="1" x14ac:dyDescent="0.3">
      <c r="A1002" s="2" t="s">
        <v>933</v>
      </c>
      <c r="B1002" s="2" t="s">
        <v>933</v>
      </c>
      <c r="C1002" s="1">
        <v>28</v>
      </c>
      <c r="D1002" s="1">
        <v>6</v>
      </c>
      <c r="E1002" s="1">
        <v>20</v>
      </c>
      <c r="F1002" s="1">
        <v>6</v>
      </c>
      <c r="K1002" s="1">
        <v>363</v>
      </c>
      <c r="L1002" s="6">
        <v>99538</v>
      </c>
      <c r="M1002" s="1">
        <v>65</v>
      </c>
      <c r="N1002" s="1">
        <v>5</v>
      </c>
      <c r="O1002" s="1">
        <v>17</v>
      </c>
      <c r="P1002" s="1">
        <v>17.899999999999999</v>
      </c>
      <c r="Q1002" s="11">
        <f>'Table H'!$J$243</f>
        <v>0.88440289091309254</v>
      </c>
      <c r="R1002" s="11">
        <f t="shared" si="30"/>
        <v>88031.694955707411</v>
      </c>
      <c r="S1002" s="11" t="str">
        <f t="shared" si="31"/>
        <v>Hoyland Nether UD</v>
      </c>
      <c r="T1002" s="11" t="s">
        <v>5214</v>
      </c>
      <c r="V1002" s="11" t="str">
        <f>INDEX('Lookup 1961'!$A$2:$A$1300, MATCH(S1002, 'Lookup 1961'!$B$2:$B$1300,0))</f>
        <v>J04000655</v>
      </c>
      <c r="W1002" s="11" t="str">
        <f>INDEX('Lookup 1961'!$F$2:$F$1300, MATCH(S1002, 'Lookup 1961'!$B$2:$B$1300,0))</f>
        <v>e461240</v>
      </c>
      <c r="X1002" s="11" t="str">
        <f>INDEX('Lookup 1961'!$C$2:$C$1300, MATCH(V1002, 'Lookup 1961'!$A$2:$A$1300,0))</f>
        <v>South Yorkshire</v>
      </c>
    </row>
    <row r="1003" spans="1:24" ht="25.05" customHeight="1" x14ac:dyDescent="0.3">
      <c r="A1003" s="2" t="s">
        <v>934</v>
      </c>
      <c r="B1003" s="2" t="s">
        <v>934</v>
      </c>
      <c r="C1003" s="1">
        <v>24</v>
      </c>
      <c r="D1003" s="1">
        <v>0</v>
      </c>
      <c r="E1003" s="1">
        <v>19</v>
      </c>
      <c r="F1003" s="1">
        <v>6</v>
      </c>
      <c r="K1003" s="1">
        <v>800</v>
      </c>
      <c r="L1003" s="6">
        <v>209970</v>
      </c>
      <c r="M1003" s="1">
        <v>34.200000000000003</v>
      </c>
      <c r="N1003" s="1">
        <v>11</v>
      </c>
      <c r="O1003" s="1">
        <v>9</v>
      </c>
      <c r="P1003" s="1">
        <v>7.9</v>
      </c>
      <c r="Q1003" s="11">
        <f>'Table H'!$J$243</f>
        <v>0.88440289091309254</v>
      </c>
      <c r="R1003" s="11">
        <f t="shared" si="30"/>
        <v>185698.07500502205</v>
      </c>
      <c r="S1003" s="11" t="str">
        <f t="shared" si="31"/>
        <v>Ilkley UD</v>
      </c>
      <c r="T1003" s="11" t="s">
        <v>5214</v>
      </c>
      <c r="V1003" s="11" t="str">
        <f>INDEX('Lookup 1961'!$A$2:$A$1300, MATCH(S1003, 'Lookup 1961'!$B$2:$B$1300,0))</f>
        <v>J04000668</v>
      </c>
      <c r="W1003" s="11" t="str">
        <f>INDEX('Lookup 1961'!$F$2:$F$1300, MATCH(S1003, 'Lookup 1961'!$B$2:$B$1300,0))</f>
        <v>e461241</v>
      </c>
      <c r="X1003" s="11" t="str">
        <f>INDEX('Lookup 1961'!$C$2:$C$1300, MATCH(V1003, 'Lookup 1961'!$A$2:$A$1300,0))</f>
        <v>West Yorkshire</v>
      </c>
    </row>
    <row r="1004" spans="1:24" ht="25.05" customHeight="1" x14ac:dyDescent="0.3">
      <c r="A1004" s="2" t="s">
        <v>935</v>
      </c>
      <c r="B1004" s="2" t="s">
        <v>935</v>
      </c>
      <c r="C1004" s="1">
        <v>25</v>
      </c>
      <c r="D1004" s="1">
        <v>0</v>
      </c>
      <c r="E1004" s="1">
        <v>20</v>
      </c>
      <c r="F1004" s="1">
        <v>0</v>
      </c>
      <c r="K1004" s="1">
        <v>393</v>
      </c>
      <c r="L1004" s="6">
        <v>102829</v>
      </c>
      <c r="M1004" s="1">
        <v>34.4</v>
      </c>
      <c r="N1004" s="1">
        <v>6</v>
      </c>
      <c r="O1004" s="1">
        <v>0</v>
      </c>
      <c r="P1004" s="1">
        <v>10.8</v>
      </c>
      <c r="Q1004" s="11">
        <f>'Table H'!$J$243</f>
        <v>0.88440289091309254</v>
      </c>
      <c r="R1004" s="11">
        <f t="shared" si="30"/>
        <v>90942.264869702398</v>
      </c>
      <c r="S1004" s="11" t="str">
        <f t="shared" si="31"/>
        <v>Kirkburton UD</v>
      </c>
      <c r="T1004" s="11" t="s">
        <v>5214</v>
      </c>
      <c r="V1004" s="11" t="str">
        <f>INDEX('Lookup 1961'!$A$2:$A$1300, MATCH(S1004, 'Lookup 1961'!$B$2:$B$1300,0))</f>
        <v>J04000704</v>
      </c>
      <c r="W1004" s="11" t="str">
        <f>INDEX('Lookup 1961'!$F$2:$F$1300, MATCH(S1004, 'Lookup 1961'!$B$2:$B$1300,0))</f>
        <v>e461243</v>
      </c>
      <c r="X1004" s="11" t="str">
        <f>INDEX('Lookup 1961'!$C$2:$C$1300, MATCH(V1004, 'Lookup 1961'!$A$2:$A$1300,0))</f>
        <v>West Yorkshire</v>
      </c>
    </row>
    <row r="1005" spans="1:24" ht="25.05" customHeight="1" x14ac:dyDescent="0.3">
      <c r="A1005" s="2" t="s">
        <v>936</v>
      </c>
      <c r="B1005" s="2" t="s">
        <v>936</v>
      </c>
      <c r="C1005" s="1">
        <v>23</v>
      </c>
      <c r="D1005" s="1">
        <v>8</v>
      </c>
      <c r="E1005" s="1">
        <v>17</v>
      </c>
      <c r="F1005" s="1">
        <v>0</v>
      </c>
      <c r="K1005" s="1">
        <v>345</v>
      </c>
      <c r="L1005" s="6">
        <v>88787</v>
      </c>
      <c r="M1005" s="1">
        <v>53.2</v>
      </c>
      <c r="N1005" s="1">
        <v>8</v>
      </c>
      <c r="O1005" s="1">
        <v>8</v>
      </c>
      <c r="P1005" s="1">
        <v>6</v>
      </c>
      <c r="Q1005" s="11">
        <f>'Table H'!$J$243</f>
        <v>0.88440289091309254</v>
      </c>
      <c r="R1005" s="11">
        <f t="shared" si="30"/>
        <v>78523.479475500746</v>
      </c>
      <c r="S1005" s="11" t="str">
        <f t="shared" si="31"/>
        <v>Knaresborough UD</v>
      </c>
      <c r="T1005" s="11" t="s">
        <v>5214</v>
      </c>
      <c r="V1005" s="11" t="str">
        <f>INDEX('Lookup 1961'!$A$2:$A$1300, MATCH(S1005, 'Lookup 1961'!$B$2:$B$1300,0))</f>
        <v>J04000710</v>
      </c>
      <c r="W1005" s="11" t="str">
        <f>INDEX('Lookup 1961'!$F$2:$F$1300, MATCH(S1005, 'Lookup 1961'!$B$2:$B$1300,0))</f>
        <v>e461244</v>
      </c>
      <c r="X1005" s="11" t="str">
        <f>INDEX('Lookup 1961'!$C$2:$C$1300, MATCH(V1005, 'Lookup 1961'!$A$2:$A$1300,0))</f>
        <v>North Yorkshire</v>
      </c>
    </row>
    <row r="1006" spans="1:24" ht="25.05" customHeight="1" x14ac:dyDescent="0.3">
      <c r="A1006" s="2" t="s">
        <v>937</v>
      </c>
      <c r="B1006" s="2" t="s">
        <v>937</v>
      </c>
      <c r="C1006" s="1">
        <v>26</v>
      </c>
      <c r="D1006" s="1">
        <v>6</v>
      </c>
      <c r="E1006" s="1">
        <v>18</v>
      </c>
      <c r="F1006" s="1">
        <v>6</v>
      </c>
      <c r="K1006" s="1">
        <v>311</v>
      </c>
      <c r="L1006" s="6">
        <v>82100</v>
      </c>
      <c r="M1006" s="1">
        <v>62.3</v>
      </c>
      <c r="N1006" s="1">
        <v>6</v>
      </c>
      <c r="O1006" s="1">
        <v>13</v>
      </c>
      <c r="P1006" s="1">
        <v>9.1999999999999993</v>
      </c>
      <c r="Q1006" s="11">
        <f>'Table H'!$J$243</f>
        <v>0.88440289091309254</v>
      </c>
      <c r="R1006" s="11">
        <f t="shared" si="30"/>
        <v>72609.4773439649</v>
      </c>
      <c r="S1006" s="11" t="str">
        <f t="shared" si="31"/>
        <v>Knottingley UD</v>
      </c>
      <c r="T1006" s="11" t="s">
        <v>5214</v>
      </c>
      <c r="V1006" s="11" t="str">
        <f>INDEX('Lookup 1961'!$A$2:$A$1300, MATCH(S1006, 'Lookup 1961'!$B$2:$B$1300,0))</f>
        <v>J04000713</v>
      </c>
      <c r="W1006" s="11" t="str">
        <f>INDEX('Lookup 1961'!$F$2:$F$1300, MATCH(S1006, 'Lookup 1961'!$B$2:$B$1300,0))</f>
        <v>e461245</v>
      </c>
      <c r="X1006" s="11" t="str">
        <f>INDEX('Lookup 1961'!$C$2:$C$1300, MATCH(V1006, 'Lookup 1961'!$A$2:$A$1300,0))</f>
        <v>West Yorkshire</v>
      </c>
    </row>
    <row r="1007" spans="1:24" ht="25.05" customHeight="1" x14ac:dyDescent="0.3">
      <c r="A1007" s="2" t="s">
        <v>938</v>
      </c>
      <c r="B1007" s="2" t="s">
        <v>938</v>
      </c>
      <c r="C1007" s="1">
        <v>26</v>
      </c>
      <c r="D1007" s="1">
        <v>8</v>
      </c>
      <c r="E1007" s="1">
        <v>19</v>
      </c>
      <c r="F1007" s="1">
        <v>6</v>
      </c>
      <c r="K1007" s="1">
        <v>366</v>
      </c>
      <c r="L1007" s="6">
        <v>98172</v>
      </c>
      <c r="M1007" s="1">
        <v>77.5</v>
      </c>
      <c r="N1007" s="1">
        <v>6</v>
      </c>
      <c r="O1007" s="1">
        <v>11</v>
      </c>
      <c r="P1007" s="1">
        <v>22.4</v>
      </c>
      <c r="Q1007" s="11">
        <f>'Table H'!$J$243</f>
        <v>0.88440289091309254</v>
      </c>
      <c r="R1007" s="11">
        <f t="shared" si="30"/>
        <v>86823.600606720123</v>
      </c>
      <c r="S1007" s="11" t="str">
        <f t="shared" si="31"/>
        <v>Maltby UD</v>
      </c>
      <c r="T1007" s="11" t="s">
        <v>5214</v>
      </c>
      <c r="V1007" s="11" t="str">
        <f>INDEX('Lookup 1961'!$A$2:$A$1300, MATCH(S1007, 'Lookup 1961'!$B$2:$B$1300,0))</f>
        <v>J04000817</v>
      </c>
      <c r="W1007" s="11" t="str">
        <f>INDEX('Lookup 1961'!$F$2:$F$1300, MATCH(S1007, 'Lookup 1961'!$B$2:$B$1300,0))</f>
        <v>e461246</v>
      </c>
      <c r="X1007" s="11" t="str">
        <f>INDEX('Lookup 1961'!$C$2:$C$1300, MATCH(V1007, 'Lookup 1961'!$A$2:$A$1300,0))</f>
        <v>South Yorkshire</v>
      </c>
    </row>
    <row r="1008" spans="1:24" ht="25.05" customHeight="1" x14ac:dyDescent="0.3">
      <c r="A1008" s="2" t="s">
        <v>939</v>
      </c>
      <c r="B1008" s="2" t="s">
        <v>939</v>
      </c>
      <c r="C1008" s="1">
        <v>22</v>
      </c>
      <c r="D1008" s="1">
        <v>9</v>
      </c>
      <c r="E1008" s="1">
        <v>16</v>
      </c>
      <c r="F1008" s="1">
        <v>0</v>
      </c>
      <c r="K1008" s="1">
        <v>197</v>
      </c>
      <c r="L1008" s="6">
        <v>50630</v>
      </c>
      <c r="M1008" s="1">
        <v>37.200000000000003</v>
      </c>
      <c r="N1008" s="1">
        <v>7</v>
      </c>
      <c r="O1008" s="1">
        <v>12</v>
      </c>
      <c r="P1008" s="1">
        <v>-4.4000000000000004</v>
      </c>
      <c r="Q1008" s="11">
        <f>'Table H'!$J$243</f>
        <v>0.88440289091309254</v>
      </c>
      <c r="R1008" s="11">
        <f t="shared" si="30"/>
        <v>44777.318366929874</v>
      </c>
      <c r="S1008" s="11" t="str">
        <f t="shared" si="31"/>
        <v>Meltham UD</v>
      </c>
      <c r="T1008" s="11" t="s">
        <v>5214</v>
      </c>
      <c r="V1008" s="11" t="str">
        <f>INDEX('Lookup 1961'!$A$2:$A$1300, MATCH(S1008, 'Lookup 1961'!$B$2:$B$1300,0))</f>
        <v>J04000843</v>
      </c>
      <c r="W1008" s="11" t="str">
        <f>INDEX('Lookup 1961'!$F$2:$F$1300, MATCH(S1008, 'Lookup 1961'!$B$2:$B$1300,0))</f>
        <v>e461247</v>
      </c>
      <c r="X1008" s="11" t="str">
        <f>INDEX('Lookup 1961'!$C$2:$C$1300, MATCH(V1008, 'Lookup 1961'!$A$2:$A$1300,0))</f>
        <v>West Yorkshire</v>
      </c>
    </row>
    <row r="1009" spans="1:24" ht="25.05" customHeight="1" x14ac:dyDescent="0.3">
      <c r="A1009" s="2" t="s">
        <v>940</v>
      </c>
      <c r="B1009" s="2" t="s">
        <v>940</v>
      </c>
      <c r="C1009" s="1">
        <v>29</v>
      </c>
      <c r="D1009" s="1">
        <v>0</v>
      </c>
      <c r="E1009" s="1">
        <v>19</v>
      </c>
      <c r="F1009" s="1">
        <v>9</v>
      </c>
      <c r="K1009" s="1">
        <v>450</v>
      </c>
      <c r="L1009" s="6">
        <v>127448</v>
      </c>
      <c r="M1009" s="1">
        <v>57.8</v>
      </c>
      <c r="N1009" s="1">
        <v>6</v>
      </c>
      <c r="O1009" s="1">
        <v>1</v>
      </c>
      <c r="P1009" s="1">
        <v>8</v>
      </c>
      <c r="Q1009" s="11">
        <f>'Table H'!$J$243</f>
        <v>0.88440289091309254</v>
      </c>
      <c r="R1009" s="11">
        <f t="shared" si="30"/>
        <v>112715.37964109181</v>
      </c>
      <c r="S1009" s="11" t="str">
        <f t="shared" si="31"/>
        <v>Mexborough UD</v>
      </c>
      <c r="T1009" s="11" t="s">
        <v>5214</v>
      </c>
      <c r="V1009" s="11" t="str">
        <f>INDEX('Lookup 1961'!$A$2:$A$1300, MATCH(S1009, 'Lookup 1961'!$B$2:$B$1300,0))</f>
        <v>J04000851</v>
      </c>
      <c r="W1009" s="11" t="str">
        <f>INDEX('Lookup 1961'!$F$2:$F$1300, MATCH(S1009, 'Lookup 1961'!$B$2:$B$1300,0))</f>
        <v>e461248</v>
      </c>
      <c r="X1009" s="11" t="str">
        <f>INDEX('Lookup 1961'!$C$2:$C$1300, MATCH(V1009, 'Lookup 1961'!$A$2:$A$1300,0))</f>
        <v>South Yorkshire</v>
      </c>
    </row>
    <row r="1010" spans="1:24" ht="25.05" customHeight="1" x14ac:dyDescent="0.3">
      <c r="A1010" s="2" t="s">
        <v>941</v>
      </c>
      <c r="B1010" s="2" t="s">
        <v>941</v>
      </c>
      <c r="C1010" s="1">
        <v>23</v>
      </c>
      <c r="D1010" s="1">
        <v>6</v>
      </c>
      <c r="E1010" s="1">
        <v>18</v>
      </c>
      <c r="F1010" s="1">
        <v>3</v>
      </c>
      <c r="K1010" s="1">
        <v>340</v>
      </c>
      <c r="L1010" s="6">
        <v>89612</v>
      </c>
      <c r="M1010" s="1">
        <v>53.8</v>
      </c>
      <c r="N1010" s="1">
        <v>6</v>
      </c>
      <c r="O1010" s="1">
        <v>10</v>
      </c>
      <c r="P1010" s="1">
        <v>19.5</v>
      </c>
      <c r="Q1010" s="11">
        <f>'Table H'!$J$243</f>
        <v>0.88440289091309254</v>
      </c>
      <c r="R1010" s="11">
        <f t="shared" si="30"/>
        <v>79253.111860504054</v>
      </c>
      <c r="S1010" s="11" t="str">
        <f t="shared" si="31"/>
        <v>Mirfield UD</v>
      </c>
      <c r="T1010" s="11" t="s">
        <v>5214</v>
      </c>
      <c r="V1010" s="11" t="str">
        <f>INDEX('Lookup 1961'!$A$2:$A$1300, MATCH(S1010, 'Lookup 1961'!$B$2:$B$1300,0))</f>
        <v>J04000861</v>
      </c>
      <c r="W1010" s="11" t="str">
        <f>INDEX('Lookup 1961'!$F$2:$F$1300, MATCH(S1010, 'Lookup 1961'!$B$2:$B$1300,0))</f>
        <v>e461249</v>
      </c>
      <c r="X1010" s="11" t="str">
        <f>INDEX('Lookup 1961'!$C$2:$C$1300, MATCH(V1010, 'Lookup 1961'!$A$2:$A$1300,0))</f>
        <v>West Yorkshire</v>
      </c>
    </row>
    <row r="1011" spans="1:24" ht="25.05" customHeight="1" x14ac:dyDescent="0.3">
      <c r="A1011" s="2" t="s">
        <v>942</v>
      </c>
      <c r="B1011" s="2" t="s">
        <v>942</v>
      </c>
      <c r="C1011" s="1">
        <v>23</v>
      </c>
      <c r="D1011" s="1">
        <v>6</v>
      </c>
      <c r="E1011" s="1">
        <v>18</v>
      </c>
      <c r="F1011" s="1">
        <v>6</v>
      </c>
      <c r="K1011" s="1">
        <v>420</v>
      </c>
      <c r="L1011" s="6">
        <v>109816</v>
      </c>
      <c r="M1011" s="1">
        <v>43.5</v>
      </c>
      <c r="N1011" s="1">
        <v>5</v>
      </c>
      <c r="O1011" s="1">
        <v>1</v>
      </c>
      <c r="P1011" s="1">
        <v>13.5</v>
      </c>
      <c r="Q1011" s="11">
        <f>'Table H'!$J$243</f>
        <v>0.88440289091309254</v>
      </c>
      <c r="R1011" s="11">
        <f t="shared" si="30"/>
        <v>97121.587868512172</v>
      </c>
      <c r="S1011" s="11" t="str">
        <f t="shared" si="31"/>
        <v>Normanton UD</v>
      </c>
      <c r="T1011" s="11" t="s">
        <v>5214</v>
      </c>
      <c r="V1011" s="11" t="str">
        <f>INDEX('Lookup 1961'!$A$2:$A$1300, MATCH(S1011, 'Lookup 1961'!$B$2:$B$1300,0))</f>
        <v>J04000922</v>
      </c>
      <c r="W1011" s="11" t="str">
        <f>INDEX('Lookup 1961'!$F$2:$F$1300, MATCH(S1011, 'Lookup 1961'!$B$2:$B$1300,0))</f>
        <v>e461251</v>
      </c>
      <c r="X1011" s="11" t="str">
        <f>INDEX('Lookup 1961'!$C$2:$C$1300, MATCH(V1011, 'Lookup 1961'!$A$2:$A$1300,0))</f>
        <v>West Yorkshire</v>
      </c>
    </row>
    <row r="1012" spans="1:24" ht="25.05" customHeight="1" x14ac:dyDescent="0.3">
      <c r="A1012" s="2" t="s">
        <v>943</v>
      </c>
      <c r="B1012" s="2" t="s">
        <v>943</v>
      </c>
      <c r="C1012" s="1">
        <v>23</v>
      </c>
      <c r="D1012" s="1">
        <v>6</v>
      </c>
      <c r="E1012" s="1">
        <v>17</v>
      </c>
      <c r="F1012" s="1">
        <v>8</v>
      </c>
      <c r="K1012" s="1">
        <v>435</v>
      </c>
      <c r="L1012" s="6">
        <v>116917</v>
      </c>
      <c r="M1012" s="1">
        <v>53.2</v>
      </c>
      <c r="N1012" s="1">
        <v>8</v>
      </c>
      <c r="O1012" s="1">
        <v>16</v>
      </c>
      <c r="P1012" s="1">
        <v>17.3</v>
      </c>
      <c r="Q1012" s="11">
        <f>'Table H'!$J$243</f>
        <v>0.88440289091309254</v>
      </c>
      <c r="R1012" s="11">
        <f t="shared" si="30"/>
        <v>103401.73279688603</v>
      </c>
      <c r="S1012" s="11" t="str">
        <f t="shared" si="31"/>
        <v>Otley UD</v>
      </c>
      <c r="T1012" s="11" t="s">
        <v>5214</v>
      </c>
      <c r="V1012" s="11" t="str">
        <f>INDEX('Lookup 1961'!$A$2:$A$1300, MATCH(S1012, 'Lookup 1961'!$B$2:$B$1300,0))</f>
        <v>J04000963</v>
      </c>
      <c r="W1012" s="11" t="str">
        <f>INDEX('Lookup 1961'!$F$2:$F$1300, MATCH(S1012, 'Lookup 1961'!$B$2:$B$1300,0))</f>
        <v>e461253</v>
      </c>
      <c r="X1012" s="11" t="str">
        <f>INDEX('Lookup 1961'!$C$2:$C$1300, MATCH(V1012, 'Lookup 1961'!$A$2:$A$1300,0))</f>
        <v>West Yorkshire</v>
      </c>
    </row>
    <row r="1013" spans="1:24" ht="25.05" customHeight="1" x14ac:dyDescent="0.3">
      <c r="A1013" s="2" t="s">
        <v>944</v>
      </c>
      <c r="B1013" s="2" t="s">
        <v>944</v>
      </c>
      <c r="C1013" s="1">
        <v>24</v>
      </c>
      <c r="D1013" s="1">
        <v>0</v>
      </c>
      <c r="E1013" s="1">
        <v>19</v>
      </c>
      <c r="F1013" s="1">
        <v>6</v>
      </c>
      <c r="K1013" s="1">
        <v>190</v>
      </c>
      <c r="L1013" s="6">
        <v>50907</v>
      </c>
      <c r="M1013" s="1">
        <v>48.5</v>
      </c>
      <c r="N1013" s="1">
        <v>7</v>
      </c>
      <c r="O1013" s="1">
        <v>3</v>
      </c>
      <c r="P1013" s="1">
        <v>16.2</v>
      </c>
      <c r="Q1013" s="11">
        <f>'Table H'!$J$243</f>
        <v>0.88440289091309254</v>
      </c>
      <c r="R1013" s="11">
        <f t="shared" si="30"/>
        <v>45022.297967712802</v>
      </c>
      <c r="S1013" s="11" t="str">
        <f t="shared" si="31"/>
        <v>Penistone UD</v>
      </c>
      <c r="T1013" s="11" t="s">
        <v>5214</v>
      </c>
      <c r="V1013" s="11" t="str">
        <f>INDEX('Lookup 1961'!$A$2:$A$1300, MATCH(S1013, 'Lookup 1961'!$B$2:$B$1300,0))</f>
        <v>J04000978</v>
      </c>
      <c r="W1013" s="11" t="str">
        <f>INDEX('Lookup 1961'!$F$2:$F$1300, MATCH(S1013, 'Lookup 1961'!$B$2:$B$1300,0))</f>
        <v>e461254</v>
      </c>
      <c r="X1013" s="11" t="str">
        <f>INDEX('Lookup 1961'!$C$2:$C$1300, MATCH(V1013, 'Lookup 1961'!$A$2:$A$1300,0))</f>
        <v>South Yorkshire</v>
      </c>
    </row>
    <row r="1014" spans="1:24" ht="25.05" customHeight="1" x14ac:dyDescent="0.3">
      <c r="A1014" s="2" t="s">
        <v>945</v>
      </c>
      <c r="B1014" s="2" t="s">
        <v>945</v>
      </c>
      <c r="C1014" s="1">
        <v>26</v>
      </c>
      <c r="D1014" s="1">
        <v>0</v>
      </c>
      <c r="E1014" s="1">
        <v>20</v>
      </c>
      <c r="F1014" s="1">
        <v>0</v>
      </c>
      <c r="K1014" s="1">
        <v>226</v>
      </c>
      <c r="L1014" s="6">
        <v>61803</v>
      </c>
      <c r="M1014" s="1">
        <v>49.9</v>
      </c>
      <c r="N1014" s="1">
        <v>6</v>
      </c>
      <c r="O1014" s="1">
        <v>7</v>
      </c>
      <c r="P1014" s="1">
        <v>9.5</v>
      </c>
      <c r="Q1014" s="11">
        <f>'Table H'!$J$243</f>
        <v>0.88440289091309254</v>
      </c>
      <c r="R1014" s="11">
        <f t="shared" si="30"/>
        <v>54658.751867101855</v>
      </c>
      <c r="S1014" s="11" t="str">
        <f t="shared" si="31"/>
        <v>Queensbury and Shelf UD</v>
      </c>
      <c r="T1014" s="11" t="s">
        <v>5214</v>
      </c>
      <c r="V1014" s="11" t="str">
        <f>INDEX('Lookup 1961'!$A$2:$A$1300, MATCH(S1014, 'Lookup 1961'!$B$2:$B$1300,0))</f>
        <v>J04001026</v>
      </c>
      <c r="W1014" s="11" t="str">
        <f>INDEX('Lookup 1961'!$F$2:$F$1300, MATCH(S1014, 'Lookup 1961'!$B$2:$B$1300,0))</f>
        <v>e461257</v>
      </c>
      <c r="X1014" s="11" t="str">
        <f>INDEX('Lookup 1961'!$C$2:$C$1300, MATCH(V1014, 'Lookup 1961'!$A$2:$A$1300,0))</f>
        <v>West Yorkshire</v>
      </c>
    </row>
    <row r="1015" spans="1:24" ht="25.05" customHeight="1" x14ac:dyDescent="0.3">
      <c r="A1015" s="2" t="s">
        <v>946</v>
      </c>
      <c r="B1015" s="2" t="s">
        <v>946</v>
      </c>
      <c r="C1015" s="1">
        <v>26</v>
      </c>
      <c r="D1015" s="1">
        <v>6</v>
      </c>
      <c r="E1015" s="1">
        <v>18</v>
      </c>
      <c r="F1015" s="1">
        <v>6</v>
      </c>
      <c r="K1015" s="1">
        <v>626</v>
      </c>
      <c r="L1015" s="6">
        <v>169739</v>
      </c>
      <c r="M1015" s="1">
        <v>90.1</v>
      </c>
      <c r="N1015" s="1">
        <v>7</v>
      </c>
      <c r="O1015" s="1">
        <v>12</v>
      </c>
      <c r="P1015" s="1">
        <v>32.4</v>
      </c>
      <c r="Q1015" s="11">
        <f>'Table H'!$J$243</f>
        <v>0.88440289091309254</v>
      </c>
      <c r="R1015" s="11">
        <f t="shared" si="30"/>
        <v>150117.66230069741</v>
      </c>
      <c r="S1015" s="11" t="str">
        <f t="shared" si="31"/>
        <v>Rawmarsh UD</v>
      </c>
      <c r="T1015" s="11" t="s">
        <v>5214</v>
      </c>
      <c r="V1015" s="11" t="str">
        <f>INDEX('Lookup 1961'!$A$2:$A$1300, MATCH(S1015, 'Lookup 1961'!$B$2:$B$1300,0))</f>
        <v>J04001033</v>
      </c>
      <c r="W1015" s="11" t="str">
        <f>INDEX('Lookup 1961'!$F$2:$F$1300, MATCH(S1015, 'Lookup 1961'!$B$2:$B$1300,0))</f>
        <v>e461258</v>
      </c>
      <c r="X1015" s="11" t="str">
        <f>INDEX('Lookup 1961'!$C$2:$C$1300, MATCH(V1015, 'Lookup 1961'!$A$2:$A$1300,0))</f>
        <v>South Yorkshire</v>
      </c>
    </row>
    <row r="1016" spans="1:24" ht="25.05" customHeight="1" x14ac:dyDescent="0.3">
      <c r="A1016" s="2" t="s">
        <v>947</v>
      </c>
      <c r="B1016" s="2" t="s">
        <v>947</v>
      </c>
      <c r="C1016" s="1">
        <v>23</v>
      </c>
      <c r="D1016" s="1">
        <v>0</v>
      </c>
      <c r="E1016" s="1">
        <v>16</v>
      </c>
      <c r="F1016" s="1">
        <v>6</v>
      </c>
      <c r="K1016" s="1">
        <v>205</v>
      </c>
      <c r="L1016" s="6">
        <v>53519</v>
      </c>
      <c r="M1016" s="1">
        <v>53.8</v>
      </c>
      <c r="N1016" s="1">
        <v>7</v>
      </c>
      <c r="O1016" s="1">
        <v>18</v>
      </c>
      <c r="P1016" s="1">
        <v>5.8</v>
      </c>
      <c r="Q1016" s="11">
        <f>'Table H'!$J$243</f>
        <v>0.88440289091309254</v>
      </c>
      <c r="R1016" s="11">
        <f t="shared" si="30"/>
        <v>47332.358318777799</v>
      </c>
      <c r="S1016" s="11" t="str">
        <f t="shared" si="31"/>
        <v>Ripponden UD</v>
      </c>
      <c r="T1016" s="11" t="s">
        <v>5214</v>
      </c>
      <c r="V1016" s="11" t="str">
        <f>INDEX('Lookup 1961'!$A$2:$A$1300, MATCH(S1016, 'Lookup 1961'!$B$2:$B$1300,0))</f>
        <v>J04001054</v>
      </c>
      <c r="W1016" s="11" t="str">
        <f>INDEX('Lookup 1961'!$F$2:$F$1300, MATCH(S1016, 'Lookup 1961'!$B$2:$B$1300,0))</f>
        <v>e461260</v>
      </c>
      <c r="X1016" s="11" t="str">
        <f>INDEX('Lookup 1961'!$C$2:$C$1300, MATCH(V1016, 'Lookup 1961'!$A$2:$A$1300,0))</f>
        <v>West Yorkshire</v>
      </c>
    </row>
    <row r="1017" spans="1:24" ht="25.05" customHeight="1" x14ac:dyDescent="0.3">
      <c r="A1017" s="2" t="s">
        <v>637</v>
      </c>
      <c r="B1017" s="2" t="s">
        <v>637</v>
      </c>
      <c r="C1017" s="1">
        <v>26</v>
      </c>
      <c r="D1017" s="1">
        <v>6</v>
      </c>
      <c r="E1017" s="1">
        <v>19</v>
      </c>
      <c r="F1017" s="1">
        <v>0</v>
      </c>
      <c r="K1017" s="1">
        <v>710</v>
      </c>
      <c r="L1017" s="6">
        <v>180226</v>
      </c>
      <c r="M1017" s="1">
        <v>48.5</v>
      </c>
      <c r="N1017" s="1">
        <v>6</v>
      </c>
      <c r="O1017" s="1">
        <v>9</v>
      </c>
      <c r="P1017" s="1">
        <v>5.7</v>
      </c>
      <c r="Q1017" s="11">
        <f>'Table H'!$J$243</f>
        <v>0.88440289091309254</v>
      </c>
      <c r="R1017" s="11">
        <f t="shared" si="30"/>
        <v>159392.39541770302</v>
      </c>
      <c r="S1017" s="11" t="str">
        <f t="shared" si="31"/>
        <v>Rothwell UD</v>
      </c>
      <c r="T1017" s="11" t="s">
        <v>5214</v>
      </c>
      <c r="V1017" s="11" t="s">
        <v>5105</v>
      </c>
      <c r="W1017" s="11" t="s">
        <v>5106</v>
      </c>
      <c r="X1017" s="11" t="str">
        <f>INDEX('Lookup 1961'!$C$2:$C$1300, MATCH(V1017, 'Lookup 1961'!$A$2:$A$1300,0))</f>
        <v>West Yorkshire</v>
      </c>
    </row>
    <row r="1018" spans="1:24" ht="25.05" customHeight="1" x14ac:dyDescent="0.3">
      <c r="A1018" s="2" t="s">
        <v>398</v>
      </c>
      <c r="B1018" s="2" t="s">
        <v>398</v>
      </c>
      <c r="C1018" s="1">
        <v>27</v>
      </c>
      <c r="D1018" s="1">
        <v>0</v>
      </c>
      <c r="E1018" s="1">
        <v>18</v>
      </c>
      <c r="F1018" s="1">
        <v>9</v>
      </c>
      <c r="K1018" s="1">
        <v>198</v>
      </c>
      <c r="L1018" s="6">
        <v>53325</v>
      </c>
      <c r="M1018" s="1">
        <v>71.7</v>
      </c>
      <c r="N1018" s="1">
        <v>5</v>
      </c>
      <c r="O1018" s="1">
        <v>12</v>
      </c>
      <c r="P1018" s="1">
        <v>13.2</v>
      </c>
      <c r="Q1018" s="11">
        <f>'Table H'!$J$243</f>
        <v>0.88440289091309254</v>
      </c>
      <c r="R1018" s="11">
        <f t="shared" si="30"/>
        <v>47160.784157940659</v>
      </c>
      <c r="S1018" s="11" t="str">
        <f t="shared" si="31"/>
        <v>Royston UD</v>
      </c>
      <c r="T1018" s="11" t="s">
        <v>5214</v>
      </c>
      <c r="V1018" s="11" t="s">
        <v>4469</v>
      </c>
      <c r="W1018" s="11" t="s">
        <v>4470</v>
      </c>
      <c r="X1018" s="11" t="str">
        <f>INDEX('Lookup 1961'!$C$2:$C$1300, MATCH(V1018, 'Lookup 1961'!$A$2:$A$1300,0))</f>
        <v>South Yorkshire</v>
      </c>
    </row>
    <row r="1019" spans="1:24" ht="25.05" customHeight="1" x14ac:dyDescent="0.3">
      <c r="A1019" s="2" t="s">
        <v>948</v>
      </c>
      <c r="B1019" s="2" t="s">
        <v>948</v>
      </c>
      <c r="C1019" s="1">
        <v>22</v>
      </c>
      <c r="D1019" s="1">
        <v>6</v>
      </c>
      <c r="E1019" s="1">
        <v>17</v>
      </c>
      <c r="F1019" s="1">
        <v>6</v>
      </c>
      <c r="K1019" s="1">
        <v>519</v>
      </c>
      <c r="L1019" s="6">
        <v>132386</v>
      </c>
      <c r="M1019" s="1">
        <v>19.3</v>
      </c>
      <c r="N1019" s="1">
        <v>6</v>
      </c>
      <c r="O1019" s="1">
        <v>15</v>
      </c>
      <c r="P1019" s="1">
        <v>-6.4</v>
      </c>
      <c r="Q1019" s="11">
        <f>'Table H'!$J$243</f>
        <v>0.88440289091309254</v>
      </c>
      <c r="R1019" s="11">
        <f t="shared" si="30"/>
        <v>117082.56111642066</v>
      </c>
      <c r="S1019" s="11" t="str">
        <f t="shared" si="31"/>
        <v>Saddleworth UD</v>
      </c>
      <c r="T1019" s="11" t="s">
        <v>5214</v>
      </c>
      <c r="V1019" s="11" t="str">
        <f>INDEX('Lookup 1961'!$A$2:$A$1300, MATCH(S1019, 'Lookup 1961'!$B$2:$B$1300,0))</f>
        <v>J04001089</v>
      </c>
      <c r="W1019" s="11" t="str">
        <f>INDEX('Lookup 1961'!$F$2:$F$1300, MATCH(S1019, 'Lookup 1961'!$B$2:$B$1300,0))</f>
        <v>e461263</v>
      </c>
      <c r="X1019" s="11" t="str">
        <f>INDEX('Lookup 1961'!$C$2:$C$1300, MATCH(V1019, 'Lookup 1961'!$A$2:$A$1300,0))</f>
        <v>Greater Manchester</v>
      </c>
    </row>
    <row r="1020" spans="1:24" ht="25.05" customHeight="1" x14ac:dyDescent="0.3">
      <c r="A1020" s="2" t="s">
        <v>949</v>
      </c>
      <c r="B1020" s="2" t="s">
        <v>949</v>
      </c>
      <c r="C1020" s="1">
        <v>24</v>
      </c>
      <c r="D1020" s="1">
        <v>10</v>
      </c>
      <c r="E1020" s="1">
        <v>17</v>
      </c>
      <c r="F1020" s="1">
        <v>6</v>
      </c>
      <c r="K1020" s="1">
        <v>400</v>
      </c>
      <c r="L1020" s="6">
        <v>105367</v>
      </c>
      <c r="M1020" s="1">
        <v>68.3</v>
      </c>
      <c r="N1020" s="1">
        <v>8</v>
      </c>
      <c r="O1020" s="1">
        <v>9</v>
      </c>
      <c r="P1020" s="1">
        <v>19.8</v>
      </c>
      <c r="Q1020" s="11">
        <f>'Table H'!$J$243</f>
        <v>0.88440289091309254</v>
      </c>
      <c r="R1020" s="11">
        <f t="shared" si="30"/>
        <v>93186.879406839827</v>
      </c>
      <c r="S1020" s="11" t="str">
        <f t="shared" si="31"/>
        <v>Selby UD</v>
      </c>
      <c r="T1020" s="11" t="s">
        <v>5214</v>
      </c>
      <c r="V1020" s="11" t="str">
        <f>INDEX('Lookup 1961'!$A$2:$A$1300, MATCH(S1020, 'Lookup 1961'!$B$2:$B$1300,0))</f>
        <v>J04001119</v>
      </c>
      <c r="W1020" s="11" t="str">
        <f>INDEX('Lookup 1961'!$F$2:$F$1300, MATCH(S1020, 'Lookup 1961'!$B$2:$B$1300,0))</f>
        <v>e461264</v>
      </c>
      <c r="X1020" s="11" t="str">
        <f>INDEX('Lookup 1961'!$C$2:$C$1300, MATCH(V1020, 'Lookup 1961'!$A$2:$A$1300,0))</f>
        <v>North Yorkshire</v>
      </c>
    </row>
    <row r="1021" spans="1:24" ht="25.05" customHeight="1" x14ac:dyDescent="0.3">
      <c r="A1021" s="2" t="s">
        <v>950</v>
      </c>
      <c r="B1021" s="2" t="s">
        <v>950</v>
      </c>
      <c r="C1021" s="1">
        <v>25</v>
      </c>
      <c r="D1021" s="1">
        <v>0</v>
      </c>
      <c r="E1021" s="1">
        <v>20</v>
      </c>
      <c r="F1021" s="1">
        <v>0</v>
      </c>
      <c r="K1021" s="6">
        <v>1150</v>
      </c>
      <c r="L1021" s="6">
        <v>291814</v>
      </c>
      <c r="M1021" s="1">
        <v>35.4</v>
      </c>
      <c r="N1021" s="1">
        <v>8</v>
      </c>
      <c r="O1021" s="1">
        <v>15</v>
      </c>
      <c r="P1021" s="1">
        <v>9.4</v>
      </c>
      <c r="Q1021" s="11">
        <f>'Table H'!$J$243</f>
        <v>0.88440289091309254</v>
      </c>
      <c r="R1021" s="11">
        <f t="shared" si="30"/>
        <v>258081.14520891319</v>
      </c>
      <c r="S1021" s="11" t="str">
        <f t="shared" si="31"/>
        <v>Shipley UD</v>
      </c>
      <c r="T1021" s="11" t="s">
        <v>5214</v>
      </c>
      <c r="V1021" s="11" t="str">
        <f>INDEX('Lookup 1961'!$A$2:$A$1300, MATCH(S1021, 'Lookup 1961'!$B$2:$B$1300,0))</f>
        <v>J04001136</v>
      </c>
      <c r="W1021" s="11" t="str">
        <f>INDEX('Lookup 1961'!$F$2:$F$1300, MATCH(S1021, 'Lookup 1961'!$B$2:$B$1300,0))</f>
        <v>e461265</v>
      </c>
      <c r="X1021" s="11" t="str">
        <f>INDEX('Lookup 1961'!$C$2:$C$1300, MATCH(V1021, 'Lookup 1961'!$A$2:$A$1300,0))</f>
        <v>West Yorkshire</v>
      </c>
    </row>
    <row r="1022" spans="1:24" ht="25.05" customHeight="1" x14ac:dyDescent="0.3">
      <c r="A1022" s="2" t="s">
        <v>951</v>
      </c>
      <c r="B1022" s="2" t="s">
        <v>951</v>
      </c>
      <c r="C1022" s="1">
        <v>24</v>
      </c>
      <c r="D1022" s="1">
        <v>0</v>
      </c>
      <c r="E1022" s="1">
        <v>17</v>
      </c>
      <c r="F1022" s="1">
        <v>3</v>
      </c>
      <c r="K1022" s="1">
        <v>190</v>
      </c>
      <c r="L1022" s="6">
        <v>48376</v>
      </c>
      <c r="M1022" s="1">
        <v>58.1</v>
      </c>
      <c r="N1022" s="1">
        <v>7</v>
      </c>
      <c r="O1022" s="1">
        <v>10</v>
      </c>
      <c r="P1022" s="1">
        <v>14.3</v>
      </c>
      <c r="Q1022" s="11">
        <f>'Table H'!$J$243</f>
        <v>0.88440289091309254</v>
      </c>
      <c r="R1022" s="11">
        <f t="shared" si="30"/>
        <v>42783.874250811765</v>
      </c>
      <c r="S1022" s="11" t="str">
        <f t="shared" si="31"/>
        <v>Silsden UD</v>
      </c>
      <c r="T1022" s="11" t="s">
        <v>5214</v>
      </c>
      <c r="V1022" s="11" t="str">
        <f>INDEX('Lookup 1961'!$A$2:$A$1300, MATCH(S1022, 'Lookup 1961'!$B$2:$B$1300,0))</f>
        <v>J04001142</v>
      </c>
      <c r="W1022" s="11" t="str">
        <f>INDEX('Lookup 1961'!$F$2:$F$1300, MATCH(S1022, 'Lookup 1961'!$B$2:$B$1300,0))</f>
        <v>e461266</v>
      </c>
      <c r="X1022" s="11" t="str">
        <f>INDEX('Lookup 1961'!$C$2:$C$1300, MATCH(V1022, 'Lookup 1961'!$A$2:$A$1300,0))</f>
        <v>West Yorkshire</v>
      </c>
    </row>
    <row r="1023" spans="1:24" ht="25.05" customHeight="1" x14ac:dyDescent="0.3">
      <c r="A1023" s="2" t="s">
        <v>952</v>
      </c>
      <c r="B1023" s="2" t="s">
        <v>952</v>
      </c>
      <c r="C1023" s="1">
        <v>23</v>
      </c>
      <c r="D1023" s="1">
        <v>6</v>
      </c>
      <c r="E1023" s="1">
        <v>17</v>
      </c>
      <c r="F1023" s="1">
        <v>0</v>
      </c>
      <c r="K1023" s="1">
        <v>556</v>
      </c>
      <c r="L1023" s="6">
        <v>152385</v>
      </c>
      <c r="M1023" s="1">
        <v>61.6</v>
      </c>
      <c r="N1023" s="1">
        <v>9</v>
      </c>
      <c r="O1023" s="1">
        <v>0</v>
      </c>
      <c r="P1023" s="1">
        <v>11.8</v>
      </c>
      <c r="Q1023" s="11">
        <f>'Table H'!$J$243</f>
        <v>0.88440289091309254</v>
      </c>
      <c r="R1023" s="11">
        <f t="shared" si="30"/>
        <v>134769.73453179162</v>
      </c>
      <c r="S1023" s="11" t="str">
        <f t="shared" si="31"/>
        <v>Skipton UD</v>
      </c>
      <c r="T1023" s="11" t="s">
        <v>5214</v>
      </c>
      <c r="V1023" s="11" t="str">
        <f>INDEX('Lookup 1961'!$A$2:$A$1300, MATCH(S1023, 'Lookup 1961'!$B$2:$B$1300,0))</f>
        <v>J04001148</v>
      </c>
      <c r="W1023" s="11" t="str">
        <f>INDEX('Lookup 1961'!$F$2:$F$1300, MATCH(S1023, 'Lookup 1961'!$B$2:$B$1300,0))</f>
        <v>e461267</v>
      </c>
      <c r="X1023" s="11" t="str">
        <f>INDEX('Lookup 1961'!$C$2:$C$1300, MATCH(V1023, 'Lookup 1961'!$A$2:$A$1300,0))</f>
        <v>North Yorkshire</v>
      </c>
    </row>
    <row r="1024" spans="1:24" ht="25.05" customHeight="1" x14ac:dyDescent="0.3">
      <c r="A1024" s="2" t="s">
        <v>953</v>
      </c>
      <c r="B1024" s="2" t="s">
        <v>953</v>
      </c>
      <c r="C1024" s="1">
        <v>27</v>
      </c>
      <c r="D1024" s="1">
        <v>0</v>
      </c>
      <c r="E1024" s="1">
        <v>21</v>
      </c>
      <c r="F1024" s="1">
        <v>0</v>
      </c>
      <c r="K1024" s="1">
        <v>490</v>
      </c>
      <c r="L1024" s="6">
        <v>133215</v>
      </c>
      <c r="M1024" s="1">
        <v>45.5</v>
      </c>
      <c r="N1024" s="1">
        <v>7</v>
      </c>
      <c r="O1024" s="1">
        <v>1</v>
      </c>
      <c r="P1024" s="1">
        <v>12.5</v>
      </c>
      <c r="Q1024" s="11">
        <f>'Table H'!$J$243</f>
        <v>0.88440289091309254</v>
      </c>
      <c r="R1024" s="11">
        <f t="shared" si="30"/>
        <v>117815.73111298762</v>
      </c>
      <c r="S1024" s="11" t="str">
        <f t="shared" si="31"/>
        <v>Sowerby Bridge UD</v>
      </c>
      <c r="T1024" s="11" t="s">
        <v>5214</v>
      </c>
      <c r="V1024" s="11" t="str">
        <f>INDEX('Lookup 1961'!$A$2:$A$1300, MATCH(S1024, 'Lookup 1961'!$B$2:$B$1300,0))</f>
        <v>J04001173</v>
      </c>
      <c r="W1024" s="11" t="str">
        <f>INDEX('Lookup 1961'!$F$2:$F$1300, MATCH(S1024, 'Lookup 1961'!$B$2:$B$1300,0))</f>
        <v>e461268</v>
      </c>
      <c r="X1024" s="11" t="str">
        <f>INDEX('Lookup 1961'!$C$2:$C$1300, MATCH(V1024, 'Lookup 1961'!$A$2:$A$1300,0))</f>
        <v>West Yorkshire</v>
      </c>
    </row>
    <row r="1025" spans="1:24" ht="25.05" customHeight="1" x14ac:dyDescent="0.3">
      <c r="A1025" s="2" t="s">
        <v>326</v>
      </c>
      <c r="B1025" s="2" t="s">
        <v>326</v>
      </c>
      <c r="C1025" s="1">
        <v>24</v>
      </c>
      <c r="D1025" s="1">
        <v>6</v>
      </c>
      <c r="E1025" s="1">
        <v>18</v>
      </c>
      <c r="F1025" s="1">
        <v>3</v>
      </c>
      <c r="K1025" s="1">
        <v>392</v>
      </c>
      <c r="L1025" s="6">
        <v>102793</v>
      </c>
      <c r="M1025" s="1">
        <v>46</v>
      </c>
      <c r="N1025" s="1">
        <v>5</v>
      </c>
      <c r="O1025" s="1">
        <v>4</v>
      </c>
      <c r="P1025" s="1">
        <v>6.4</v>
      </c>
      <c r="Q1025" s="11">
        <f>'Table H'!$J$243</f>
        <v>0.88440289091309254</v>
      </c>
      <c r="R1025" s="11">
        <f t="shared" si="30"/>
        <v>90910.426365629522</v>
      </c>
      <c r="S1025" s="11" t="str">
        <f t="shared" si="31"/>
        <v>Stanley UD</v>
      </c>
      <c r="T1025" s="11" t="s">
        <v>5214</v>
      </c>
      <c r="V1025" s="11" t="s">
        <v>5119</v>
      </c>
      <c r="W1025" s="11" t="s">
        <v>5120</v>
      </c>
      <c r="X1025" s="11" t="str">
        <f>INDEX('Lookup 1961'!$C$2:$C$1300, MATCH(V1025, 'Lookup 1961'!$A$2:$A$1300,0))</f>
        <v>West Yorkshire</v>
      </c>
    </row>
    <row r="1026" spans="1:24" ht="25.05" customHeight="1" x14ac:dyDescent="0.3">
      <c r="A1026" s="2" t="s">
        <v>954</v>
      </c>
      <c r="B1026" s="2" t="s">
        <v>954</v>
      </c>
      <c r="C1026" s="1">
        <v>22</v>
      </c>
      <c r="D1026" s="1">
        <v>9</v>
      </c>
      <c r="E1026" s="1">
        <v>15</v>
      </c>
      <c r="F1026" s="1">
        <v>8</v>
      </c>
      <c r="K1026" s="1">
        <v>434</v>
      </c>
      <c r="L1026" s="6">
        <v>110811</v>
      </c>
      <c r="M1026" s="1">
        <v>84.8</v>
      </c>
      <c r="N1026" s="1">
        <v>8</v>
      </c>
      <c r="O1026" s="1">
        <v>0</v>
      </c>
      <c r="P1026" s="1">
        <v>21.8</v>
      </c>
      <c r="Q1026" s="11">
        <f>'Table H'!$J$243</f>
        <v>0.88440289091309254</v>
      </c>
      <c r="R1026" s="11">
        <f t="shared" si="30"/>
        <v>98001.568744970704</v>
      </c>
      <c r="S1026" s="11" t="str">
        <f t="shared" si="31"/>
        <v>Stocksbridge UD</v>
      </c>
      <c r="T1026" s="11" t="s">
        <v>5214</v>
      </c>
      <c r="V1026" s="11" t="str">
        <f>INDEX('Lookup 1961'!$A$2:$A$1300, MATCH(S1026, 'Lookup 1961'!$B$2:$B$1300,0))</f>
        <v>J04001209</v>
      </c>
      <c r="W1026" s="11" t="str">
        <f>INDEX('Lookup 1961'!$F$2:$F$1300, MATCH(S1026, 'Lookup 1961'!$B$2:$B$1300,0))</f>
        <v>e461271</v>
      </c>
      <c r="X1026" s="11" t="str">
        <f>INDEX('Lookup 1961'!$C$2:$C$1300, MATCH(V1026, 'Lookup 1961'!$A$2:$A$1300,0))</f>
        <v>South Yorkshire</v>
      </c>
    </row>
    <row r="1027" spans="1:24" ht="25.05" customHeight="1" x14ac:dyDescent="0.3">
      <c r="A1027" s="2" t="s">
        <v>955</v>
      </c>
      <c r="B1027" s="2" t="s">
        <v>955</v>
      </c>
      <c r="C1027" s="1">
        <v>25</v>
      </c>
      <c r="D1027" s="1">
        <v>6</v>
      </c>
      <c r="E1027" s="1">
        <v>16</v>
      </c>
      <c r="F1027" s="1">
        <v>0</v>
      </c>
      <c r="K1027" s="1">
        <v>353</v>
      </c>
      <c r="L1027" s="6">
        <v>97527</v>
      </c>
      <c r="M1027" s="1">
        <v>105</v>
      </c>
      <c r="N1027" s="1">
        <v>5</v>
      </c>
      <c r="O1027" s="1">
        <v>10</v>
      </c>
      <c r="P1027" s="1">
        <v>23.2</v>
      </c>
      <c r="Q1027" s="11">
        <f>'Table H'!$J$243</f>
        <v>0.88440289091309254</v>
      </c>
      <c r="R1027" s="11">
        <f t="shared" si="30"/>
        <v>86253.160742081178</v>
      </c>
      <c r="S1027" s="11" t="str">
        <f t="shared" si="31"/>
        <v>Swinton UD</v>
      </c>
      <c r="T1027" s="11" t="s">
        <v>5214</v>
      </c>
      <c r="V1027" s="11" t="str">
        <f>INDEX('Lookup 1961'!$A$2:$A$1300, MATCH(S1027, 'Lookup 1961'!$B$2:$B$1300,0))</f>
        <v>J04001246</v>
      </c>
      <c r="W1027" s="11" t="str">
        <f>INDEX('Lookup 1961'!$F$2:$F$1300, MATCH(S1027, 'Lookup 1961'!$B$2:$B$1300,0))</f>
        <v>e461272</v>
      </c>
      <c r="X1027" s="11" t="str">
        <f>INDEX('Lookup 1961'!$C$2:$C$1300, MATCH(V1027, 'Lookup 1961'!$A$2:$A$1300,0))</f>
        <v>South Yorkshire</v>
      </c>
    </row>
    <row r="1028" spans="1:24" ht="25.05" customHeight="1" x14ac:dyDescent="0.3">
      <c r="A1028" s="2" t="s">
        <v>956</v>
      </c>
      <c r="B1028" s="2" t="s">
        <v>956</v>
      </c>
      <c r="C1028" s="1">
        <v>23</v>
      </c>
      <c r="D1028" s="1">
        <v>0</v>
      </c>
      <c r="E1028" s="1">
        <v>18</v>
      </c>
      <c r="F1028" s="1">
        <v>0</v>
      </c>
      <c r="K1028" s="1">
        <v>89</v>
      </c>
      <c r="L1028" s="6">
        <v>21445</v>
      </c>
      <c r="M1028" s="1">
        <v>42.4</v>
      </c>
      <c r="N1028" s="1">
        <v>7</v>
      </c>
      <c r="O1028" s="1">
        <v>0</v>
      </c>
      <c r="P1028" s="1">
        <v>9.3000000000000007</v>
      </c>
      <c r="Q1028" s="11">
        <f>'Table H'!$J$243</f>
        <v>0.88440289091309254</v>
      </c>
      <c r="R1028" s="11">
        <f t="shared" ref="R1028:R1091" si="32">Q1028*L1028</f>
        <v>18966.019995631268</v>
      </c>
      <c r="S1028" s="11" t="str">
        <f t="shared" si="31"/>
        <v>Tickhill UD</v>
      </c>
      <c r="T1028" s="11" t="s">
        <v>5214</v>
      </c>
      <c r="V1028" s="11" t="str">
        <f>INDEX('Lookup 1961'!$A$2:$A$1300, MATCH(S1028, 'Lookup 1961'!$B$2:$B$1300,0))</f>
        <v>J04001276</v>
      </c>
      <c r="W1028" s="11" t="str">
        <f>INDEX('Lookup 1961'!$F$2:$F$1300, MATCH(S1028, 'Lookup 1961'!$B$2:$B$1300,0))</f>
        <v>e461273</v>
      </c>
      <c r="X1028" s="11" t="str">
        <f>INDEX('Lookup 1961'!$C$2:$C$1300, MATCH(V1028, 'Lookup 1961'!$A$2:$A$1300,0))</f>
        <v>South Yorkshire</v>
      </c>
    </row>
    <row r="1029" spans="1:24" ht="25.05" customHeight="1" x14ac:dyDescent="0.3">
      <c r="A1029" s="2" t="s">
        <v>957</v>
      </c>
      <c r="B1029" s="2" t="s">
        <v>5286</v>
      </c>
      <c r="C1029" s="1">
        <v>27</v>
      </c>
      <c r="D1029" s="1">
        <v>6</v>
      </c>
      <c r="E1029" s="1">
        <v>17</v>
      </c>
      <c r="F1029" s="1">
        <v>0</v>
      </c>
      <c r="K1029" s="1">
        <v>477</v>
      </c>
      <c r="L1029" s="6">
        <v>126858</v>
      </c>
      <c r="M1029" s="1">
        <v>104.5</v>
      </c>
      <c r="N1029" s="1">
        <v>7</v>
      </c>
      <c r="O1029" s="1">
        <v>0</v>
      </c>
      <c r="P1029" s="1">
        <v>21.1</v>
      </c>
      <c r="Q1029" s="11">
        <f>'Table H'!$J$243</f>
        <v>0.88440289091309254</v>
      </c>
      <c r="R1029" s="11">
        <f t="shared" si="32"/>
        <v>112193.5819354531</v>
      </c>
      <c r="S1029" s="11" t="str">
        <f t="shared" ref="S1029:S1031" si="33">_xlfn.CONCAT(B1029," ",T1029)</f>
        <v>Wath upon Dearne UD</v>
      </c>
      <c r="T1029" s="11" t="s">
        <v>5214</v>
      </c>
      <c r="V1029" s="11" t="str">
        <f>INDEX('Lookup 1961'!$A$2:$A$1300, MATCH(S1029, 'Lookup 1961'!$B$2:$B$1300,0))</f>
        <v>J04001356</v>
      </c>
      <c r="W1029" s="11" t="str">
        <f>INDEX('Lookup 1961'!$F$2:$F$1300, MATCH(S1029, 'Lookup 1961'!$B$2:$B$1300,0))</f>
        <v>e461275</v>
      </c>
      <c r="X1029" s="11" t="str">
        <f>INDEX('Lookup 1961'!$C$2:$C$1300, MATCH(V1029, 'Lookup 1961'!$A$2:$A$1300,0))</f>
        <v>South Yorkshire</v>
      </c>
    </row>
    <row r="1030" spans="1:24" ht="25.05" customHeight="1" x14ac:dyDescent="0.3">
      <c r="A1030" s="2" t="s">
        <v>958</v>
      </c>
      <c r="B1030" s="2" t="s">
        <v>958</v>
      </c>
      <c r="C1030" s="1">
        <v>26</v>
      </c>
      <c r="D1030" s="1">
        <v>0</v>
      </c>
      <c r="E1030" s="1">
        <v>19</v>
      </c>
      <c r="F1030" s="1">
        <v>6</v>
      </c>
      <c r="K1030" s="1">
        <v>480</v>
      </c>
      <c r="L1030" s="6">
        <v>130304</v>
      </c>
      <c r="M1030" s="1">
        <v>73.2</v>
      </c>
      <c r="N1030" s="1">
        <v>6</v>
      </c>
      <c r="O1030" s="1">
        <v>3</v>
      </c>
      <c r="P1030" s="1">
        <v>25.3</v>
      </c>
      <c r="Q1030" s="11">
        <f>'Table H'!$J$243</f>
        <v>0.88440289091309254</v>
      </c>
      <c r="R1030" s="11">
        <f t="shared" si="32"/>
        <v>115241.23429753962</v>
      </c>
      <c r="S1030" s="11" t="str">
        <f t="shared" si="33"/>
        <v>Wombwell UD</v>
      </c>
      <c r="T1030" s="11" t="s">
        <v>5214</v>
      </c>
      <c r="V1030" s="11" t="str">
        <f>INDEX('Lookup 1961'!$A$2:$A$1300, MATCH(S1030, 'Lookup 1961'!$B$2:$B$1300,0))</f>
        <v>J04001444</v>
      </c>
      <c r="W1030" s="11" t="str">
        <f>INDEX('Lookup 1961'!$F$2:$F$1300, MATCH(S1030, 'Lookup 1961'!$B$2:$B$1300,0))</f>
        <v>e461276</v>
      </c>
      <c r="X1030" s="11" t="str">
        <f>INDEX('Lookup 1961'!$C$2:$C$1300, MATCH(V1030, 'Lookup 1961'!$A$2:$A$1300,0))</f>
        <v>South Yorkshire</v>
      </c>
    </row>
    <row r="1031" spans="1:24" ht="25.05" customHeight="1" x14ac:dyDescent="0.3">
      <c r="A1031" s="2" t="s">
        <v>959</v>
      </c>
      <c r="B1031" s="2" t="s">
        <v>959</v>
      </c>
      <c r="C1031" s="1">
        <v>25</v>
      </c>
      <c r="D1031" s="1">
        <v>0</v>
      </c>
      <c r="E1031" s="1">
        <v>16</v>
      </c>
      <c r="F1031" s="1">
        <v>8</v>
      </c>
      <c r="K1031" s="1">
        <v>363</v>
      </c>
      <c r="L1031" s="6">
        <v>90924</v>
      </c>
      <c r="M1031" s="1">
        <v>67.3</v>
      </c>
      <c r="N1031" s="1">
        <v>4</v>
      </c>
      <c r="O1031" s="1">
        <v>19</v>
      </c>
      <c r="P1031" s="1">
        <v>12</v>
      </c>
      <c r="Q1031" s="11">
        <f>'Table H'!$J$243</f>
        <v>0.88440289091309254</v>
      </c>
      <c r="R1031" s="11">
        <f t="shared" si="32"/>
        <v>80413.448453382021</v>
      </c>
      <c r="S1031" s="11" t="str">
        <f t="shared" si="33"/>
        <v>Worsbrough UD</v>
      </c>
      <c r="T1031" s="11" t="s">
        <v>5214</v>
      </c>
      <c r="V1031" s="11" t="str">
        <f>INDEX('Lookup 1961'!$A$2:$A$1300, MATCH(S1031, 'Lookup 1961'!$B$2:$B$1300,0))</f>
        <v>J04001454</v>
      </c>
      <c r="W1031" s="11" t="str">
        <f>INDEX('Lookup 1961'!$F$2:$F$1300, MATCH(S1031, 'Lookup 1961'!$B$2:$B$1300,0))</f>
        <v>e461277</v>
      </c>
      <c r="X1031" s="11" t="str">
        <f>INDEX('Lookup 1961'!$C$2:$C$1300, MATCH(V1031, 'Lookup 1961'!$A$2:$A$1300,0))</f>
        <v>South Yorkshire</v>
      </c>
    </row>
    <row r="1032" spans="1:24" ht="25.05" customHeight="1" x14ac:dyDescent="0.3">
      <c r="A1032" s="9"/>
      <c r="B1032" s="9" t="s">
        <v>145</v>
      </c>
      <c r="X1032" s="11" t="e">
        <f>INDEX('Lookup 1961'!$C$2:$C$1300, MATCH(V1032, 'Lookup 1961'!$A$2:$A$1300,0))</f>
        <v>#N/A</v>
      </c>
    </row>
    <row r="1033" spans="1:24" ht="25.05" customHeight="1" x14ac:dyDescent="0.3">
      <c r="A1033" s="9" t="s">
        <v>149</v>
      </c>
      <c r="B1033" s="9" t="s">
        <v>149</v>
      </c>
      <c r="C1033" s="1">
        <v>25</v>
      </c>
      <c r="D1033" s="1">
        <v>3</v>
      </c>
      <c r="E1033" s="1">
        <v>17</v>
      </c>
      <c r="F1033" s="1">
        <v>8</v>
      </c>
      <c r="G1033" s="1">
        <v>18</v>
      </c>
      <c r="H1033" s="1">
        <v>7</v>
      </c>
      <c r="I1033" s="1">
        <v>17</v>
      </c>
      <c r="J1033" s="1">
        <v>8</v>
      </c>
      <c r="K1033" s="1">
        <v>890</v>
      </c>
      <c r="L1033" s="6">
        <v>228662</v>
      </c>
      <c r="M1033" s="1">
        <v>90.8</v>
      </c>
      <c r="N1033" s="1">
        <v>8</v>
      </c>
      <c r="O1033" s="1">
        <v>10</v>
      </c>
      <c r="P1033" s="1">
        <v>29.1</v>
      </c>
      <c r="Q1033" s="11">
        <f>'Table H'!$J$11</f>
        <v>0.81069793077758534</v>
      </c>
      <c r="R1033" s="11">
        <f t="shared" si="32"/>
        <v>185375.81024746422</v>
      </c>
      <c r="S1033" s="11" t="str">
        <f>_xlfn.CONCAT(B1033," ",T1033)</f>
        <v>Ampthill RD</v>
      </c>
      <c r="T1033" s="11" t="s">
        <v>5310</v>
      </c>
      <c r="V1033" s="11" t="str">
        <f>INDEX('Lookup 1961'!$A$2:$A$1300, MATCH(S1033, 'Lookup 1961'!$B$2:$B$1300,0))</f>
        <v>J04000041</v>
      </c>
      <c r="W1033" s="11" t="str">
        <f>INDEX('Lookup 1961'!$F$2:$F$1300, MATCH(S1033, 'Lookup 1961'!$B$2:$B$1300,0))</f>
        <v>e010008</v>
      </c>
      <c r="X1033" s="11" t="str">
        <f>INDEX('Lookup 1961'!$C$2:$C$1300, MATCH(V1033, 'Lookup 1961'!$A$2:$A$1300,0))</f>
        <v>Bedfordshire</v>
      </c>
    </row>
    <row r="1034" spans="1:24" ht="25.05" customHeight="1" x14ac:dyDescent="0.3">
      <c r="A1034" s="9" t="s">
        <v>960</v>
      </c>
      <c r="B1034" s="9" t="s">
        <v>960</v>
      </c>
      <c r="C1034" s="1">
        <v>22</v>
      </c>
      <c r="D1034" s="1">
        <v>0</v>
      </c>
      <c r="E1034" s="1">
        <v>16</v>
      </c>
      <c r="F1034" s="1">
        <v>9</v>
      </c>
      <c r="G1034" s="1">
        <v>18</v>
      </c>
      <c r="H1034" s="1">
        <v>5</v>
      </c>
      <c r="I1034" s="1">
        <v>17</v>
      </c>
      <c r="J1034" s="1">
        <v>0</v>
      </c>
      <c r="K1034" s="6">
        <v>1000</v>
      </c>
      <c r="L1034" s="6">
        <v>269642</v>
      </c>
      <c r="M1034" s="1">
        <v>67.900000000000006</v>
      </c>
      <c r="N1034" s="1">
        <v>6</v>
      </c>
      <c r="O1034" s="1">
        <v>15</v>
      </c>
      <c r="P1034" s="1">
        <v>22.2</v>
      </c>
      <c r="Q1034" s="11">
        <f>'Table H'!$J$11</f>
        <v>0.81069793077758534</v>
      </c>
      <c r="R1034" s="11">
        <f t="shared" si="32"/>
        <v>218598.21145072966</v>
      </c>
      <c r="S1034" s="11" t="str">
        <f t="shared" ref="S1034:S1097" si="34">_xlfn.CONCAT(B1034," ",T1034)</f>
        <v>Bedford RD</v>
      </c>
      <c r="T1034" s="11" t="s">
        <v>5310</v>
      </c>
      <c r="V1034" s="11" t="str">
        <f>INDEX('Lookup 1961'!$A$2:$A$1300, MATCH(S1034, 'Lookup 1961'!$B$2:$B$1300,0))</f>
        <v>J04000113</v>
      </c>
      <c r="W1034" s="11" t="str">
        <f>INDEX('Lookup 1961'!$F$2:$F$1300, MATCH(S1034, 'Lookup 1961'!$B$2:$B$1300,0))</f>
        <v>e010009</v>
      </c>
      <c r="X1034" s="11" t="str">
        <f>INDEX('Lookup 1961'!$C$2:$C$1300, MATCH(V1034, 'Lookup 1961'!$A$2:$A$1300,0))</f>
        <v>Bedfordshire</v>
      </c>
    </row>
    <row r="1035" spans="1:24" ht="25.05" customHeight="1" x14ac:dyDescent="0.3">
      <c r="A1035" s="4" t="s">
        <v>151</v>
      </c>
      <c r="B1035" s="4" t="s">
        <v>151</v>
      </c>
      <c r="C1035" s="1">
        <v>22</v>
      </c>
      <c r="D1035" s="1">
        <v>0</v>
      </c>
      <c r="E1035" s="1">
        <v>17</v>
      </c>
      <c r="F1035" s="1">
        <v>0</v>
      </c>
      <c r="G1035" s="1">
        <v>18</v>
      </c>
      <c r="H1035" s="1">
        <v>8</v>
      </c>
      <c r="I1035" s="1">
        <v>17</v>
      </c>
      <c r="J1035" s="1">
        <v>0</v>
      </c>
      <c r="K1035" s="1">
        <v>755</v>
      </c>
      <c r="L1035" s="6">
        <v>194499</v>
      </c>
      <c r="M1035" s="1">
        <v>67.3</v>
      </c>
      <c r="N1035" s="1">
        <v>6</v>
      </c>
      <c r="O1035" s="1">
        <v>12</v>
      </c>
      <c r="P1035" s="1">
        <v>29.8</v>
      </c>
      <c r="Q1035" s="11">
        <f>'Table H'!$J$11</f>
        <v>0.81069793077758534</v>
      </c>
      <c r="R1035" s="11">
        <f t="shared" si="32"/>
        <v>157679.93683830957</v>
      </c>
      <c r="S1035" s="11" t="str">
        <f t="shared" si="34"/>
        <v>Biggleswade RD</v>
      </c>
      <c r="T1035" s="11" t="s">
        <v>5310</v>
      </c>
      <c r="V1035" s="11" t="str">
        <f>INDEX('Lookup 1961'!$A$2:$A$1300, MATCH(S1035, 'Lookup 1961'!$B$2:$B$1300,0))</f>
        <v>J04000141</v>
      </c>
      <c r="W1035" s="11" t="str">
        <f>INDEX('Lookup 1961'!$F$2:$F$1300, MATCH(S1035, 'Lookup 1961'!$B$2:$B$1300,0))</f>
        <v>e010010</v>
      </c>
      <c r="X1035" s="11" t="str">
        <f>INDEX('Lookup 1961'!$C$2:$C$1300, MATCH(V1035, 'Lookup 1961'!$A$2:$A$1300,0))</f>
        <v>Bedfordshire</v>
      </c>
    </row>
    <row r="1036" spans="1:24" ht="25.05" customHeight="1" x14ac:dyDescent="0.3">
      <c r="A1036" s="9" t="s">
        <v>148</v>
      </c>
      <c r="B1036" s="9" t="s">
        <v>148</v>
      </c>
      <c r="C1036" s="1">
        <v>24</v>
      </c>
      <c r="D1036" s="1">
        <v>8</v>
      </c>
      <c r="E1036" s="1">
        <v>17</v>
      </c>
      <c r="F1036" s="1">
        <v>8</v>
      </c>
      <c r="G1036" s="1">
        <v>18</v>
      </c>
      <c r="H1036" s="1">
        <v>4</v>
      </c>
      <c r="I1036" s="1">
        <v>17</v>
      </c>
      <c r="J1036" s="1">
        <v>10</v>
      </c>
      <c r="K1036" s="1">
        <v>898</v>
      </c>
      <c r="L1036" s="6">
        <v>230684</v>
      </c>
      <c r="M1036" s="1">
        <v>121.4</v>
      </c>
      <c r="N1036" s="1">
        <v>8</v>
      </c>
      <c r="O1036" s="1">
        <v>15</v>
      </c>
      <c r="P1036" s="1">
        <v>42.4</v>
      </c>
      <c r="Q1036" s="11">
        <f>'Table H'!$J$11</f>
        <v>0.81069793077758534</v>
      </c>
      <c r="R1036" s="11">
        <f t="shared" si="32"/>
        <v>187015.04146349648</v>
      </c>
      <c r="S1036" s="11" t="str">
        <f t="shared" si="34"/>
        <v>Luton RD</v>
      </c>
      <c r="T1036" s="11" t="s">
        <v>5310</v>
      </c>
      <c r="V1036" s="11" t="str">
        <f>INDEX('Lookup 1961'!$A$2:$A$1300, MATCH(S1036, 'Lookup 1961'!$B$2:$B$1300,0))</f>
        <v>J04000791</v>
      </c>
      <c r="W1036" s="11" t="str">
        <f>INDEX('Lookup 1961'!$F$2:$F$1300, MATCH(S1036, 'Lookup 1961'!$B$2:$B$1300,0))</f>
        <v>e010000</v>
      </c>
      <c r="X1036" s="11" t="str">
        <f>INDEX('Lookup 1961'!$C$2:$C$1300, MATCH(V1036, 'Lookup 1961'!$A$2:$A$1300,0))</f>
        <v>Bedfordshire</v>
      </c>
    </row>
    <row r="1037" spans="1:24" ht="25.05" customHeight="1" x14ac:dyDescent="0.3">
      <c r="A1037" s="9" t="s">
        <v>155</v>
      </c>
      <c r="B1037" s="9" t="s">
        <v>155</v>
      </c>
      <c r="S1037" s="11" t="str">
        <f t="shared" si="34"/>
        <v>BERKS: RD</v>
      </c>
      <c r="T1037" s="11" t="s">
        <v>5310</v>
      </c>
      <c r="V1037" s="11" t="e">
        <f>INDEX('Lookup 1961'!$A$2:$A$1300, MATCH(S1037, 'Lookup 1961'!$B$2:$B$1300,0))</f>
        <v>#N/A</v>
      </c>
      <c r="W1037" s="11" t="e">
        <f>INDEX('Lookup 1961'!$F$2:$F$1300, MATCH(S1037, 'Lookup 1961'!$B$2:$B$1300,0))</f>
        <v>#N/A</v>
      </c>
      <c r="X1037" s="11" t="e">
        <f>INDEX('Lookup 1961'!$C$2:$C$1300, MATCH(V1037, 'Lookup 1961'!$A$2:$A$1300,0))</f>
        <v>#N/A</v>
      </c>
    </row>
    <row r="1038" spans="1:24" ht="25.05" customHeight="1" x14ac:dyDescent="0.3">
      <c r="A1038" s="9" t="s">
        <v>156</v>
      </c>
      <c r="B1038" s="9" t="s">
        <v>156</v>
      </c>
      <c r="C1038" s="1">
        <v>19</v>
      </c>
      <c r="D1038" s="1">
        <v>7</v>
      </c>
      <c r="E1038" s="1">
        <v>13</v>
      </c>
      <c r="F1038" s="1">
        <v>2</v>
      </c>
      <c r="G1038" s="1">
        <v>13</v>
      </c>
      <c r="H1038" s="1">
        <v>10</v>
      </c>
      <c r="I1038" s="1">
        <v>13</v>
      </c>
      <c r="J1038" s="1">
        <v>2</v>
      </c>
      <c r="K1038" s="6">
        <v>1336</v>
      </c>
      <c r="L1038" s="6">
        <v>299695</v>
      </c>
      <c r="M1038" s="1">
        <v>56.1</v>
      </c>
      <c r="N1038" s="1">
        <v>7</v>
      </c>
      <c r="O1038" s="1">
        <v>8</v>
      </c>
      <c r="P1038" s="1">
        <v>0.1</v>
      </c>
      <c r="Q1038" s="11">
        <f>'Table H'!$J$16</f>
        <v>0.83566032483489483</v>
      </c>
      <c r="R1038" s="11">
        <f t="shared" si="32"/>
        <v>250443.2210513938</v>
      </c>
      <c r="S1038" s="11" t="str">
        <f t="shared" si="34"/>
        <v>Abingdon RD</v>
      </c>
      <c r="T1038" s="11" t="s">
        <v>5310</v>
      </c>
      <c r="V1038" s="11" t="str">
        <f>INDEX('Lookup 1961'!$A$2:$A$1300, MATCH(S1038, 'Lookup 1961'!$B$2:$B$1300,0))</f>
        <v>J04000012</v>
      </c>
      <c r="W1038" s="11" t="str">
        <f>INDEX('Lookup 1961'!$F$2:$F$1300, MATCH(S1038, 'Lookup 1961'!$B$2:$B$1300,0))</f>
        <v>e020020</v>
      </c>
      <c r="X1038" s="11" t="str">
        <f>INDEX('Lookup 1961'!$C$2:$C$1300, MATCH(V1038, 'Lookup 1961'!$A$2:$A$1300,0))</f>
        <v>Oxfordshire</v>
      </c>
    </row>
    <row r="1039" spans="1:24" ht="25.05" customHeight="1" x14ac:dyDescent="0.3">
      <c r="A1039" s="9" t="s">
        <v>961</v>
      </c>
      <c r="B1039" s="9" t="s">
        <v>961</v>
      </c>
      <c r="C1039" s="1">
        <v>20</v>
      </c>
      <c r="D1039" s="1">
        <v>0</v>
      </c>
      <c r="E1039" s="1">
        <v>13</v>
      </c>
      <c r="F1039" s="1">
        <v>6</v>
      </c>
      <c r="G1039" s="1">
        <v>14</v>
      </c>
      <c r="H1039" s="1">
        <v>6</v>
      </c>
      <c r="I1039" s="1">
        <v>13</v>
      </c>
      <c r="J1039" s="1">
        <v>4</v>
      </c>
      <c r="K1039" s="6">
        <v>1270</v>
      </c>
      <c r="L1039" s="6">
        <v>275630</v>
      </c>
      <c r="M1039" s="1">
        <v>49.4</v>
      </c>
      <c r="N1039" s="1">
        <v>7</v>
      </c>
      <c r="O1039" s="1">
        <v>19</v>
      </c>
      <c r="P1039" s="1">
        <v>6.8</v>
      </c>
      <c r="Q1039" s="11">
        <f>'Table H'!$J$16</f>
        <v>0.83566032483489483</v>
      </c>
      <c r="R1039" s="11">
        <f t="shared" si="32"/>
        <v>230333.05533424206</v>
      </c>
      <c r="S1039" s="11" t="str">
        <f t="shared" si="34"/>
        <v>Bradfield RD</v>
      </c>
      <c r="T1039" s="11" t="s">
        <v>5310</v>
      </c>
      <c r="V1039" s="11" t="str">
        <f>INDEX('Lookup 1961'!$A$2:$A$1300, MATCH(S1039, 'Lookup 1961'!$B$2:$B$1300,0))</f>
        <v>J04000184</v>
      </c>
      <c r="W1039" s="11" t="str">
        <f>INDEX('Lookup 1961'!$F$2:$F$1300, MATCH(S1039, 'Lookup 1961'!$B$2:$B$1300,0))</f>
        <v>e020021</v>
      </c>
      <c r="X1039" s="11" t="str">
        <f>INDEX('Lookup 1961'!$C$2:$C$1300, MATCH(V1039, 'Lookup 1961'!$A$2:$A$1300,0))</f>
        <v>Berkshire</v>
      </c>
    </row>
    <row r="1040" spans="1:24" ht="25.05" customHeight="1" x14ac:dyDescent="0.3">
      <c r="A1040" s="9" t="s">
        <v>962</v>
      </c>
      <c r="B1040" s="9" t="s">
        <v>962</v>
      </c>
      <c r="C1040" s="1">
        <v>21</v>
      </c>
      <c r="D1040" s="1">
        <v>4</v>
      </c>
      <c r="E1040" s="1">
        <v>14</v>
      </c>
      <c r="F1040" s="1">
        <v>8</v>
      </c>
      <c r="G1040" s="1">
        <v>16</v>
      </c>
      <c r="H1040" s="1">
        <v>7</v>
      </c>
      <c r="I1040" s="1">
        <v>14</v>
      </c>
      <c r="J1040" s="1">
        <v>8</v>
      </c>
      <c r="K1040" s="1">
        <v>760</v>
      </c>
      <c r="L1040" s="6">
        <v>192100</v>
      </c>
      <c r="M1040" s="1">
        <v>66.599999999999994</v>
      </c>
      <c r="N1040" s="1">
        <v>9</v>
      </c>
      <c r="O1040" s="1">
        <v>16</v>
      </c>
      <c r="P1040" s="1">
        <v>12.8</v>
      </c>
      <c r="Q1040" s="11">
        <f>'Table H'!$J$16</f>
        <v>0.83566032483489483</v>
      </c>
      <c r="R1040" s="11">
        <f t="shared" si="32"/>
        <v>160530.34840078329</v>
      </c>
      <c r="S1040" s="11" t="str">
        <f t="shared" si="34"/>
        <v>Cookham RD</v>
      </c>
      <c r="T1040" s="11" t="s">
        <v>5310</v>
      </c>
      <c r="V1040" s="11" t="str">
        <f>INDEX('Lookup 1961'!$A$2:$A$1300, MATCH(S1040, 'Lookup 1961'!$B$2:$B$1300,0))</f>
        <v>J04000347</v>
      </c>
      <c r="W1040" s="11" t="str">
        <f>INDEX('Lookup 1961'!$F$2:$F$1300, MATCH(S1040, 'Lookup 1961'!$B$2:$B$1300,0))</f>
        <v>e020022</v>
      </c>
      <c r="X1040" s="11" t="str">
        <f>INDEX('Lookup 1961'!$C$2:$C$1300, MATCH(V1040, 'Lookup 1961'!$A$2:$A$1300,0))</f>
        <v>Berkshire</v>
      </c>
    </row>
    <row r="1041" spans="1:24" ht="25.05" customHeight="1" x14ac:dyDescent="0.3">
      <c r="A1041" s="4" t="s">
        <v>963</v>
      </c>
      <c r="B1041" s="4" t="s">
        <v>963</v>
      </c>
      <c r="C1041" s="1">
        <v>20</v>
      </c>
      <c r="D1041" s="1">
        <v>10</v>
      </c>
      <c r="E1041" s="1">
        <v>14</v>
      </c>
      <c r="F1041" s="1">
        <v>4</v>
      </c>
      <c r="G1041" s="3">
        <v>14</v>
      </c>
      <c r="H1041" s="1">
        <v>6</v>
      </c>
      <c r="I1041" s="1">
        <v>14</v>
      </c>
      <c r="J1041" s="1">
        <v>4</v>
      </c>
      <c r="K1041" s="6">
        <v>1490</v>
      </c>
      <c r="L1041" s="6">
        <v>348352</v>
      </c>
      <c r="M1041" s="1">
        <v>75.099999999999994</v>
      </c>
      <c r="N1041" s="1">
        <v>8</v>
      </c>
      <c r="O1041" s="1">
        <v>0</v>
      </c>
      <c r="P1041" s="1">
        <v>19.3</v>
      </c>
      <c r="Q1041" s="11">
        <f>'Table H'!$J$16</f>
        <v>0.83566032483489483</v>
      </c>
      <c r="R1041" s="11">
        <f t="shared" si="32"/>
        <v>291103.9454768853</v>
      </c>
      <c r="S1041" s="11" t="str">
        <f t="shared" si="34"/>
        <v>Easthampstead RD</v>
      </c>
      <c r="T1041" s="11" t="s">
        <v>5310</v>
      </c>
      <c r="V1041" s="11" t="str">
        <f>INDEX('Lookup 1961'!$A$2:$A$1300, MATCH(S1041, 'Lookup 1961'!$B$2:$B$1300,0))</f>
        <v>J04000456</v>
      </c>
      <c r="W1041" s="11" t="str">
        <f>INDEX('Lookup 1961'!$F$2:$F$1300, MATCH(S1041, 'Lookup 1961'!$B$2:$B$1300,0))</f>
        <v>e020023</v>
      </c>
      <c r="X1041" s="11" t="str">
        <f>INDEX('Lookup 1961'!$C$2:$C$1300, MATCH(V1041, 'Lookup 1961'!$A$2:$A$1300,0))</f>
        <v>Berkshire</v>
      </c>
    </row>
    <row r="1042" spans="1:24" ht="25.05" customHeight="1" x14ac:dyDescent="0.3">
      <c r="A1042" s="9" t="s">
        <v>964</v>
      </c>
      <c r="B1042" s="9" t="s">
        <v>964</v>
      </c>
      <c r="C1042" s="1">
        <v>21</v>
      </c>
      <c r="D1042" s="1">
        <v>5</v>
      </c>
      <c r="E1042" s="1">
        <v>13</v>
      </c>
      <c r="F1042" s="1">
        <v>10</v>
      </c>
      <c r="G1042" s="1">
        <v>14</v>
      </c>
      <c r="H1042" s="1">
        <v>6</v>
      </c>
      <c r="I1042" s="1">
        <v>13</v>
      </c>
      <c r="J1042" s="1">
        <v>10</v>
      </c>
      <c r="K1042" s="6">
        <v>502</v>
      </c>
      <c r="L1042" s="6">
        <v>110451</v>
      </c>
      <c r="M1042" s="1">
        <v>46</v>
      </c>
      <c r="N1042" s="1">
        <v>6</v>
      </c>
      <c r="O1042" s="1">
        <v>4</v>
      </c>
      <c r="P1042" s="1">
        <v>5</v>
      </c>
      <c r="Q1042" s="11">
        <f>'Table H'!$J$16</f>
        <v>0.83566032483489483</v>
      </c>
      <c r="R1042" s="11">
        <f t="shared" si="32"/>
        <v>92299.518538338962</v>
      </c>
      <c r="S1042" s="11" t="str">
        <f t="shared" si="34"/>
        <v>Faringdon RD</v>
      </c>
      <c r="T1042" s="11" t="s">
        <v>5310</v>
      </c>
      <c r="V1042" s="11" t="str">
        <f>INDEX('Lookup 1961'!$A$2:$A$1300, MATCH(S1042, 'Lookup 1961'!$B$2:$B$1300,0))</f>
        <v>J04000492</v>
      </c>
      <c r="W1042" s="11" t="str">
        <f>INDEX('Lookup 1961'!$F$2:$F$1300, MATCH(S1042, 'Lookup 1961'!$B$2:$B$1300,0))</f>
        <v>e020025</v>
      </c>
      <c r="X1042" s="11" t="str">
        <f>INDEX('Lookup 1961'!$C$2:$C$1300, MATCH(V1042, 'Lookup 1961'!$A$2:$A$1300,0))</f>
        <v>Oxfordshire</v>
      </c>
    </row>
    <row r="1043" spans="1:24" ht="25.05" customHeight="1" x14ac:dyDescent="0.3">
      <c r="A1043" s="4" t="s">
        <v>965</v>
      </c>
      <c r="B1043" s="4" t="s">
        <v>965</v>
      </c>
      <c r="C1043" s="1">
        <v>22</v>
      </c>
      <c r="D1043" s="1">
        <v>1</v>
      </c>
      <c r="E1043" s="1">
        <v>15</v>
      </c>
      <c r="F1043" s="1">
        <v>7</v>
      </c>
      <c r="G1043" s="1">
        <v>16</v>
      </c>
      <c r="H1043" s="1">
        <v>2</v>
      </c>
      <c r="I1043" s="1">
        <v>15</v>
      </c>
      <c r="J1043" s="1">
        <v>7</v>
      </c>
      <c r="K1043" s="6">
        <v>329</v>
      </c>
      <c r="L1043" s="6">
        <v>83366</v>
      </c>
      <c r="M1043" s="1">
        <v>51.6</v>
      </c>
      <c r="N1043" s="1">
        <v>6</v>
      </c>
      <c r="O1043" s="1">
        <v>7</v>
      </c>
      <c r="P1043" s="1">
        <v>8.1</v>
      </c>
      <c r="Q1043" s="11">
        <f>'Table H'!$J$16</f>
        <v>0.83566032483489483</v>
      </c>
      <c r="R1043" s="11">
        <f t="shared" si="32"/>
        <v>69665.658640185837</v>
      </c>
      <c r="S1043" s="11" t="str">
        <f t="shared" si="34"/>
        <v>Hungerford RD</v>
      </c>
      <c r="T1043" s="11" t="s">
        <v>5310</v>
      </c>
      <c r="V1043" s="11" t="str">
        <f>INDEX('Lookup 1961'!$A$2:$A$1300, MATCH(S1043, 'Lookup 1961'!$B$2:$B$1300,0))</f>
        <v>J04000658</v>
      </c>
      <c r="W1043" s="11" t="str">
        <f>INDEX('Lookup 1961'!$F$2:$F$1300, MATCH(S1043, 'Lookup 1961'!$B$2:$B$1300,0))</f>
        <v>e020026</v>
      </c>
      <c r="X1043" s="11" t="str">
        <f>INDEX('Lookup 1961'!$C$2:$C$1300, MATCH(V1043, 'Lookup 1961'!$A$2:$A$1300,0))</f>
        <v>Berkshire</v>
      </c>
    </row>
    <row r="1044" spans="1:24" ht="25.05" customHeight="1" x14ac:dyDescent="0.3">
      <c r="A1044" s="9" t="s">
        <v>966</v>
      </c>
      <c r="B1044" s="9" t="s">
        <v>966</v>
      </c>
      <c r="C1044" s="1">
        <v>19</v>
      </c>
      <c r="D1044" s="1">
        <v>8</v>
      </c>
      <c r="E1044" s="1">
        <v>13</v>
      </c>
      <c r="F1044" s="1">
        <v>4</v>
      </c>
      <c r="G1044" s="1">
        <v>13</v>
      </c>
      <c r="H1044" s="1">
        <v>10</v>
      </c>
      <c r="I1044" s="1">
        <v>13</v>
      </c>
      <c r="J1044" s="1">
        <v>4</v>
      </c>
      <c r="K1044" s="6">
        <v>808</v>
      </c>
      <c r="L1044" s="6">
        <v>195057</v>
      </c>
      <c r="M1044" s="1">
        <v>73</v>
      </c>
      <c r="N1044" s="1">
        <v>5</v>
      </c>
      <c r="O1044" s="1">
        <v>10</v>
      </c>
      <c r="P1044" s="1">
        <v>3</v>
      </c>
      <c r="Q1044" s="11">
        <f>'Table H'!$J$16</f>
        <v>0.83566032483489483</v>
      </c>
      <c r="R1044" s="11">
        <f t="shared" si="32"/>
        <v>163001.39598132009</v>
      </c>
      <c r="S1044" s="11" t="str">
        <f t="shared" si="34"/>
        <v>Newbury RD</v>
      </c>
      <c r="T1044" s="11" t="s">
        <v>5310</v>
      </c>
      <c r="V1044" s="11" t="str">
        <f>INDEX('Lookup 1961'!$A$2:$A$1300, MATCH(S1044, 'Lookup 1961'!$B$2:$B$1300,0))</f>
        <v>J04000897</v>
      </c>
      <c r="W1044" s="11" t="str">
        <f>INDEX('Lookup 1961'!$F$2:$F$1300, MATCH(S1044, 'Lookup 1961'!$B$2:$B$1300,0))</f>
        <v>e020027</v>
      </c>
      <c r="X1044" s="11" t="str">
        <f>INDEX('Lookup 1961'!$C$2:$C$1300, MATCH(V1044, 'Lookup 1961'!$A$2:$A$1300,0))</f>
        <v>Berkshire</v>
      </c>
    </row>
    <row r="1045" spans="1:24" ht="25.05" customHeight="1" x14ac:dyDescent="0.3">
      <c r="A1045" s="4" t="s">
        <v>160</v>
      </c>
      <c r="B1045" s="4" t="s">
        <v>160</v>
      </c>
      <c r="C1045" s="1">
        <v>23</v>
      </c>
      <c r="D1045" s="1">
        <v>4</v>
      </c>
      <c r="E1045" s="1">
        <v>15</v>
      </c>
      <c r="F1045" s="1">
        <v>8</v>
      </c>
      <c r="G1045" s="1">
        <v>16</v>
      </c>
      <c r="H1045" s="1">
        <v>6</v>
      </c>
      <c r="I1045" s="1">
        <v>15</v>
      </c>
      <c r="J1045" s="1">
        <v>8</v>
      </c>
      <c r="K1045" s="6">
        <v>608</v>
      </c>
      <c r="L1045" s="6">
        <v>150379</v>
      </c>
      <c r="M1045" s="1">
        <v>62.7</v>
      </c>
      <c r="N1045" s="1">
        <v>7</v>
      </c>
      <c r="O1045" s="1">
        <v>6</v>
      </c>
      <c r="P1045" s="1">
        <v>10.7</v>
      </c>
      <c r="Q1045" s="11">
        <f>'Table H'!$J$16</f>
        <v>0.83566032483489483</v>
      </c>
      <c r="R1045" s="11">
        <f t="shared" si="32"/>
        <v>125665.76398834665</v>
      </c>
      <c r="S1045" s="11" t="str">
        <f t="shared" si="34"/>
        <v>Wallingford RD</v>
      </c>
      <c r="T1045" s="11" t="s">
        <v>5310</v>
      </c>
      <c r="V1045" s="11" t="str">
        <f>INDEX('Lookup 1961'!$A$2:$A$1300, MATCH(S1045, 'Lookup 1961'!$B$2:$B$1300,0))</f>
        <v>J04001326</v>
      </c>
      <c r="W1045" s="11" t="str">
        <f>INDEX('Lookup 1961'!$F$2:$F$1300, MATCH(S1045, 'Lookup 1961'!$B$2:$B$1300,0))</f>
        <v>e020028</v>
      </c>
      <c r="X1045" s="11" t="str">
        <f>INDEX('Lookup 1961'!$C$2:$C$1300, MATCH(V1045, 'Lookup 1961'!$A$2:$A$1300,0))</f>
        <v>Oxfordshire</v>
      </c>
    </row>
    <row r="1046" spans="1:24" ht="25.05" customHeight="1" x14ac:dyDescent="0.3">
      <c r="A1046" s="9" t="s">
        <v>162</v>
      </c>
      <c r="B1046" s="9" t="s">
        <v>162</v>
      </c>
      <c r="C1046" s="1">
        <v>19</v>
      </c>
      <c r="D1046" s="1">
        <v>2</v>
      </c>
      <c r="E1046" s="1">
        <v>13</v>
      </c>
      <c r="F1046" s="1">
        <v>0</v>
      </c>
      <c r="G1046" s="1">
        <v>13</v>
      </c>
      <c r="H1046" s="1">
        <v>11</v>
      </c>
      <c r="I1046" s="1">
        <v>13</v>
      </c>
      <c r="J1046" s="1">
        <v>0</v>
      </c>
      <c r="K1046" s="6">
        <v>897</v>
      </c>
      <c r="L1046" s="6">
        <v>173046</v>
      </c>
      <c r="M1046" s="1">
        <v>27.6</v>
      </c>
      <c r="N1046" s="1">
        <v>9</v>
      </c>
      <c r="O1046" s="1">
        <v>6</v>
      </c>
      <c r="P1046" s="1">
        <v>9.1</v>
      </c>
      <c r="Q1046" s="11">
        <f>'Table H'!$J$16</f>
        <v>0.83566032483489483</v>
      </c>
      <c r="R1046" s="11">
        <f t="shared" si="32"/>
        <v>144607.67657137921</v>
      </c>
      <c r="S1046" s="11" t="str">
        <f t="shared" si="34"/>
        <v>Wantage RD</v>
      </c>
      <c r="T1046" s="11" t="s">
        <v>5310</v>
      </c>
      <c r="V1046" s="11" t="str">
        <f>INDEX('Lookup 1961'!$A$2:$A$1300, MATCH(S1046, 'Lookup 1961'!$B$2:$B$1300,0))</f>
        <v>J04001336</v>
      </c>
      <c r="W1046" s="11" t="str">
        <f>INDEX('Lookup 1961'!$F$2:$F$1300, MATCH(S1046, 'Lookup 1961'!$B$2:$B$1300,0))</f>
        <v>e020029</v>
      </c>
      <c r="X1046" s="11" t="str">
        <f>INDEX('Lookup 1961'!$C$2:$C$1300, MATCH(V1046, 'Lookup 1961'!$A$2:$A$1300,0))</f>
        <v>Oxfordshire</v>
      </c>
    </row>
    <row r="1047" spans="1:24" ht="25.05" customHeight="1" x14ac:dyDescent="0.3">
      <c r="A1047" s="4" t="s">
        <v>967</v>
      </c>
      <c r="B1047" s="4" t="s">
        <v>967</v>
      </c>
      <c r="C1047" s="1">
        <v>21</v>
      </c>
      <c r="D1047" s="1">
        <v>11</v>
      </c>
      <c r="E1047" s="1">
        <v>15</v>
      </c>
      <c r="F1047" s="1">
        <v>6</v>
      </c>
      <c r="G1047" s="1">
        <v>16</v>
      </c>
      <c r="H1047" s="1">
        <v>0</v>
      </c>
      <c r="I1047" s="1">
        <v>15</v>
      </c>
      <c r="J1047" s="1">
        <v>10</v>
      </c>
      <c r="K1047" s="6">
        <v>770</v>
      </c>
      <c r="L1047" s="6">
        <v>199831</v>
      </c>
      <c r="M1047" s="1">
        <v>45.8</v>
      </c>
      <c r="N1047" s="1">
        <v>11</v>
      </c>
      <c r="O1047" s="1">
        <v>16</v>
      </c>
      <c r="P1047" s="1">
        <v>0.3</v>
      </c>
      <c r="Q1047" s="11">
        <f>'Table H'!$J$16</f>
        <v>0.83566032483489483</v>
      </c>
      <c r="R1047" s="11">
        <f t="shared" si="32"/>
        <v>166990.83837208187</v>
      </c>
      <c r="S1047" s="11" t="str">
        <f t="shared" si="34"/>
        <v>Windsor RD</v>
      </c>
      <c r="T1047" s="11" t="s">
        <v>5310</v>
      </c>
      <c r="V1047" s="11" t="str">
        <f>INDEX('Lookup 1961'!$A$2:$A$1300, MATCH(S1047, 'Lookup 1961'!$B$2:$B$1300,0))</f>
        <v>J04001425</v>
      </c>
      <c r="W1047" s="11" t="str">
        <f>INDEX('Lookup 1961'!$F$2:$F$1300, MATCH(S1047, 'Lookup 1961'!$B$2:$B$1300,0))</f>
        <v>e020031</v>
      </c>
      <c r="X1047" s="11" t="str">
        <f>INDEX('Lookup 1961'!$C$2:$C$1300, MATCH(V1047, 'Lookup 1961'!$A$2:$A$1300,0))</f>
        <v>Berkshire</v>
      </c>
    </row>
    <row r="1048" spans="1:24" ht="25.05" customHeight="1" x14ac:dyDescent="0.3">
      <c r="A1048" s="4" t="s">
        <v>968</v>
      </c>
      <c r="B1048" s="4" t="s">
        <v>5311</v>
      </c>
      <c r="C1048" s="1">
        <v>21</v>
      </c>
      <c r="D1048" s="1">
        <v>9</v>
      </c>
      <c r="E1048" s="1">
        <v>15</v>
      </c>
      <c r="F1048" s="1">
        <v>2</v>
      </c>
      <c r="G1048" s="1">
        <v>15</v>
      </c>
      <c r="H1048" s="1">
        <v>10</v>
      </c>
      <c r="I1048" s="1">
        <v>15</v>
      </c>
      <c r="J1048" s="1">
        <v>3</v>
      </c>
      <c r="K1048" s="6">
        <v>1960</v>
      </c>
      <c r="L1048" s="6">
        <v>472317</v>
      </c>
      <c r="M1048" s="1">
        <v>70.7</v>
      </c>
      <c r="N1048" s="1">
        <v>8</v>
      </c>
      <c r="O1048" s="1">
        <v>12</v>
      </c>
      <c r="P1048" s="1">
        <v>20.3</v>
      </c>
      <c r="Q1048" s="11">
        <f>'Table H'!$J$16</f>
        <v>0.83566032483489483</v>
      </c>
      <c r="R1048" s="11">
        <f t="shared" si="32"/>
        <v>394696.57764504303</v>
      </c>
      <c r="S1048" s="11" t="str">
        <f t="shared" si="34"/>
        <v>wokingham RD</v>
      </c>
      <c r="T1048" s="11" t="s">
        <v>5310</v>
      </c>
      <c r="V1048" s="11" t="str">
        <f>INDEX('Lookup 1961'!$A$2:$A$1300, MATCH(S1048, 'Lookup 1961'!$B$2:$B$1300,0))</f>
        <v>J04001441</v>
      </c>
      <c r="W1048" s="11" t="str">
        <f>INDEX('Lookup 1961'!$F$2:$F$1300, MATCH(S1048, 'Lookup 1961'!$B$2:$B$1300,0))</f>
        <v>e020032</v>
      </c>
      <c r="X1048" s="11" t="str">
        <f>INDEX('Lookup 1961'!$C$2:$C$1300, MATCH(V1048, 'Lookup 1961'!$A$2:$A$1300,0))</f>
        <v>Berkshire</v>
      </c>
    </row>
    <row r="1049" spans="1:24" ht="25.05" customHeight="1" x14ac:dyDescent="0.3">
      <c r="A1049" s="4" t="s">
        <v>163</v>
      </c>
      <c r="B1049" s="4" t="s">
        <v>163</v>
      </c>
      <c r="S1049" s="11" t="str">
        <f t="shared" si="34"/>
        <v>BUCKINGHAM: RD</v>
      </c>
      <c r="T1049" s="11" t="s">
        <v>5310</v>
      </c>
      <c r="V1049" s="11" t="e">
        <f>INDEX('Lookup 1961'!$A$2:$A$1300, MATCH(S1049, 'Lookup 1961'!$B$2:$B$1300,0))</f>
        <v>#N/A</v>
      </c>
      <c r="W1049" s="11" t="e">
        <f>INDEX('Lookup 1961'!$F$2:$F$1300, MATCH(S1049, 'Lookup 1961'!$B$2:$B$1300,0))</f>
        <v>#N/A</v>
      </c>
      <c r="X1049" s="11" t="e">
        <f>INDEX('Lookup 1961'!$C$2:$C$1300, MATCH(V1049, 'Lookup 1961'!$A$2:$A$1300,0))</f>
        <v>#N/A</v>
      </c>
    </row>
    <row r="1050" spans="1:24" ht="25.05" customHeight="1" x14ac:dyDescent="0.3">
      <c r="A1050" s="4" t="s">
        <v>969</v>
      </c>
      <c r="B1050" s="4" t="s">
        <v>969</v>
      </c>
      <c r="C1050" s="1">
        <v>24</v>
      </c>
      <c r="D1050" s="1">
        <v>2</v>
      </c>
      <c r="E1050" s="1">
        <v>16</v>
      </c>
      <c r="F1050" s="1">
        <v>6</v>
      </c>
      <c r="G1050" s="1">
        <v>17</v>
      </c>
      <c r="H1050" s="1">
        <v>1</v>
      </c>
      <c r="I1050" s="1">
        <v>16</v>
      </c>
      <c r="J1050" s="1">
        <v>7</v>
      </c>
      <c r="K1050" s="6">
        <v>2560</v>
      </c>
      <c r="L1050" s="6">
        <v>661697</v>
      </c>
      <c r="M1050" s="1">
        <v>84.7</v>
      </c>
      <c r="N1050" s="1">
        <v>11</v>
      </c>
      <c r="O1050" s="1">
        <v>7</v>
      </c>
      <c r="P1050" s="1">
        <v>20.100000000000001</v>
      </c>
      <c r="Q1050" s="11">
        <f>'Table H'!$J$21</f>
        <v>0.90960911686203083</v>
      </c>
      <c r="R1050" s="11">
        <f t="shared" si="32"/>
        <v>601885.62380025524</v>
      </c>
      <c r="S1050" s="11" t="str">
        <f t="shared" si="34"/>
        <v>Amersham RD</v>
      </c>
      <c r="T1050" s="11" t="s">
        <v>5310</v>
      </c>
      <c r="V1050" s="11" t="str">
        <f>INDEX('Lookup 1961'!$A$2:$A$1300, MATCH(S1050, 'Lookup 1961'!$B$2:$B$1300,0))</f>
        <v>J04000037</v>
      </c>
      <c r="W1050" s="11" t="str">
        <f>INDEX('Lookup 1961'!$F$2:$F$1300, MATCH(S1050, 'Lookup 1961'!$B$2:$B$1300,0))</f>
        <v>e030046</v>
      </c>
      <c r="X1050" s="11" t="str">
        <f>INDEX('Lookup 1961'!$C$2:$C$1300, MATCH(V1050, 'Lookup 1961'!$A$2:$A$1300,0))</f>
        <v>Buckinghamshire</v>
      </c>
    </row>
    <row r="1051" spans="1:24" ht="25.05" customHeight="1" x14ac:dyDescent="0.3">
      <c r="A1051" s="4" t="s">
        <v>970</v>
      </c>
      <c r="B1051" s="4" t="s">
        <v>970</v>
      </c>
      <c r="C1051" s="1">
        <v>23</v>
      </c>
      <c r="D1051" s="1">
        <v>4</v>
      </c>
      <c r="E1051" s="1">
        <v>16</v>
      </c>
      <c r="F1051" s="1">
        <v>6</v>
      </c>
      <c r="G1051" s="1">
        <v>17</v>
      </c>
      <c r="H1051" s="1">
        <v>4</v>
      </c>
      <c r="I1051" s="1">
        <v>16</v>
      </c>
      <c r="J1051" s="1">
        <v>6</v>
      </c>
      <c r="K1051" s="6">
        <v>1250</v>
      </c>
      <c r="L1051" s="6">
        <v>282416</v>
      </c>
      <c r="M1051" s="1">
        <v>51.7</v>
      </c>
      <c r="N1051" s="1">
        <v>7</v>
      </c>
      <c r="O1051" s="1">
        <v>17</v>
      </c>
      <c r="P1051" s="1">
        <v>12.2</v>
      </c>
      <c r="Q1051" s="11">
        <f>'Table H'!$J$21</f>
        <v>0.90960911686203083</v>
      </c>
      <c r="R1051" s="11">
        <f t="shared" si="32"/>
        <v>256888.16834770731</v>
      </c>
      <c r="S1051" s="11" t="str">
        <f t="shared" si="34"/>
        <v>Aylesbury RD</v>
      </c>
      <c r="T1051" s="11" t="s">
        <v>5310</v>
      </c>
      <c r="V1051" s="11" t="str">
        <f>INDEX('Lookup 1961'!$A$2:$A$1300, MATCH(S1051, 'Lookup 1961'!$B$2:$B$1300,0))</f>
        <v>J04000066</v>
      </c>
      <c r="W1051" s="11" t="str">
        <f>INDEX('Lookup 1961'!$F$2:$F$1300, MATCH(S1051, 'Lookup 1961'!$B$2:$B$1300,0))</f>
        <v>e030047</v>
      </c>
      <c r="X1051" s="11" t="str">
        <f>INDEX('Lookup 1961'!$C$2:$C$1300, MATCH(V1051, 'Lookup 1961'!$A$2:$A$1300,0))</f>
        <v>Buckinghamshire</v>
      </c>
    </row>
    <row r="1052" spans="1:24" ht="25.05" customHeight="1" x14ac:dyDescent="0.3">
      <c r="A1052" s="4" t="s">
        <v>165</v>
      </c>
      <c r="B1052" s="4" t="s">
        <v>165</v>
      </c>
      <c r="C1052" s="1">
        <v>24</v>
      </c>
      <c r="D1052" s="1">
        <v>0</v>
      </c>
      <c r="E1052" s="1">
        <v>16</v>
      </c>
      <c r="F1052" s="1">
        <v>6</v>
      </c>
      <c r="G1052" s="1">
        <v>17</v>
      </c>
      <c r="H1052" s="1">
        <v>11</v>
      </c>
      <c r="I1052" s="1">
        <v>16</v>
      </c>
      <c r="J1052" s="1">
        <v>10</v>
      </c>
      <c r="K1052" s="6">
        <v>300</v>
      </c>
      <c r="L1052" s="6">
        <v>80841</v>
      </c>
      <c r="M1052" s="1">
        <v>87</v>
      </c>
      <c r="N1052" s="1">
        <v>6</v>
      </c>
      <c r="O1052" s="1">
        <v>3</v>
      </c>
      <c r="P1052" s="1">
        <v>19.5</v>
      </c>
      <c r="Q1052" s="11">
        <f>'Table H'!$J$21</f>
        <v>0.90960911686203083</v>
      </c>
      <c r="R1052" s="11">
        <f t="shared" si="32"/>
        <v>73533.710616243436</v>
      </c>
      <c r="S1052" s="11" t="str">
        <f t="shared" si="34"/>
        <v>Buckingham RD</v>
      </c>
      <c r="T1052" s="11" t="s">
        <v>5310</v>
      </c>
      <c r="V1052" s="11" t="str">
        <f>INDEX('Lookup 1961'!$A$2:$A$1300, MATCH(S1052, 'Lookup 1961'!$B$2:$B$1300,0))</f>
        <v>J04000227</v>
      </c>
      <c r="W1052" s="11" t="str">
        <f>INDEX('Lookup 1961'!$F$2:$F$1300, MATCH(S1052, 'Lookup 1961'!$B$2:$B$1300,0))</f>
        <v>e030048</v>
      </c>
      <c r="X1052" s="11" t="str">
        <f>INDEX('Lookup 1961'!$C$2:$C$1300, MATCH(V1052, 'Lookup 1961'!$A$2:$A$1300,0))</f>
        <v>Buckinghamshire</v>
      </c>
    </row>
    <row r="1053" spans="1:24" ht="25.05" customHeight="1" x14ac:dyDescent="0.3">
      <c r="A1053" s="4" t="s">
        <v>171</v>
      </c>
      <c r="B1053" s="4" t="s">
        <v>171</v>
      </c>
      <c r="C1053" s="1">
        <v>24</v>
      </c>
      <c r="D1053" s="1">
        <v>0</v>
      </c>
      <c r="E1053" s="1">
        <v>15</v>
      </c>
      <c r="F1053" s="1">
        <v>9</v>
      </c>
      <c r="G1053" s="1">
        <v>16</v>
      </c>
      <c r="H1053" s="1">
        <v>2</v>
      </c>
      <c r="I1053" s="1">
        <v>15</v>
      </c>
      <c r="J1053" s="1">
        <v>10</v>
      </c>
      <c r="K1053" s="6">
        <v>3625</v>
      </c>
      <c r="L1053" s="6">
        <v>882381</v>
      </c>
      <c r="M1053" s="1">
        <v>86.3</v>
      </c>
      <c r="N1053" s="1">
        <v>14</v>
      </c>
      <c r="O1053" s="1">
        <v>0</v>
      </c>
      <c r="P1053" s="1">
        <v>13.5</v>
      </c>
      <c r="Q1053" s="11">
        <f>'Table H'!$J$21</f>
        <v>0.90960911686203083</v>
      </c>
      <c r="R1053" s="11">
        <f t="shared" si="32"/>
        <v>802621.80214583559</v>
      </c>
      <c r="S1053" s="11" t="str">
        <f t="shared" si="34"/>
        <v>Eton RD</v>
      </c>
      <c r="T1053" s="11" t="s">
        <v>5310</v>
      </c>
      <c r="V1053" s="11" t="str">
        <f>INDEX('Lookup 1961'!$A$2:$A$1300, MATCH(S1053, 'Lookup 1961'!$B$2:$B$1300,0))</f>
        <v>J04000482</v>
      </c>
      <c r="W1053" s="11" t="str">
        <f>INDEX('Lookup 1961'!$F$2:$F$1300, MATCH(S1053, 'Lookup 1961'!$B$2:$B$1300,0))</f>
        <v>e030049</v>
      </c>
      <c r="X1053" s="11" t="str">
        <f>INDEX('Lookup 1961'!$C$2:$C$1300, MATCH(V1053, 'Lookup 1961'!$A$2:$A$1300,0))</f>
        <v>Buckinghamshire</v>
      </c>
    </row>
    <row r="1054" spans="1:24" ht="25.05" customHeight="1" x14ac:dyDescent="0.3">
      <c r="A1054" s="4" t="s">
        <v>174</v>
      </c>
      <c r="B1054" s="4" t="s">
        <v>174</v>
      </c>
      <c r="C1054" s="1">
        <v>26</v>
      </c>
      <c r="D1054" s="1">
        <v>10</v>
      </c>
      <c r="E1054" s="1">
        <v>17</v>
      </c>
      <c r="F1054" s="1">
        <v>4</v>
      </c>
      <c r="G1054" s="1">
        <v>18</v>
      </c>
      <c r="H1054" s="1">
        <v>4</v>
      </c>
      <c r="I1054" s="1">
        <v>17</v>
      </c>
      <c r="J1054" s="1">
        <v>4</v>
      </c>
      <c r="K1054" s="6">
        <v>489</v>
      </c>
      <c r="L1054" s="6">
        <v>123602</v>
      </c>
      <c r="M1054" s="1">
        <v>81.599999999999994</v>
      </c>
      <c r="N1054" s="1">
        <v>7</v>
      </c>
      <c r="O1054" s="1">
        <v>12</v>
      </c>
      <c r="P1054" s="1">
        <v>17.5</v>
      </c>
      <c r="Q1054" s="11">
        <f>'Table H'!$J$21</f>
        <v>0.90960911686203083</v>
      </c>
      <c r="R1054" s="11">
        <f t="shared" si="32"/>
        <v>112429.50606238074</v>
      </c>
      <c r="S1054" s="11" t="str">
        <f t="shared" si="34"/>
        <v>Newport Pagnell RD</v>
      </c>
      <c r="T1054" s="11" t="s">
        <v>5310</v>
      </c>
      <c r="V1054" s="11" t="str">
        <f>INDEX('Lookup 1961'!$A$2:$A$1300, MATCH(S1054, 'Lookup 1961'!$B$2:$B$1300,0))</f>
        <v>J04000909</v>
      </c>
      <c r="W1054" s="11" t="str">
        <f>INDEX('Lookup 1961'!$F$2:$F$1300, MATCH(S1054, 'Lookup 1961'!$B$2:$B$1300,0))</f>
        <v>e030050</v>
      </c>
      <c r="X1054" s="11" t="str">
        <f>INDEX('Lookup 1961'!$C$2:$C$1300, MATCH(V1054, 'Lookup 1961'!$A$2:$A$1300,0))</f>
        <v>Buckinghamshire</v>
      </c>
    </row>
    <row r="1055" spans="1:24" ht="25.05" customHeight="1" x14ac:dyDescent="0.3">
      <c r="A1055" s="4" t="s">
        <v>971</v>
      </c>
      <c r="B1055" s="4" t="s">
        <v>971</v>
      </c>
      <c r="C1055" s="1">
        <v>25</v>
      </c>
      <c r="D1055" s="1">
        <v>8</v>
      </c>
      <c r="E1055" s="1">
        <v>17</v>
      </c>
      <c r="F1055" s="1">
        <v>8</v>
      </c>
      <c r="G1055" s="1">
        <v>18</v>
      </c>
      <c r="H1055" s="1">
        <v>0</v>
      </c>
      <c r="I1055" s="1">
        <v>17</v>
      </c>
      <c r="J1055" s="1">
        <v>8</v>
      </c>
      <c r="K1055" s="6">
        <v>289</v>
      </c>
      <c r="L1055" s="6">
        <v>74836</v>
      </c>
      <c r="M1055" s="1">
        <v>60.3</v>
      </c>
      <c r="N1055" s="1">
        <v>7</v>
      </c>
      <c r="O1055" s="1">
        <v>14</v>
      </c>
      <c r="P1055" s="1">
        <v>15.6</v>
      </c>
      <c r="Q1055" s="11">
        <f>'Table H'!$J$21</f>
        <v>0.90960911686203083</v>
      </c>
      <c r="R1055" s="11">
        <f t="shared" si="32"/>
        <v>68071.507869486944</v>
      </c>
      <c r="S1055" s="11" t="str">
        <f t="shared" si="34"/>
        <v>Wing RD</v>
      </c>
      <c r="T1055" s="11" t="s">
        <v>5310</v>
      </c>
      <c r="V1055" s="11" t="str">
        <f>INDEX('Lookup 1961'!$A$2:$A$1300, MATCH(S1055, 'Lookup 1961'!$B$2:$B$1300,0))</f>
        <v>J04001426</v>
      </c>
      <c r="W1055" s="11" t="str">
        <f>INDEX('Lookup 1961'!$F$2:$F$1300, MATCH(S1055, 'Lookup 1961'!$B$2:$B$1300,0))</f>
        <v>e030052</v>
      </c>
      <c r="X1055" s="11" t="str">
        <f>INDEX('Lookup 1961'!$C$2:$C$1300, MATCH(V1055, 'Lookup 1961'!$A$2:$A$1300,0))</f>
        <v>Buckinghamshire</v>
      </c>
    </row>
    <row r="1056" spans="1:24" ht="25.05" customHeight="1" x14ac:dyDescent="0.3">
      <c r="A1056" s="4" t="s">
        <v>972</v>
      </c>
      <c r="B1056" s="4" t="s">
        <v>972</v>
      </c>
      <c r="C1056" s="1">
        <v>25</v>
      </c>
      <c r="D1056" s="1">
        <v>2</v>
      </c>
      <c r="E1056" s="1">
        <v>15</v>
      </c>
      <c r="F1056" s="1">
        <v>10</v>
      </c>
      <c r="G1056" s="1">
        <v>16</v>
      </c>
      <c r="H1056" s="1">
        <v>4</v>
      </c>
      <c r="I1056" s="1">
        <v>15</v>
      </c>
      <c r="J1056" s="1">
        <v>10</v>
      </c>
      <c r="K1056" s="6">
        <v>235</v>
      </c>
      <c r="L1056" s="6">
        <v>60300</v>
      </c>
      <c r="M1056" s="1">
        <v>78.099999999999994</v>
      </c>
      <c r="N1056" s="1">
        <v>6</v>
      </c>
      <c r="O1056" s="1">
        <v>2</v>
      </c>
      <c r="P1056" s="1">
        <v>12.9</v>
      </c>
      <c r="Q1056" s="11">
        <f>'Table H'!$J$21</f>
        <v>0.90960911686203083</v>
      </c>
      <c r="R1056" s="11">
        <f t="shared" si="32"/>
        <v>54849.429746780457</v>
      </c>
      <c r="S1056" s="11" t="str">
        <f t="shared" si="34"/>
        <v>Winslow RD</v>
      </c>
      <c r="T1056" s="11" t="s">
        <v>5310</v>
      </c>
      <c r="V1056" s="11" t="str">
        <f>INDEX('Lookup 1961'!$A$2:$A$1300, MATCH(S1056, 'Lookup 1961'!$B$2:$B$1300,0))</f>
        <v>J04001428</v>
      </c>
      <c r="W1056" s="11" t="str">
        <f>INDEX('Lookup 1961'!$F$2:$F$1300, MATCH(S1056, 'Lookup 1961'!$B$2:$B$1300,0))</f>
        <v>e030053</v>
      </c>
      <c r="X1056" s="11" t="str">
        <f>INDEX('Lookup 1961'!$C$2:$C$1300, MATCH(V1056, 'Lookup 1961'!$A$2:$A$1300,0))</f>
        <v>Buckinghamshire</v>
      </c>
    </row>
    <row r="1057" spans="1:24" ht="25.05" customHeight="1" x14ac:dyDescent="0.3">
      <c r="A1057" s="4" t="s">
        <v>973</v>
      </c>
      <c r="B1057" s="4" t="s">
        <v>973</v>
      </c>
      <c r="C1057" s="1">
        <v>25</v>
      </c>
      <c r="D1057" s="1">
        <v>2</v>
      </c>
      <c r="E1057" s="1">
        <v>15</v>
      </c>
      <c r="F1057" s="1">
        <v>8</v>
      </c>
      <c r="G1057" s="1">
        <v>16</v>
      </c>
      <c r="H1057" s="1">
        <v>4</v>
      </c>
      <c r="I1057" s="1">
        <v>15</v>
      </c>
      <c r="J1057" s="1">
        <v>8</v>
      </c>
      <c r="K1057" s="6">
        <v>2037</v>
      </c>
      <c r="L1057" s="6">
        <v>504495</v>
      </c>
      <c r="M1057" s="1">
        <v>85.1</v>
      </c>
      <c r="N1057" s="1">
        <v>8</v>
      </c>
      <c r="O1057" s="1">
        <v>16</v>
      </c>
      <c r="P1057" s="1">
        <v>14.7</v>
      </c>
      <c r="Q1057" s="11">
        <f>'Table H'!$J$21</f>
        <v>0.90960911686203083</v>
      </c>
      <c r="R1057" s="11">
        <f t="shared" si="32"/>
        <v>458893.25141131022</v>
      </c>
      <c r="S1057" s="11" t="str">
        <f t="shared" si="34"/>
        <v>Wycombe RD</v>
      </c>
      <c r="T1057" s="11" t="s">
        <v>5310</v>
      </c>
      <c r="V1057" s="11" t="str">
        <f>INDEX('Lookup 1961'!$A$2:$A$1300, MATCH(S1057, 'Lookup 1961'!$B$2:$B$1300,0))</f>
        <v>J04001461</v>
      </c>
      <c r="W1057" s="11" t="str">
        <f>INDEX('Lookup 1961'!$F$2:$F$1300, MATCH(S1057, 'Lookup 1961'!$B$2:$B$1300,0))</f>
        <v>e030055</v>
      </c>
      <c r="X1057" s="11" t="str">
        <f>INDEX('Lookup 1961'!$C$2:$C$1300, MATCH(V1057, 'Lookup 1961'!$A$2:$A$1300,0))</f>
        <v>Buckinghamshire</v>
      </c>
    </row>
    <row r="1058" spans="1:24" ht="25.05" customHeight="1" x14ac:dyDescent="0.3">
      <c r="A1058" s="4" t="s">
        <v>176</v>
      </c>
      <c r="B1058" s="4" t="s">
        <v>176</v>
      </c>
      <c r="S1058" s="11" t="str">
        <f t="shared" si="34"/>
        <v>CAMBRIDGE: RD</v>
      </c>
      <c r="T1058" s="11" t="s">
        <v>5310</v>
      </c>
      <c r="V1058" s="11" t="e">
        <f>INDEX('Lookup 1961'!$A$2:$A$1300, MATCH(S1058, 'Lookup 1961'!$B$2:$B$1300,0))</f>
        <v>#N/A</v>
      </c>
      <c r="W1058" s="11" t="e">
        <f>INDEX('Lookup 1961'!$F$2:$F$1300, MATCH(S1058, 'Lookup 1961'!$B$2:$B$1300,0))</f>
        <v>#N/A</v>
      </c>
      <c r="X1058" s="11" t="e">
        <f>INDEX('Lookup 1961'!$C$2:$C$1300, MATCH(V1058, 'Lookup 1961'!$A$2:$A$1300,0))</f>
        <v>#N/A</v>
      </c>
    </row>
    <row r="1059" spans="1:24" ht="25.05" customHeight="1" x14ac:dyDescent="0.3">
      <c r="A1059" s="4" t="s">
        <v>974</v>
      </c>
      <c r="B1059" s="4" t="s">
        <v>974</v>
      </c>
      <c r="C1059" s="1">
        <v>27</v>
      </c>
      <c r="D1059" s="1">
        <v>10</v>
      </c>
      <c r="E1059" s="1">
        <v>20</v>
      </c>
      <c r="F1059" s="1">
        <v>6</v>
      </c>
      <c r="G1059" s="1">
        <v>21</v>
      </c>
      <c r="H1059" s="1">
        <v>6</v>
      </c>
      <c r="I1059" s="1">
        <v>20</v>
      </c>
      <c r="J1059" s="1">
        <v>4</v>
      </c>
      <c r="K1059" s="6">
        <v>1200</v>
      </c>
      <c r="L1059" s="6">
        <v>317378</v>
      </c>
      <c r="M1059" s="1">
        <v>99</v>
      </c>
      <c r="N1059" s="1">
        <v>7</v>
      </c>
      <c r="O1059" s="1">
        <v>7</v>
      </c>
      <c r="P1059" s="1">
        <v>35.5</v>
      </c>
      <c r="Q1059" s="11">
        <f>'Table H'!$J$25</f>
        <v>0.83982013181469972</v>
      </c>
      <c r="R1059" s="11">
        <f t="shared" si="32"/>
        <v>266540.43379508576</v>
      </c>
      <c r="S1059" s="11" t="str">
        <f t="shared" si="34"/>
        <v>Chesterton RD</v>
      </c>
      <c r="T1059" s="11" t="s">
        <v>5310</v>
      </c>
      <c r="V1059" s="11" t="str">
        <f>INDEX('Lookup 1961'!$A$2:$A$1300, MATCH(S1059, 'Lookup 1961'!$B$2:$B$1300,0))</f>
        <v>J04000304</v>
      </c>
      <c r="W1059" s="11" t="str">
        <f>INDEX('Lookup 1961'!$F$2:$F$1300, MATCH(S1059, 'Lookup 1961'!$B$2:$B$1300,0))</f>
        <v>e040062</v>
      </c>
      <c r="X1059" s="11" t="str">
        <f>INDEX('Lookup 1961'!$C$2:$C$1300, MATCH(V1059, 'Lookup 1961'!$A$2:$A$1300,0))</f>
        <v>Cambridgeshire</v>
      </c>
    </row>
    <row r="1060" spans="1:24" ht="25.05" customHeight="1" x14ac:dyDescent="0.3">
      <c r="A1060" s="4" t="s">
        <v>778</v>
      </c>
      <c r="B1060" s="4" t="s">
        <v>778</v>
      </c>
      <c r="C1060" s="1">
        <v>28</v>
      </c>
      <c r="D1060" s="1">
        <v>2</v>
      </c>
      <c r="E1060" s="1">
        <v>20</v>
      </c>
      <c r="F1060" s="1">
        <v>8</v>
      </c>
      <c r="G1060" s="1">
        <v>23</v>
      </c>
      <c r="H1060" s="1">
        <v>3</v>
      </c>
      <c r="I1060" s="1">
        <v>20</v>
      </c>
      <c r="J1060" s="1">
        <v>8</v>
      </c>
      <c r="K1060" s="6">
        <v>510</v>
      </c>
      <c r="L1060" s="6">
        <v>134732</v>
      </c>
      <c r="M1060" s="1">
        <v>90.1</v>
      </c>
      <c r="N1060" s="1">
        <v>6</v>
      </c>
      <c r="O1060" s="1">
        <v>15</v>
      </c>
      <c r="P1060" s="1">
        <v>39.4</v>
      </c>
      <c r="Q1060" s="11">
        <f>'Table H'!$J$25</f>
        <v>0.83982013181469972</v>
      </c>
      <c r="R1060" s="11">
        <f t="shared" si="32"/>
        <v>113150.64599965813</v>
      </c>
      <c r="S1060" s="11" t="str">
        <f t="shared" si="34"/>
        <v>Newmarket RD</v>
      </c>
      <c r="T1060" s="11" t="s">
        <v>5310</v>
      </c>
      <c r="V1060" s="11" t="str">
        <f>INDEX('Lookup 1961'!$A$2:$A$1300, MATCH(S1060, 'Lookup 1961'!$B$2:$B$1300,0))</f>
        <v>J04000905</v>
      </c>
      <c r="W1060" s="11" t="str">
        <f>INDEX('Lookup 1961'!$F$2:$F$1300, MATCH(S1060, 'Lookup 1961'!$B$2:$B$1300,0))</f>
        <v>e040064</v>
      </c>
      <c r="X1060" s="11" t="str">
        <f>INDEX('Lookup 1961'!$C$2:$C$1300, MATCH(V1060, 'Lookup 1961'!$A$2:$A$1300,0))</f>
        <v>Cambridgeshire</v>
      </c>
    </row>
    <row r="1061" spans="1:24" ht="25.05" customHeight="1" x14ac:dyDescent="0.3">
      <c r="A1061" s="4" t="s">
        <v>975</v>
      </c>
      <c r="B1061" s="4" t="s">
        <v>975</v>
      </c>
      <c r="C1061" s="1">
        <v>24</v>
      </c>
      <c r="D1061" s="1">
        <v>4</v>
      </c>
      <c r="E1061" s="1">
        <v>19</v>
      </c>
      <c r="F1061" s="1">
        <v>2</v>
      </c>
      <c r="G1061" s="1">
        <v>2</v>
      </c>
      <c r="H1061" s="1">
        <v>8</v>
      </c>
      <c r="I1061" s="1">
        <v>19</v>
      </c>
      <c r="J1061" s="1">
        <v>2</v>
      </c>
      <c r="K1061" s="6">
        <v>685</v>
      </c>
      <c r="L1061" s="6">
        <v>179686</v>
      </c>
      <c r="M1061" s="1">
        <v>82.2</v>
      </c>
      <c r="N1061" s="1">
        <v>5</v>
      </c>
      <c r="O1061" s="1">
        <v>19</v>
      </c>
      <c r="P1061" s="1">
        <v>46.2</v>
      </c>
      <c r="Q1061" s="11">
        <f>'Table H'!$J$25</f>
        <v>0.83982013181469972</v>
      </c>
      <c r="R1061" s="11">
        <f t="shared" si="32"/>
        <v>150903.92020525614</v>
      </c>
      <c r="S1061" s="11" t="str">
        <f t="shared" si="34"/>
        <v>South Cambridgeshire RD</v>
      </c>
      <c r="T1061" s="11" t="s">
        <v>5310</v>
      </c>
      <c r="V1061" s="11" t="str">
        <f>INDEX('Lookup 1961'!$A$2:$A$1300, MATCH(S1061, 'Lookup 1961'!$B$2:$B$1300,0))</f>
        <v>J04001155</v>
      </c>
      <c r="W1061" s="11" t="str">
        <f>INDEX('Lookup 1961'!$F$2:$F$1300, MATCH(S1061, 'Lookup 1961'!$B$2:$B$1300,0))</f>
        <v>e040066</v>
      </c>
      <c r="X1061" s="11" t="str">
        <f>INDEX('Lookup 1961'!$C$2:$C$1300, MATCH(V1061, 'Lookup 1961'!$A$2:$A$1300,0))</f>
        <v>Cambridgeshire</v>
      </c>
    </row>
    <row r="1062" spans="1:24" ht="25.05" customHeight="1" x14ac:dyDescent="0.3">
      <c r="A1062" s="4" t="s">
        <v>178</v>
      </c>
      <c r="B1062" s="4" t="s">
        <v>178</v>
      </c>
      <c r="S1062" s="11" t="str">
        <f t="shared" si="34"/>
        <v>CHESTER: RD</v>
      </c>
      <c r="T1062" s="11" t="s">
        <v>5310</v>
      </c>
      <c r="V1062" s="11" t="e">
        <f>INDEX('Lookup 1961'!$A$2:$A$1300, MATCH(S1062, 'Lookup 1961'!$B$2:$B$1300,0))</f>
        <v>#N/A</v>
      </c>
      <c r="W1062" s="11" t="e">
        <f>INDEX('Lookup 1961'!$F$2:$F$1300, MATCH(S1062, 'Lookup 1961'!$B$2:$B$1300,0))</f>
        <v>#N/A</v>
      </c>
      <c r="X1062" s="11" t="e">
        <f>INDEX('Lookup 1961'!$C$2:$C$1300, MATCH(V1062, 'Lookup 1961'!$A$2:$A$1300,0))</f>
        <v>#N/A</v>
      </c>
    </row>
    <row r="1063" spans="1:24" ht="25.05" customHeight="1" x14ac:dyDescent="0.3">
      <c r="A1063" s="4" t="s">
        <v>976</v>
      </c>
      <c r="B1063" s="4" t="s">
        <v>976</v>
      </c>
      <c r="C1063" s="1">
        <v>23</v>
      </c>
      <c r="D1063" s="1">
        <v>6</v>
      </c>
      <c r="E1063" s="1">
        <v>15</v>
      </c>
      <c r="F1063" s="1">
        <v>0</v>
      </c>
      <c r="G1063" s="1">
        <v>15</v>
      </c>
      <c r="H1063" s="1">
        <v>3</v>
      </c>
      <c r="I1063" s="1">
        <v>14</v>
      </c>
      <c r="J1063" s="1">
        <v>5</v>
      </c>
      <c r="K1063" s="6">
        <v>625</v>
      </c>
      <c r="L1063" s="6">
        <v>155212</v>
      </c>
      <c r="M1063" s="1">
        <v>89.2</v>
      </c>
      <c r="N1063" s="1">
        <v>9</v>
      </c>
      <c r="O1063" s="1">
        <v>17</v>
      </c>
      <c r="P1063" s="1">
        <v>22.7</v>
      </c>
      <c r="Q1063" s="11">
        <f>'Table H'!$J$30</f>
        <v>0.87933303189030187</v>
      </c>
      <c r="R1063" s="11">
        <f t="shared" si="32"/>
        <v>136483.03854575753</v>
      </c>
      <c r="S1063" s="11" t="str">
        <f t="shared" si="34"/>
        <v>Bucklow RD</v>
      </c>
      <c r="T1063" s="11" t="s">
        <v>5310</v>
      </c>
      <c r="V1063" s="11" t="str">
        <f>INDEX('Lookup 1961'!$A$2:$A$1300, MATCH(S1063, 'Lookup 1961'!$B$2:$B$1300,0))</f>
        <v>J04000229</v>
      </c>
      <c r="W1063" s="11" t="str">
        <f>INDEX('Lookup 1961'!$F$2:$F$1300, MATCH(S1063, 'Lookup 1961'!$B$2:$B$1300,0))</f>
        <v>e050106</v>
      </c>
      <c r="X1063" s="11" t="str">
        <f>INDEX('Lookup 1961'!$C$2:$C$1300, MATCH(V1063, 'Lookup 1961'!$A$2:$A$1300,0))</f>
        <v>Cheshire</v>
      </c>
    </row>
    <row r="1064" spans="1:24" ht="25.05" customHeight="1" x14ac:dyDescent="0.3">
      <c r="A1064" s="4" t="s">
        <v>84</v>
      </c>
      <c r="B1064" s="4" t="s">
        <v>84</v>
      </c>
      <c r="C1064" s="1">
        <v>19</v>
      </c>
      <c r="D1064" s="1">
        <v>8</v>
      </c>
      <c r="E1064" s="1">
        <v>13</v>
      </c>
      <c r="F1064" s="1">
        <v>0</v>
      </c>
      <c r="G1064" s="1">
        <v>13</v>
      </c>
      <c r="H1064" s="1">
        <v>7</v>
      </c>
      <c r="I1064" s="1">
        <v>13</v>
      </c>
      <c r="J1064" s="1">
        <v>0</v>
      </c>
      <c r="K1064" s="6">
        <v>1210</v>
      </c>
      <c r="L1064" s="6">
        <v>299583</v>
      </c>
      <c r="M1064" s="1">
        <v>61.5</v>
      </c>
      <c r="N1064" s="1">
        <v>7</v>
      </c>
      <c r="O1064" s="1">
        <v>12</v>
      </c>
      <c r="P1064" s="1">
        <v>11.3</v>
      </c>
      <c r="Q1064" s="11">
        <f>'Table H'!$J$30</f>
        <v>0.87933303189030187</v>
      </c>
      <c r="R1064" s="11">
        <f t="shared" si="32"/>
        <v>263433.22769279231</v>
      </c>
      <c r="S1064" s="11" t="str">
        <f t="shared" si="34"/>
        <v>Chester RD</v>
      </c>
      <c r="T1064" s="11" t="s">
        <v>5310</v>
      </c>
      <c r="V1064" s="11" t="str">
        <f>INDEX('Lookup 1961'!$A$2:$A$1300, MATCH(S1064, 'Lookup 1961'!$B$2:$B$1300,0))</f>
        <v>J04000300</v>
      </c>
      <c r="W1064" s="11" t="str">
        <f>INDEX('Lookup 1961'!$F$2:$F$1300, MATCH(S1064, 'Lookup 1961'!$B$2:$B$1300,0))</f>
        <v>e050109</v>
      </c>
      <c r="X1064" s="11" t="str">
        <f>INDEX('Lookup 1961'!$C$2:$C$1300, MATCH(V1064, 'Lookup 1961'!$A$2:$A$1300,0))</f>
        <v>Cheshire</v>
      </c>
    </row>
    <row r="1065" spans="1:24" ht="25.05" customHeight="1" x14ac:dyDescent="0.3">
      <c r="A1065" s="4" t="s">
        <v>181</v>
      </c>
      <c r="B1065" s="4" t="s">
        <v>181</v>
      </c>
      <c r="C1065" s="1">
        <v>23</v>
      </c>
      <c r="D1065" s="1">
        <v>2</v>
      </c>
      <c r="E1065" s="1">
        <v>15</v>
      </c>
      <c r="F1065" s="1">
        <v>8</v>
      </c>
      <c r="G1065" s="1">
        <v>16</v>
      </c>
      <c r="H1065" s="1">
        <v>0</v>
      </c>
      <c r="I1065" s="1">
        <v>15</v>
      </c>
      <c r="J1065" s="1">
        <v>8</v>
      </c>
      <c r="K1065" s="6">
        <v>439</v>
      </c>
      <c r="L1065" s="6">
        <v>113777</v>
      </c>
      <c r="M1065" s="1">
        <v>73.5</v>
      </c>
      <c r="N1065" s="1">
        <v>6</v>
      </c>
      <c r="O1065" s="1">
        <v>4</v>
      </c>
      <c r="P1065" s="1">
        <v>14</v>
      </c>
      <c r="Q1065" s="11">
        <f>'Table H'!$J$30</f>
        <v>0.87933303189030187</v>
      </c>
      <c r="R1065" s="11">
        <f t="shared" si="32"/>
        <v>100047.87436938287</v>
      </c>
      <c r="S1065" s="11" t="str">
        <f t="shared" si="34"/>
        <v>Congleton RD</v>
      </c>
      <c r="T1065" s="11" t="s">
        <v>5310</v>
      </c>
      <c r="V1065" s="11" t="str">
        <f>INDEX('Lookup 1961'!$A$2:$A$1300, MATCH(S1065, 'Lookup 1961'!$B$2:$B$1300,0))</f>
        <v>J04000342</v>
      </c>
      <c r="W1065" s="11" t="str">
        <f>INDEX('Lookup 1961'!$F$2:$F$1300, MATCH(S1065, 'Lookup 1961'!$B$2:$B$1300,0))</f>
        <v>e050111</v>
      </c>
      <c r="X1065" s="11" t="str">
        <f>INDEX('Lookup 1961'!$C$2:$C$1300, MATCH(V1065, 'Lookup 1961'!$A$2:$A$1300,0))</f>
        <v>Cheshire</v>
      </c>
    </row>
    <row r="1066" spans="1:24" ht="25.05" customHeight="1" x14ac:dyDescent="0.3">
      <c r="A1066" s="4" t="s">
        <v>977</v>
      </c>
      <c r="B1066" s="4" t="s">
        <v>977</v>
      </c>
      <c r="C1066" s="1">
        <v>20</v>
      </c>
      <c r="D1066" s="1">
        <v>4</v>
      </c>
      <c r="E1066" s="1">
        <v>14</v>
      </c>
      <c r="F1066" s="1">
        <v>4</v>
      </c>
      <c r="G1066" s="1">
        <v>14</v>
      </c>
      <c r="H1066" s="1">
        <v>4</v>
      </c>
      <c r="I1066" s="1">
        <v>14</v>
      </c>
      <c r="J1066" s="1">
        <v>4</v>
      </c>
      <c r="K1066" s="6">
        <v>164</v>
      </c>
      <c r="L1066" s="6">
        <v>41648</v>
      </c>
      <c r="M1066" s="1">
        <v>51.8</v>
      </c>
      <c r="N1066" s="1">
        <v>9</v>
      </c>
      <c r="O1066" s="1">
        <v>10</v>
      </c>
      <c r="P1066" s="1">
        <v>4.7</v>
      </c>
      <c r="Q1066" s="11">
        <f>'Table H'!$J$30</f>
        <v>0.87933303189030187</v>
      </c>
      <c r="R1066" s="11">
        <f t="shared" si="32"/>
        <v>36622.46211216729</v>
      </c>
      <c r="S1066" s="11" t="str">
        <f t="shared" si="34"/>
        <v>Disley RD</v>
      </c>
      <c r="T1066" s="11" t="s">
        <v>5310</v>
      </c>
      <c r="V1066" s="11" t="str">
        <f>INDEX('Lookup 1961'!$A$2:$A$1300, MATCH(S1066, 'Lookup 1961'!$B$2:$B$1300,0))</f>
        <v>J04000408</v>
      </c>
      <c r="W1066" s="11" t="str">
        <f>INDEX('Lookup 1961'!$F$2:$F$1300, MATCH(S1066, 'Lookup 1961'!$B$2:$B$1300,0))</f>
        <v>e050112</v>
      </c>
      <c r="X1066" s="11" t="str">
        <f>INDEX('Lookup 1961'!$C$2:$C$1300, MATCH(V1066, 'Lookup 1961'!$A$2:$A$1300,0))</f>
        <v>Cheshire</v>
      </c>
    </row>
    <row r="1067" spans="1:24" ht="25.05" customHeight="1" x14ac:dyDescent="0.3">
      <c r="A1067" s="4" t="s">
        <v>186</v>
      </c>
      <c r="B1067" s="4" t="s">
        <v>186</v>
      </c>
      <c r="C1067" s="1">
        <v>21</v>
      </c>
      <c r="D1067" s="1">
        <v>0</v>
      </c>
      <c r="E1067" s="1">
        <v>14</v>
      </c>
      <c r="F1067" s="1">
        <v>2</v>
      </c>
      <c r="G1067" s="1">
        <v>14</v>
      </c>
      <c r="H1067" s="1">
        <v>8</v>
      </c>
      <c r="I1067" s="1">
        <v>14</v>
      </c>
      <c r="J1067" s="1">
        <v>2</v>
      </c>
      <c r="K1067" s="6">
        <v>906</v>
      </c>
      <c r="L1067" s="6">
        <v>229814</v>
      </c>
      <c r="M1067" s="1">
        <v>72.8</v>
      </c>
      <c r="N1067" s="1">
        <v>7</v>
      </c>
      <c r="O1067" s="1">
        <v>19</v>
      </c>
      <c r="P1067" s="1">
        <v>13.5</v>
      </c>
      <c r="Q1067" s="11">
        <f>'Table H'!$J$30</f>
        <v>0.87933303189030187</v>
      </c>
      <c r="R1067" s="11">
        <f t="shared" si="32"/>
        <v>202083.04139083784</v>
      </c>
      <c r="S1067" s="11" t="str">
        <f t="shared" si="34"/>
        <v>Macclesfield RD</v>
      </c>
      <c r="T1067" s="11" t="s">
        <v>5310</v>
      </c>
      <c r="V1067" s="11" t="str">
        <f>INDEX('Lookup 1961'!$A$2:$A$1300, MATCH(S1067, 'Lookup 1961'!$B$2:$B$1300,0))</f>
        <v>J04000802</v>
      </c>
      <c r="W1067" s="11" t="str">
        <f>INDEX('Lookup 1961'!$F$2:$F$1300, MATCH(S1067, 'Lookup 1961'!$B$2:$B$1300,0))</f>
        <v>e050113</v>
      </c>
      <c r="X1067" s="11" t="str">
        <f>INDEX('Lookup 1961'!$C$2:$C$1300, MATCH(V1067, 'Lookup 1961'!$A$2:$A$1300,0))</f>
        <v>Cheshire</v>
      </c>
    </row>
    <row r="1068" spans="1:24" ht="25.05" customHeight="1" x14ac:dyDescent="0.3">
      <c r="A1068" s="4" t="s">
        <v>203</v>
      </c>
      <c r="B1068" s="4" t="s">
        <v>203</v>
      </c>
      <c r="C1068" s="1">
        <v>22</v>
      </c>
      <c r="D1068" s="1">
        <v>6</v>
      </c>
      <c r="E1068" s="1">
        <v>14</v>
      </c>
      <c r="F1068" s="1">
        <v>4</v>
      </c>
      <c r="G1068" s="1">
        <v>15</v>
      </c>
      <c r="H1068" s="1">
        <v>4</v>
      </c>
      <c r="I1068" s="1">
        <v>14</v>
      </c>
      <c r="J1068" s="1">
        <v>4</v>
      </c>
      <c r="K1068" s="6">
        <v>898</v>
      </c>
      <c r="L1068" s="6">
        <v>230190</v>
      </c>
      <c r="M1068" s="1">
        <v>69.599999999999994</v>
      </c>
      <c r="N1068" s="1">
        <v>5</v>
      </c>
      <c r="O1068" s="1">
        <v>14</v>
      </c>
      <c r="P1068" s="1">
        <v>5.5</v>
      </c>
      <c r="Q1068" s="11">
        <f>'Table H'!$J$30</f>
        <v>0.87933303189030187</v>
      </c>
      <c r="R1068" s="11">
        <f t="shared" si="32"/>
        <v>202413.67061082859</v>
      </c>
      <c r="S1068" s="11" t="str">
        <f t="shared" si="34"/>
        <v>Nantwich RD</v>
      </c>
      <c r="T1068" s="11" t="s">
        <v>5310</v>
      </c>
      <c r="V1068" s="11" t="str">
        <f>INDEX('Lookup 1961'!$A$2:$A$1300, MATCH(S1068, 'Lookup 1961'!$B$2:$B$1300,0))</f>
        <v>J04000877</v>
      </c>
      <c r="W1068" s="11" t="str">
        <f>INDEX('Lookup 1961'!$F$2:$F$1300, MATCH(S1068, 'Lookup 1961'!$B$2:$B$1300,0))</f>
        <v>e050115</v>
      </c>
      <c r="X1068" s="11" t="str">
        <f>INDEX('Lookup 1961'!$C$2:$C$1300, MATCH(V1068, 'Lookup 1961'!$A$2:$A$1300,0))</f>
        <v>Cheshire</v>
      </c>
    </row>
    <row r="1069" spans="1:24" ht="25.05" customHeight="1" x14ac:dyDescent="0.3">
      <c r="A1069" s="4" t="s">
        <v>205</v>
      </c>
      <c r="B1069" s="4" t="s">
        <v>205</v>
      </c>
      <c r="C1069" s="1">
        <v>21</v>
      </c>
      <c r="D1069" s="1">
        <v>0</v>
      </c>
      <c r="E1069" s="1">
        <v>14</v>
      </c>
      <c r="F1069" s="1">
        <v>0</v>
      </c>
      <c r="G1069" s="1">
        <v>14</v>
      </c>
      <c r="H1069" s="1">
        <v>5</v>
      </c>
      <c r="I1069" s="1">
        <v>14</v>
      </c>
      <c r="J1069" s="1">
        <v>0</v>
      </c>
      <c r="K1069" s="6">
        <v>1435</v>
      </c>
      <c r="L1069" s="6">
        <v>360185</v>
      </c>
      <c r="M1069" s="1">
        <v>69.400000000000006</v>
      </c>
      <c r="N1069" s="1">
        <v>6</v>
      </c>
      <c r="O1069" s="1">
        <v>5</v>
      </c>
      <c r="P1069" s="1">
        <v>9.6</v>
      </c>
      <c r="Q1069" s="11">
        <f>'Table H'!$J$30</f>
        <v>0.87933303189030187</v>
      </c>
      <c r="R1069" s="11">
        <f t="shared" si="32"/>
        <v>316722.56809140841</v>
      </c>
      <c r="S1069" s="11" t="str">
        <f t="shared" si="34"/>
        <v>Northwich RD</v>
      </c>
      <c r="T1069" s="11" t="s">
        <v>5310</v>
      </c>
      <c r="V1069" s="11" t="str">
        <f>INDEX('Lookup 1961'!$A$2:$A$1300, MATCH(S1069, 'Lookup 1961'!$B$2:$B$1300,0))</f>
        <v>J04000936</v>
      </c>
      <c r="W1069" s="11" t="str">
        <f>INDEX('Lookup 1961'!$F$2:$F$1300, MATCH(S1069, 'Lookup 1961'!$B$2:$B$1300,0))</f>
        <v>e050116</v>
      </c>
      <c r="X1069" s="11" t="str">
        <f>INDEX('Lookup 1961'!$C$2:$C$1300, MATCH(V1069, 'Lookup 1961'!$A$2:$A$1300,0))</f>
        <v>Cheshire</v>
      </c>
    </row>
    <row r="1070" spans="1:24" ht="25.05" customHeight="1" x14ac:dyDescent="0.3">
      <c r="A1070" s="4" t="s">
        <v>206</v>
      </c>
      <c r="B1070" s="4" t="s">
        <v>206</v>
      </c>
      <c r="C1070" s="1">
        <v>22</v>
      </c>
      <c r="D1070" s="1">
        <v>5</v>
      </c>
      <c r="E1070" s="1">
        <v>14</v>
      </c>
      <c r="F1070" s="1">
        <v>9</v>
      </c>
      <c r="G1070" s="1">
        <v>15</v>
      </c>
      <c r="H1070" s="1">
        <v>2</v>
      </c>
      <c r="I1070" s="1">
        <v>14</v>
      </c>
      <c r="J1070" s="1">
        <v>9</v>
      </c>
      <c r="K1070" s="6">
        <v>1571</v>
      </c>
      <c r="L1070" s="6">
        <v>386825</v>
      </c>
      <c r="M1070" s="1">
        <v>65.7</v>
      </c>
      <c r="N1070" s="1">
        <v>7</v>
      </c>
      <c r="O1070" s="1">
        <v>11</v>
      </c>
      <c r="P1070" s="1">
        <v>5.4</v>
      </c>
      <c r="Q1070" s="11">
        <f>'Table H'!$J$30</f>
        <v>0.87933303189030187</v>
      </c>
      <c r="R1070" s="11">
        <f t="shared" si="32"/>
        <v>340148.00006096601</v>
      </c>
      <c r="S1070" s="11" t="str">
        <f t="shared" si="34"/>
        <v>Runcorn RD</v>
      </c>
      <c r="T1070" s="11" t="s">
        <v>5310</v>
      </c>
      <c r="V1070" s="11" t="str">
        <f>INDEX('Lookup 1961'!$A$2:$A$1300, MATCH(S1070, 'Lookup 1961'!$B$2:$B$1300,0))</f>
        <v>J04001081</v>
      </c>
      <c r="W1070" s="11" t="str">
        <f>INDEX('Lookup 1961'!$F$2:$F$1300, MATCH(S1070, 'Lookup 1961'!$B$2:$B$1300,0))</f>
        <v>e050117</v>
      </c>
      <c r="X1070" s="11" t="str">
        <f>INDEX('Lookup 1961'!$C$2:$C$1300, MATCH(V1070, 'Lookup 1961'!$A$2:$A$1300,0))</f>
        <v>Cheshire</v>
      </c>
    </row>
    <row r="1071" spans="1:24" ht="25.05" customHeight="1" x14ac:dyDescent="0.3">
      <c r="A1071" s="4" t="s">
        <v>978</v>
      </c>
      <c r="B1071" s="4" t="s">
        <v>978</v>
      </c>
      <c r="C1071" s="1">
        <v>22</v>
      </c>
      <c r="D1071" s="1">
        <v>4</v>
      </c>
      <c r="E1071" s="1">
        <v>14</v>
      </c>
      <c r="F1071" s="1">
        <v>10</v>
      </c>
      <c r="G1071" s="1">
        <v>16</v>
      </c>
      <c r="H1071" s="1">
        <v>6</v>
      </c>
      <c r="I1071" s="1">
        <v>14</v>
      </c>
      <c r="J1071" s="1">
        <v>10</v>
      </c>
      <c r="K1071" s="6">
        <v>472</v>
      </c>
      <c r="L1071" s="6">
        <v>119871</v>
      </c>
      <c r="M1071" s="1">
        <v>43.8</v>
      </c>
      <c r="N1071" s="1">
        <v>5</v>
      </c>
      <c r="O1071" s="1">
        <v>19</v>
      </c>
      <c r="P1071" s="1">
        <v>3.2</v>
      </c>
      <c r="Q1071" s="11">
        <f>'Table H'!$J$30</f>
        <v>0.87933303189030187</v>
      </c>
      <c r="R1071" s="11">
        <f t="shared" si="32"/>
        <v>105406.52986572238</v>
      </c>
      <c r="S1071" s="11" t="str">
        <f t="shared" si="34"/>
        <v>Tarvin RD</v>
      </c>
      <c r="T1071" s="11" t="s">
        <v>5310</v>
      </c>
      <c r="V1071" s="11" t="str">
        <f>INDEX('Lookup 1961'!$A$2:$A$1300, MATCH(S1071, 'Lookup 1961'!$B$2:$B$1300,0))</f>
        <v>J04001250</v>
      </c>
      <c r="W1071" s="11" t="str">
        <f>INDEX('Lookup 1961'!$F$2:$F$1300, MATCH(S1071, 'Lookup 1961'!$B$2:$B$1300,0))</f>
        <v>e050119</v>
      </c>
      <c r="X1071" s="11" t="str">
        <f>INDEX('Lookup 1961'!$C$2:$C$1300, MATCH(V1071, 'Lookup 1961'!$A$2:$A$1300,0))</f>
        <v>Cheshire</v>
      </c>
    </row>
    <row r="1072" spans="1:24" ht="25.05" customHeight="1" x14ac:dyDescent="0.3">
      <c r="A1072" s="4" t="s">
        <v>979</v>
      </c>
      <c r="B1072" s="4" t="s">
        <v>979</v>
      </c>
      <c r="C1072" s="1">
        <v>20</v>
      </c>
      <c r="D1072" s="1">
        <v>9</v>
      </c>
      <c r="E1072" s="1">
        <v>14</v>
      </c>
      <c r="F1072" s="1">
        <v>8</v>
      </c>
      <c r="G1072" s="1">
        <v>14</v>
      </c>
      <c r="H1072" s="1">
        <v>8</v>
      </c>
      <c r="I1072" s="1">
        <v>14</v>
      </c>
      <c r="J1072" s="1">
        <v>8</v>
      </c>
      <c r="K1072" s="6">
        <v>125</v>
      </c>
      <c r="L1072" s="6">
        <v>31205</v>
      </c>
      <c r="M1072" s="1">
        <v>77.900000000000006</v>
      </c>
      <c r="N1072" s="1">
        <v>15</v>
      </c>
      <c r="O1072" s="1">
        <v>6</v>
      </c>
      <c r="P1072" s="1">
        <v>23.3</v>
      </c>
      <c r="Q1072" s="11">
        <f>'Table H'!$J$30</f>
        <v>0.87933303189030187</v>
      </c>
      <c r="R1072" s="11">
        <f t="shared" si="32"/>
        <v>27439.587260136868</v>
      </c>
      <c r="S1072" s="11" t="str">
        <f t="shared" si="34"/>
        <v>Tintwistle RD</v>
      </c>
      <c r="T1072" s="11" t="s">
        <v>5310</v>
      </c>
      <c r="V1072" s="11" t="str">
        <f>INDEX('Lookup 1961'!$A$2:$A$1300, MATCH(S1072, 'Lookup 1961'!$B$2:$B$1300,0))</f>
        <v>J04001277</v>
      </c>
      <c r="W1072" s="11" t="str">
        <f>INDEX('Lookup 1961'!$F$2:$F$1300, MATCH(S1072, 'Lookup 1961'!$B$2:$B$1300,0))</f>
        <v>e050120</v>
      </c>
      <c r="X1072" s="11" t="str">
        <f>INDEX('Lookup 1961'!$C$2:$C$1300, MATCH(V1072, 'Lookup 1961'!$A$2:$A$1300,0))</f>
        <v>Derbyshire</v>
      </c>
    </row>
    <row r="1073" spans="1:24" ht="25.05" customHeight="1" x14ac:dyDescent="0.3">
      <c r="A1073" s="4" t="s">
        <v>211</v>
      </c>
      <c r="B1073" s="4" t="s">
        <v>211</v>
      </c>
      <c r="S1073" s="11" t="str">
        <f t="shared" si="34"/>
        <v>CORNWALL: RD</v>
      </c>
      <c r="T1073" s="11" t="s">
        <v>5310</v>
      </c>
      <c r="V1073" s="11" t="e">
        <f>INDEX('Lookup 1961'!$A$2:$A$1300, MATCH(S1073, 'Lookup 1961'!$B$2:$B$1300,0))</f>
        <v>#N/A</v>
      </c>
      <c r="W1073" s="11" t="e">
        <f>INDEX('Lookup 1961'!$F$2:$F$1300, MATCH(S1073, 'Lookup 1961'!$B$2:$B$1300,0))</f>
        <v>#N/A</v>
      </c>
      <c r="X1073" s="11" t="e">
        <f>INDEX('Lookup 1961'!$C$2:$C$1300, MATCH(V1073, 'Lookup 1961'!$A$2:$A$1300,0))</f>
        <v>#N/A</v>
      </c>
    </row>
    <row r="1074" spans="1:24" ht="25.05" customHeight="1" x14ac:dyDescent="0.3">
      <c r="A1074" s="4" t="s">
        <v>980</v>
      </c>
      <c r="B1074" s="4" t="s">
        <v>980</v>
      </c>
      <c r="C1074" s="1">
        <v>21</v>
      </c>
      <c r="D1074" s="1">
        <v>0</v>
      </c>
      <c r="E1074" s="1">
        <v>15</v>
      </c>
      <c r="F1074" s="1">
        <v>1</v>
      </c>
      <c r="G1074" s="1">
        <v>16</v>
      </c>
      <c r="H1074" s="1">
        <v>0</v>
      </c>
      <c r="I1074" s="1">
        <v>14</v>
      </c>
      <c r="J1074" s="1">
        <v>11</v>
      </c>
      <c r="K1074" s="6">
        <v>219</v>
      </c>
      <c r="L1074" s="6">
        <v>56773</v>
      </c>
      <c r="M1074" s="1">
        <v>28.6</v>
      </c>
      <c r="N1074" s="1">
        <v>5</v>
      </c>
      <c r="O1074" s="1">
        <v>14</v>
      </c>
      <c r="P1074" s="1">
        <v>9.5</v>
      </c>
      <c r="Q1074" s="11">
        <f>'Table H'!$J$35</f>
        <v>0.91095086440998163</v>
      </c>
      <c r="R1074" s="11">
        <f t="shared" si="32"/>
        <v>51717.41342514789</v>
      </c>
      <c r="S1074" s="11" t="str">
        <f t="shared" si="34"/>
        <v>Camelford RD</v>
      </c>
      <c r="T1074" s="11" t="s">
        <v>5310</v>
      </c>
      <c r="V1074" s="11" t="str">
        <f>INDEX('Lookup 1961'!$A$2:$A$1300, MATCH(S1074, 'Lookup 1961'!$B$2:$B$1300,0))</f>
        <v>J04000257</v>
      </c>
      <c r="W1074" s="11" t="str">
        <f>INDEX('Lookup 1961'!$F$2:$F$1300, MATCH(S1074, 'Lookup 1961'!$B$2:$B$1300,0))</f>
        <v>e060138</v>
      </c>
      <c r="X1074" s="11" t="str">
        <f>INDEX('Lookup 1961'!$C$2:$C$1300, MATCH(V1074, 'Lookup 1961'!$A$2:$A$1300,0))</f>
        <v>Cornwall And Isles Of Scilly</v>
      </c>
    </row>
    <row r="1075" spans="1:24" ht="25.05" customHeight="1" x14ac:dyDescent="0.3">
      <c r="A1075" s="4" t="s">
        <v>981</v>
      </c>
      <c r="B1075" s="4" t="s">
        <v>981</v>
      </c>
      <c r="C1075" s="1">
        <v>21</v>
      </c>
      <c r="D1075" s="1">
        <v>10</v>
      </c>
      <c r="E1075" s="1">
        <v>15</v>
      </c>
      <c r="F1075" s="1">
        <v>0</v>
      </c>
      <c r="G1075" s="1">
        <v>15</v>
      </c>
      <c r="H1075" s="1">
        <v>10</v>
      </c>
      <c r="I1075" s="1">
        <v>15</v>
      </c>
      <c r="J1075" s="1">
        <v>0</v>
      </c>
      <c r="K1075" s="6">
        <v>591</v>
      </c>
      <c r="L1075" s="6">
        <v>150170</v>
      </c>
      <c r="M1075" s="1">
        <v>73.599999999999994</v>
      </c>
      <c r="N1075" s="1">
        <v>5</v>
      </c>
      <c r="O1075" s="1">
        <v>2</v>
      </c>
      <c r="P1075" s="1">
        <v>16.7</v>
      </c>
      <c r="Q1075" s="11">
        <f>'Table H'!$J$35</f>
        <v>0.91095086440998163</v>
      </c>
      <c r="R1075" s="11">
        <f t="shared" si="32"/>
        <v>136797.49130844694</v>
      </c>
      <c r="S1075" s="11" t="str">
        <f t="shared" si="34"/>
        <v>Kerrier RD</v>
      </c>
      <c r="T1075" s="11" t="s">
        <v>5310</v>
      </c>
      <c r="V1075" s="11" t="str">
        <f>INDEX('Lookup 1961'!$A$2:$A$1300, MATCH(S1075, 'Lookup 1961'!$B$2:$B$1300,0))</f>
        <v>J04000685</v>
      </c>
      <c r="W1075" s="11" t="str">
        <f>INDEX('Lookup 1961'!$F$2:$F$1300, MATCH(S1075, 'Lookup 1961'!$B$2:$B$1300,0))</f>
        <v>e060139</v>
      </c>
      <c r="X1075" s="11" t="str">
        <f>INDEX('Lookup 1961'!$C$2:$C$1300, MATCH(V1075, 'Lookup 1961'!$A$2:$A$1300,0))</f>
        <v>Cornwall And Isles Of Scilly</v>
      </c>
    </row>
    <row r="1076" spans="1:24" ht="25.05" customHeight="1" x14ac:dyDescent="0.3">
      <c r="A1076" s="4" t="s">
        <v>982</v>
      </c>
      <c r="B1076" s="4" t="s">
        <v>982</v>
      </c>
      <c r="C1076" s="1">
        <v>19</v>
      </c>
      <c r="D1076" s="1">
        <v>8</v>
      </c>
      <c r="E1076" s="1">
        <v>15</v>
      </c>
      <c r="F1076" s="1">
        <v>0</v>
      </c>
      <c r="G1076" s="1">
        <v>15</v>
      </c>
      <c r="H1076" s="1">
        <v>3</v>
      </c>
      <c r="I1076" s="1">
        <v>15</v>
      </c>
      <c r="J1076" s="1">
        <v>0</v>
      </c>
      <c r="K1076" s="6">
        <v>128</v>
      </c>
      <c r="L1076" s="6">
        <v>31572</v>
      </c>
      <c r="M1076" s="1">
        <v>17.8</v>
      </c>
      <c r="N1076" s="1">
        <v>3</v>
      </c>
      <c r="O1076" s="1">
        <v>11</v>
      </c>
      <c r="P1076" s="1">
        <v>10.7</v>
      </c>
      <c r="Q1076" s="11">
        <f>'Table H'!$J$35</f>
        <v>0.91095086440998163</v>
      </c>
      <c r="R1076" s="11">
        <f t="shared" si="32"/>
        <v>28760.540691151939</v>
      </c>
      <c r="S1076" s="11" t="str">
        <f t="shared" si="34"/>
        <v>Launceston RD</v>
      </c>
      <c r="T1076" s="11" t="s">
        <v>5310</v>
      </c>
      <c r="V1076" s="11" t="str">
        <f>INDEX('Lookup 1961'!$A$2:$A$1300, MATCH(S1076, 'Lookup 1961'!$B$2:$B$1300,0))</f>
        <v>J04000723</v>
      </c>
      <c r="W1076" s="11" t="str">
        <f>INDEX('Lookup 1961'!$F$2:$F$1300, MATCH(S1076, 'Lookup 1961'!$B$2:$B$1300,0))</f>
        <v>e060140</v>
      </c>
      <c r="X1076" s="11" t="str">
        <f>INDEX('Lookup 1961'!$C$2:$C$1300, MATCH(V1076, 'Lookup 1961'!$A$2:$A$1300,0))</f>
        <v>Cornwall And Isles Of Scilly</v>
      </c>
    </row>
    <row r="1077" spans="1:24" ht="25.05" customHeight="1" x14ac:dyDescent="0.3">
      <c r="A1077" s="4" t="s">
        <v>217</v>
      </c>
      <c r="B1077" s="4" t="s">
        <v>217</v>
      </c>
      <c r="C1077" s="1">
        <v>23</v>
      </c>
      <c r="D1077" s="1">
        <v>6</v>
      </c>
      <c r="E1077" s="1">
        <v>17</v>
      </c>
      <c r="F1077" s="1">
        <v>4</v>
      </c>
      <c r="G1077" s="1">
        <v>18</v>
      </c>
      <c r="H1077" s="1">
        <v>0</v>
      </c>
      <c r="I1077" s="1">
        <v>17</v>
      </c>
      <c r="J1077" s="1">
        <v>4</v>
      </c>
      <c r="K1077" s="6">
        <v>347</v>
      </c>
      <c r="L1077" s="6">
        <v>89950</v>
      </c>
      <c r="M1077" s="1">
        <v>30.2</v>
      </c>
      <c r="N1077" s="1">
        <v>5</v>
      </c>
      <c r="O1077" s="1">
        <v>8</v>
      </c>
      <c r="P1077" s="1">
        <v>0.5</v>
      </c>
      <c r="Q1077" s="11">
        <f>'Table H'!$J$35</f>
        <v>0.91095086440998163</v>
      </c>
      <c r="R1077" s="11">
        <f t="shared" si="32"/>
        <v>81940.030253677847</v>
      </c>
      <c r="S1077" s="11" t="str">
        <f t="shared" si="34"/>
        <v>Liskeard RD</v>
      </c>
      <c r="T1077" s="11" t="s">
        <v>5310</v>
      </c>
      <c r="V1077" s="11" t="str">
        <f>INDEX('Lookup 1961'!$A$2:$A$1300, MATCH(S1077, 'Lookup 1961'!$B$2:$B$1300,0))</f>
        <v>J04000749</v>
      </c>
      <c r="W1077" s="11" t="str">
        <f>INDEX('Lookup 1961'!$F$2:$F$1300, MATCH(S1077, 'Lookup 1961'!$B$2:$B$1300,0))</f>
        <v>e060141</v>
      </c>
      <c r="X1077" s="11" t="str">
        <f>INDEX('Lookup 1961'!$C$2:$C$1300, MATCH(V1077, 'Lookup 1961'!$A$2:$A$1300,0))</f>
        <v>Cornwall And Isles Of Scilly</v>
      </c>
    </row>
    <row r="1078" spans="1:24" ht="25.05" customHeight="1" x14ac:dyDescent="0.3">
      <c r="A1078" s="4" t="s">
        <v>229</v>
      </c>
      <c r="B1078" s="4" t="s">
        <v>229</v>
      </c>
      <c r="C1078" s="1">
        <v>23</v>
      </c>
      <c r="D1078" s="1">
        <v>0</v>
      </c>
      <c r="E1078" s="1">
        <v>15</v>
      </c>
      <c r="F1078" s="1">
        <v>10</v>
      </c>
      <c r="G1078" s="1">
        <v>16</v>
      </c>
      <c r="H1078" s="1">
        <v>8</v>
      </c>
      <c r="I1078" s="1">
        <v>15</v>
      </c>
      <c r="J1078" s="1">
        <v>10</v>
      </c>
      <c r="K1078" s="6">
        <v>570</v>
      </c>
      <c r="L1078" s="6">
        <v>139227</v>
      </c>
      <c r="M1078" s="1">
        <v>58.8</v>
      </c>
      <c r="N1078" s="1">
        <v>5</v>
      </c>
      <c r="O1078" s="1">
        <v>5</v>
      </c>
      <c r="P1078" s="1">
        <v>16.7</v>
      </c>
      <c r="Q1078" s="11">
        <f>'Table H'!$J$35</f>
        <v>0.91095086440998163</v>
      </c>
      <c r="R1078" s="11">
        <f t="shared" si="32"/>
        <v>126828.95599920851</v>
      </c>
      <c r="S1078" s="11" t="str">
        <f t="shared" si="34"/>
        <v>St. Austell RD</v>
      </c>
      <c r="T1078" s="11" t="s">
        <v>5310</v>
      </c>
      <c r="V1078" s="11" t="str">
        <f>INDEX('Lookup 1961'!$A$2:$A$1300, MATCH(S1078, 'Lookup 1961'!$B$2:$B$1300,0))</f>
        <v>J04001182</v>
      </c>
      <c r="W1078" s="11" t="str">
        <f>INDEX('Lookup 1961'!$F$2:$F$1300, MATCH(S1078, 'Lookup 1961'!$B$2:$B$1300,0))</f>
        <v>e060142</v>
      </c>
      <c r="X1078" s="11" t="str">
        <f>INDEX('Lookup 1961'!$C$2:$C$1300, MATCH(V1078, 'Lookup 1961'!$A$2:$A$1300,0))</f>
        <v>Cornwall And Isles Of Scilly</v>
      </c>
    </row>
    <row r="1079" spans="1:24" ht="25.05" customHeight="1" x14ac:dyDescent="0.3">
      <c r="A1079" s="4" t="s">
        <v>983</v>
      </c>
      <c r="B1079" s="4" t="s">
        <v>983</v>
      </c>
      <c r="C1079" s="1">
        <v>21</v>
      </c>
      <c r="D1079" s="1">
        <v>4</v>
      </c>
      <c r="E1079" s="1">
        <v>13</v>
      </c>
      <c r="F1079" s="1">
        <v>10</v>
      </c>
      <c r="G1079" s="1">
        <v>14</v>
      </c>
      <c r="H1079" s="1">
        <v>6</v>
      </c>
      <c r="I1079" s="1">
        <v>13</v>
      </c>
      <c r="J1079" s="1">
        <v>4</v>
      </c>
      <c r="K1079" s="6">
        <v>507</v>
      </c>
      <c r="L1079" s="6">
        <v>127549</v>
      </c>
      <c r="M1079" s="1">
        <v>96.2</v>
      </c>
      <c r="N1079" s="1">
        <v>5</v>
      </c>
      <c r="O1079" s="1">
        <v>8</v>
      </c>
      <c r="P1079" s="1">
        <v>24.1</v>
      </c>
      <c r="Q1079" s="11">
        <f>'Table H'!$J$35</f>
        <v>0.91095086440998163</v>
      </c>
      <c r="R1079" s="11">
        <f t="shared" si="32"/>
        <v>116190.87180462875</v>
      </c>
      <c r="S1079" s="11" t="str">
        <f t="shared" si="34"/>
        <v>St. Germans RD</v>
      </c>
      <c r="T1079" s="11" t="s">
        <v>5310</v>
      </c>
      <c r="V1079" s="11" t="str">
        <f>INDEX('Lookup 1961'!$A$2:$A$1300, MATCH(S1079, 'Lookup 1961'!$B$2:$B$1300,0))</f>
        <v>J04001185</v>
      </c>
      <c r="W1079" s="11" t="str">
        <f>INDEX('Lookup 1961'!$F$2:$F$1300, MATCH(S1079, 'Lookup 1961'!$B$2:$B$1300,0))</f>
        <v>e060143</v>
      </c>
      <c r="X1079" s="11" t="str">
        <f>INDEX('Lookup 1961'!$C$2:$C$1300, MATCH(V1079, 'Lookup 1961'!$A$2:$A$1300,0))</f>
        <v>Cornwall And Isles Of Scilly</v>
      </c>
    </row>
    <row r="1080" spans="1:24" ht="25.05" customHeight="1" x14ac:dyDescent="0.3">
      <c r="A1080" s="4" t="s">
        <v>984</v>
      </c>
      <c r="B1080" s="4" t="s">
        <v>984</v>
      </c>
      <c r="C1080" s="1">
        <v>21</v>
      </c>
      <c r="D1080" s="1">
        <v>10</v>
      </c>
      <c r="E1080" s="1">
        <v>16</v>
      </c>
      <c r="F1080" s="1">
        <v>5</v>
      </c>
      <c r="G1080" s="1">
        <v>16</v>
      </c>
      <c r="H1080" s="1">
        <v>10</v>
      </c>
      <c r="I1080" s="1">
        <v>16</v>
      </c>
      <c r="J1080" s="1">
        <v>6</v>
      </c>
      <c r="K1080" s="6">
        <v>138</v>
      </c>
      <c r="L1080" s="6">
        <v>35396</v>
      </c>
      <c r="M1080" s="1">
        <v>25.8</v>
      </c>
      <c r="N1080" s="1">
        <v>5</v>
      </c>
      <c r="O1080" s="1">
        <v>10</v>
      </c>
      <c r="P1080" s="1">
        <v>4.8</v>
      </c>
      <c r="Q1080" s="11">
        <f>'Table H'!$J$35</f>
        <v>0.91095086440998163</v>
      </c>
      <c r="R1080" s="11">
        <f t="shared" si="32"/>
        <v>32244.016796655709</v>
      </c>
      <c r="S1080" s="11" t="str">
        <f t="shared" si="34"/>
        <v>Stratton RD</v>
      </c>
      <c r="T1080" s="11" t="s">
        <v>5310</v>
      </c>
      <c r="V1080" s="11" t="str">
        <f>INDEX('Lookup 1961'!$A$2:$A$1300, MATCH(S1080, 'Lookup 1961'!$B$2:$B$1300,0))</f>
        <v>J04001222</v>
      </c>
      <c r="W1080" s="11" t="str">
        <f>INDEX('Lookup 1961'!$F$2:$F$1300, MATCH(S1080, 'Lookup 1961'!$B$2:$B$1300,0))</f>
        <v>e060144</v>
      </c>
      <c r="X1080" s="11" t="str">
        <f>INDEX('Lookup 1961'!$C$2:$C$1300, MATCH(V1080, 'Lookup 1961'!$A$2:$A$1300,0))</f>
        <v>Cornwall And Isles Of Scilly</v>
      </c>
    </row>
    <row r="1081" spans="1:24" ht="25.05" customHeight="1" x14ac:dyDescent="0.3">
      <c r="A1081" s="4" t="s">
        <v>223</v>
      </c>
      <c r="B1081" s="4" t="s">
        <v>223</v>
      </c>
      <c r="C1081" s="1">
        <v>22</v>
      </c>
      <c r="D1081" s="1">
        <v>10</v>
      </c>
      <c r="E1081" s="1">
        <v>15</v>
      </c>
      <c r="F1081" s="1">
        <v>8</v>
      </c>
      <c r="G1081" s="1">
        <v>16</v>
      </c>
      <c r="H1081" s="1">
        <v>6</v>
      </c>
      <c r="I1081" s="1">
        <v>15</v>
      </c>
      <c r="J1081" s="1">
        <v>8</v>
      </c>
      <c r="K1081" s="6">
        <v>851</v>
      </c>
      <c r="L1081" s="6">
        <v>211049</v>
      </c>
      <c r="M1081" s="1">
        <v>115.9</v>
      </c>
      <c r="N1081" s="1">
        <v>6</v>
      </c>
      <c r="O1081" s="1">
        <v>3</v>
      </c>
      <c r="P1081" s="1">
        <v>40.9</v>
      </c>
      <c r="Q1081" s="11">
        <f>'Table H'!$J$35</f>
        <v>0.91095086440998163</v>
      </c>
      <c r="R1081" s="11">
        <f t="shared" si="32"/>
        <v>192255.26898286221</v>
      </c>
      <c r="S1081" s="11" t="str">
        <f t="shared" si="34"/>
        <v>Truro RD</v>
      </c>
      <c r="T1081" s="11" t="s">
        <v>5310</v>
      </c>
      <c r="V1081" s="11" t="str">
        <f>INDEX('Lookup 1961'!$A$2:$A$1300, MATCH(S1081, 'Lookup 1961'!$B$2:$B$1300,0))</f>
        <v>J04001299</v>
      </c>
      <c r="W1081" s="11" t="str">
        <f>INDEX('Lookup 1961'!$F$2:$F$1300, MATCH(S1081, 'Lookup 1961'!$B$2:$B$1300,0))</f>
        <v>e060145</v>
      </c>
      <c r="X1081" s="11" t="str">
        <f>INDEX('Lookup 1961'!$C$2:$C$1300, MATCH(V1081, 'Lookup 1961'!$A$2:$A$1300,0))</f>
        <v>Cornwall And Isles Of Scilly</v>
      </c>
    </row>
    <row r="1082" spans="1:24" ht="25.05" customHeight="1" x14ac:dyDescent="0.3">
      <c r="A1082" s="4" t="s">
        <v>985</v>
      </c>
      <c r="B1082" s="4" t="s">
        <v>985</v>
      </c>
      <c r="C1082" s="1">
        <v>23</v>
      </c>
      <c r="D1082" s="1">
        <v>0</v>
      </c>
      <c r="E1082" s="1">
        <v>16</v>
      </c>
      <c r="F1082" s="1">
        <v>4</v>
      </c>
      <c r="G1082" s="1">
        <v>17</v>
      </c>
      <c r="H1082" s="1">
        <v>2</v>
      </c>
      <c r="I1082" s="1">
        <v>16</v>
      </c>
      <c r="J1082" s="1">
        <v>4</v>
      </c>
      <c r="K1082" s="6">
        <v>496</v>
      </c>
      <c r="L1082" s="6">
        <v>127769</v>
      </c>
      <c r="M1082" s="1">
        <v>54.2</v>
      </c>
      <c r="N1082" s="1">
        <v>6</v>
      </c>
      <c r="O1082" s="1">
        <v>10</v>
      </c>
      <c r="P1082" s="1">
        <v>9.4</v>
      </c>
      <c r="Q1082" s="11">
        <f>'Table H'!$J$35</f>
        <v>0.91095086440998163</v>
      </c>
      <c r="R1082" s="11">
        <f t="shared" si="32"/>
        <v>116391.28099479894</v>
      </c>
      <c r="S1082" s="11" t="str">
        <f t="shared" si="34"/>
        <v>Wadebridge RD</v>
      </c>
      <c r="T1082" s="11" t="s">
        <v>5310</v>
      </c>
      <c r="V1082" s="11" t="str">
        <f>INDEX('Lookup 1961'!$A$2:$A$1300, MATCH(S1082, 'Lookup 1961'!$B$2:$B$1300,0))</f>
        <v>J04001320</v>
      </c>
      <c r="W1082" s="11" t="str">
        <f>INDEX('Lookup 1961'!$F$2:$F$1300, MATCH(S1082, 'Lookup 1961'!$B$2:$B$1300,0))</f>
        <v>e060146</v>
      </c>
      <c r="X1082" s="11" t="str">
        <f>INDEX('Lookup 1961'!$C$2:$C$1300, MATCH(V1082, 'Lookup 1961'!$A$2:$A$1300,0))</f>
        <v>Cornwall And Isles Of Scilly</v>
      </c>
    </row>
    <row r="1083" spans="1:24" ht="25.05" customHeight="1" x14ac:dyDescent="0.3">
      <c r="A1083" s="4" t="s">
        <v>986</v>
      </c>
      <c r="B1083" s="4" t="s">
        <v>986</v>
      </c>
      <c r="C1083" s="1">
        <v>19</v>
      </c>
      <c r="D1083" s="1">
        <v>2</v>
      </c>
      <c r="E1083" s="1">
        <v>14</v>
      </c>
      <c r="F1083" s="1">
        <v>6</v>
      </c>
      <c r="G1083" s="1">
        <v>16</v>
      </c>
      <c r="H1083" s="1">
        <v>8</v>
      </c>
      <c r="I1083" s="1">
        <v>14</v>
      </c>
      <c r="J1083" s="1">
        <v>6</v>
      </c>
      <c r="K1083" s="6">
        <v>474</v>
      </c>
      <c r="L1083" s="6">
        <v>126133</v>
      </c>
      <c r="M1083" s="1">
        <v>92.1</v>
      </c>
      <c r="N1083" s="1">
        <v>5</v>
      </c>
      <c r="O1083" s="1">
        <v>0</v>
      </c>
      <c r="P1083" s="1">
        <v>27.6</v>
      </c>
      <c r="Q1083" s="11">
        <f>'Table H'!$J$35</f>
        <v>0.91095086440998163</v>
      </c>
      <c r="R1083" s="11">
        <f t="shared" si="32"/>
        <v>114900.96538062421</v>
      </c>
      <c r="S1083" s="11" t="str">
        <f t="shared" si="34"/>
        <v>West Penwith RD</v>
      </c>
      <c r="T1083" s="11" t="s">
        <v>5310</v>
      </c>
      <c r="V1083" s="11" t="str">
        <f>INDEX('Lookup 1961'!$A$2:$A$1300, MATCH(S1083, 'Lookup 1961'!$B$2:$B$1300,0))</f>
        <v>J04001388</v>
      </c>
      <c r="W1083" s="11" t="str">
        <f>INDEX('Lookup 1961'!$F$2:$F$1300, MATCH(S1083, 'Lookup 1961'!$B$2:$B$1300,0))</f>
        <v>e060147</v>
      </c>
      <c r="X1083" s="11" t="str">
        <f>INDEX('Lookup 1961'!$C$2:$C$1300, MATCH(V1083, 'Lookup 1961'!$A$2:$A$1300,0))</f>
        <v>Cornwall And Isles Of Scilly</v>
      </c>
    </row>
    <row r="1084" spans="1:24" ht="25.05" customHeight="1" x14ac:dyDescent="0.3">
      <c r="A1084" s="10" t="s">
        <v>987</v>
      </c>
      <c r="B1084" s="10" t="s">
        <v>987</v>
      </c>
      <c r="C1084" s="1">
        <v>21</v>
      </c>
      <c r="D1084" s="1">
        <v>6</v>
      </c>
      <c r="E1084" s="1">
        <v>16</v>
      </c>
      <c r="F1084" s="1">
        <v>7</v>
      </c>
      <c r="J1084" s="6"/>
      <c r="K1084" s="6">
        <v>88</v>
      </c>
      <c r="L1084" s="6">
        <v>21301</v>
      </c>
      <c r="M1084" s="6">
        <v>188.6</v>
      </c>
      <c r="N1084" s="6">
        <v>9</v>
      </c>
      <c r="O1084" s="6">
        <v>0</v>
      </c>
      <c r="P1084" s="6">
        <v>134.80000000000001</v>
      </c>
      <c r="R1084" s="11">
        <v>21301</v>
      </c>
      <c r="S1084" s="11" t="str">
        <f t="shared" si="34"/>
        <v>ISLES OF SCILLY RD</v>
      </c>
      <c r="T1084" s="11" t="s">
        <v>5310</v>
      </c>
      <c r="V1084" s="11" t="str">
        <f>INDEX('Lookup 1961'!$A$2:$A$1300, MATCH(S1084, 'Lookup 1961'!$B$2:$B$1300,0))</f>
        <v>J04000676</v>
      </c>
      <c r="W1084" s="11" t="str">
        <f>INDEX('Lookup 1961'!$F$2:$F$1300, MATCH(S1084, 'Lookup 1961'!$B$2:$B$1300,0))</f>
        <v>e060148</v>
      </c>
      <c r="X1084" s="11" t="str">
        <f>INDEX('Lookup 1961'!$C$2:$C$1300, MATCH(V1084, 'Lookup 1961'!$A$2:$A$1300,0))</f>
        <v>Cornwall And Isles Of Scilly</v>
      </c>
    </row>
    <row r="1085" spans="1:24" ht="25.05" customHeight="1" x14ac:dyDescent="0.3">
      <c r="A1085" s="4" t="s">
        <v>232</v>
      </c>
      <c r="B1085" s="4" t="s">
        <v>232</v>
      </c>
      <c r="S1085" s="11" t="str">
        <f t="shared" si="34"/>
        <v>CUMBERLAND: RD</v>
      </c>
      <c r="T1085" s="11" t="s">
        <v>5310</v>
      </c>
      <c r="V1085" s="11" t="e">
        <f>INDEX('Lookup 1961'!$A$2:$A$1300, MATCH(S1085, 'Lookup 1961'!$B$2:$B$1300,0))</f>
        <v>#N/A</v>
      </c>
      <c r="W1085" s="11" t="e">
        <f>INDEX('Lookup 1961'!$F$2:$F$1300, MATCH(S1085, 'Lookup 1961'!$B$2:$B$1300,0))</f>
        <v>#N/A</v>
      </c>
      <c r="X1085" s="11" t="e">
        <f>INDEX('Lookup 1961'!$C$2:$C$1300, MATCH(V1085, 'Lookup 1961'!$A$2:$A$1300,0))</f>
        <v>#N/A</v>
      </c>
    </row>
    <row r="1086" spans="1:24" ht="25.05" customHeight="1" x14ac:dyDescent="0.3">
      <c r="A1086" s="4" t="s">
        <v>988</v>
      </c>
      <c r="B1086" s="4" t="s">
        <v>988</v>
      </c>
      <c r="C1086" s="1">
        <v>25</v>
      </c>
      <c r="D1086" s="1">
        <v>0</v>
      </c>
      <c r="E1086" s="1">
        <v>18</v>
      </c>
      <c r="F1086" s="1">
        <v>8</v>
      </c>
      <c r="G1086" s="1">
        <v>18</v>
      </c>
      <c r="H1086" s="1">
        <v>8</v>
      </c>
      <c r="I1086" s="1">
        <v>18</v>
      </c>
      <c r="J1086" s="6">
        <v>8</v>
      </c>
      <c r="K1086" s="6">
        <v>60</v>
      </c>
      <c r="L1086" s="6">
        <v>15684</v>
      </c>
      <c r="M1086" s="1">
        <v>59.6</v>
      </c>
      <c r="N1086" s="6">
        <v>6</v>
      </c>
      <c r="O1086" s="6">
        <v>1</v>
      </c>
      <c r="P1086" s="6">
        <v>19.2</v>
      </c>
      <c r="Q1086" s="11">
        <f>'Table H'!$J$40</f>
        <v>0.79379012088370149</v>
      </c>
      <c r="R1086" s="11">
        <f t="shared" si="32"/>
        <v>12449.804255939975</v>
      </c>
      <c r="S1086" s="11" t="str">
        <f t="shared" si="34"/>
        <v>Alston with Garrigill RD</v>
      </c>
      <c r="T1086" s="11" t="s">
        <v>5310</v>
      </c>
      <c r="V1086" s="11" t="str">
        <f>INDEX('Lookup 1961'!$A$2:$A$1300, MATCH(S1086, 'Lookup 1961'!$B$2:$B$1300,0))</f>
        <v>J04000031</v>
      </c>
      <c r="W1086" s="11" t="str">
        <f>INDEX('Lookup 1961'!$F$2:$F$1300, MATCH(S1086, 'Lookup 1961'!$B$2:$B$1300,0))</f>
        <v>e070156</v>
      </c>
      <c r="X1086" s="11" t="str">
        <f>INDEX('Lookup 1961'!$C$2:$C$1300, MATCH(V1086, 'Lookup 1961'!$A$2:$A$1300,0))</f>
        <v>Cumbria</v>
      </c>
    </row>
    <row r="1087" spans="1:24" ht="25.05" customHeight="1" x14ac:dyDescent="0.3">
      <c r="A1087" s="4" t="s">
        <v>989</v>
      </c>
      <c r="B1087" s="4" t="s">
        <v>989</v>
      </c>
      <c r="C1087" s="1">
        <v>21</v>
      </c>
      <c r="D1087" s="1">
        <v>1</v>
      </c>
      <c r="E1087" s="1">
        <v>16</v>
      </c>
      <c r="F1087" s="1">
        <v>0</v>
      </c>
      <c r="G1087" s="1">
        <v>17</v>
      </c>
      <c r="H1087" s="1">
        <v>10</v>
      </c>
      <c r="I1087" s="1">
        <v>15</v>
      </c>
      <c r="J1087" s="1">
        <v>8</v>
      </c>
      <c r="K1087" s="6">
        <v>906</v>
      </c>
      <c r="L1087" s="6">
        <v>232045</v>
      </c>
      <c r="M1087" s="1">
        <v>28</v>
      </c>
      <c r="N1087" s="1">
        <v>8</v>
      </c>
      <c r="O1087" s="1">
        <v>13</v>
      </c>
      <c r="P1087" s="1">
        <v>35.5</v>
      </c>
      <c r="Q1087" s="11">
        <f>'Table H'!$J$40</f>
        <v>0.79379012088370149</v>
      </c>
      <c r="R1087" s="11">
        <f t="shared" si="32"/>
        <v>184195.02860045852</v>
      </c>
      <c r="S1087" s="11" t="str">
        <f t="shared" si="34"/>
        <v>Border RD</v>
      </c>
      <c r="T1087" s="11" t="s">
        <v>5310</v>
      </c>
      <c r="V1087" s="11" t="str">
        <f>INDEX('Lookup 1961'!$A$2:$A$1300, MATCH(S1087, 'Lookup 1961'!$B$2:$B$1300,0))</f>
        <v>J04000175</v>
      </c>
      <c r="W1087" s="11" t="str">
        <f>INDEX('Lookup 1961'!$F$2:$F$1300, MATCH(S1087, 'Lookup 1961'!$B$2:$B$1300,0))</f>
        <v>e070157</v>
      </c>
      <c r="X1087" s="11" t="str">
        <f>INDEX('Lookup 1961'!$C$2:$C$1300, MATCH(V1087, 'Lookup 1961'!$A$2:$A$1300,0))</f>
        <v>Cumbria</v>
      </c>
    </row>
    <row r="1088" spans="1:24" ht="25.05" customHeight="1" x14ac:dyDescent="0.3">
      <c r="A1088" s="4" t="s">
        <v>235</v>
      </c>
      <c r="B1088" s="4" t="s">
        <v>235</v>
      </c>
      <c r="C1088" s="1">
        <v>22</v>
      </c>
      <c r="D1088" s="1">
        <v>8</v>
      </c>
      <c r="E1088" s="1">
        <v>17</v>
      </c>
      <c r="F1088" s="1">
        <v>8</v>
      </c>
      <c r="G1088" s="1">
        <v>19</v>
      </c>
      <c r="H1088" s="1">
        <v>0</v>
      </c>
      <c r="I1088" s="1">
        <v>17</v>
      </c>
      <c r="J1088" s="6">
        <v>0</v>
      </c>
      <c r="K1088" s="6">
        <v>585</v>
      </c>
      <c r="L1088" s="6">
        <v>152813</v>
      </c>
      <c r="M1088" s="6">
        <v>53.8</v>
      </c>
      <c r="N1088" s="6">
        <v>7</v>
      </c>
      <c r="O1088" s="6">
        <v>3</v>
      </c>
      <c r="P1088" s="6">
        <v>27.2</v>
      </c>
      <c r="Q1088" s="11">
        <f>'Table H'!$J$40</f>
        <v>0.79379012088370149</v>
      </c>
      <c r="R1088" s="11">
        <f t="shared" si="32"/>
        <v>121301.44974260108</v>
      </c>
      <c r="S1088" s="11" t="str">
        <f t="shared" si="34"/>
        <v>Cockermouth RD</v>
      </c>
      <c r="T1088" s="11" t="s">
        <v>5310</v>
      </c>
      <c r="V1088" s="11" t="str">
        <f>INDEX('Lookup 1961'!$A$2:$A$1300, MATCH(S1088, 'Lookup 1961'!$B$2:$B$1300,0))</f>
        <v>J04000334</v>
      </c>
      <c r="W1088" s="11" t="str">
        <f>INDEX('Lookup 1961'!$F$2:$F$1300, MATCH(S1088, 'Lookup 1961'!$B$2:$B$1300,0))</f>
        <v>e070158</v>
      </c>
      <c r="X1088" s="11" t="str">
        <f>INDEX('Lookup 1961'!$C$2:$C$1300, MATCH(V1088, 'Lookup 1961'!$A$2:$A$1300,0))</f>
        <v>Cumbria</v>
      </c>
    </row>
    <row r="1089" spans="1:24" ht="25.05" customHeight="1" x14ac:dyDescent="0.3">
      <c r="A1089" s="4" t="s">
        <v>990</v>
      </c>
      <c r="B1089" s="4" t="s">
        <v>990</v>
      </c>
      <c r="C1089" s="1">
        <v>23</v>
      </c>
      <c r="D1089" s="1">
        <v>10</v>
      </c>
      <c r="E1089" s="1">
        <v>18</v>
      </c>
      <c r="F1089" s="1">
        <v>4</v>
      </c>
      <c r="G1089" s="1">
        <v>19</v>
      </c>
      <c r="H1089" s="1">
        <v>11</v>
      </c>
      <c r="I1089" s="1">
        <v>18</v>
      </c>
      <c r="J1089" s="1">
        <v>10</v>
      </c>
      <c r="K1089" s="6">
        <v>665</v>
      </c>
      <c r="L1089" s="6">
        <v>186477</v>
      </c>
      <c r="M1089" s="1">
        <v>38.6</v>
      </c>
      <c r="N1089" s="1">
        <v>5</v>
      </c>
      <c r="O1089" s="1">
        <v>12</v>
      </c>
      <c r="P1089" s="1">
        <v>5.0999999999999996</v>
      </c>
      <c r="Q1089" s="11">
        <f>'Table H'!$J$40</f>
        <v>0.79379012088370149</v>
      </c>
      <c r="R1089" s="11">
        <f t="shared" si="32"/>
        <v>148023.60037202999</v>
      </c>
      <c r="S1089" s="11" t="str">
        <f t="shared" si="34"/>
        <v>Ennerdale RD</v>
      </c>
      <c r="T1089" s="11" t="s">
        <v>5310</v>
      </c>
      <c r="V1089" s="11" t="str">
        <f>INDEX('Lookup 1961'!$A$2:$A$1300, MATCH(S1089, 'Lookup 1961'!$B$2:$B$1300,0))</f>
        <v>J04000474</v>
      </c>
      <c r="W1089" s="11" t="str">
        <f>INDEX('Lookup 1961'!$F$2:$F$1300, MATCH(S1089, 'Lookup 1961'!$B$2:$B$1300,0))</f>
        <v>e070159</v>
      </c>
      <c r="X1089" s="11" t="str">
        <f>INDEX('Lookup 1961'!$C$2:$C$1300, MATCH(V1089, 'Lookup 1961'!$A$2:$A$1300,0))</f>
        <v>Cumbria</v>
      </c>
    </row>
    <row r="1090" spans="1:24" ht="25.05" customHeight="1" x14ac:dyDescent="0.3">
      <c r="A1090" s="4" t="s">
        <v>991</v>
      </c>
      <c r="B1090" s="4" t="s">
        <v>991</v>
      </c>
      <c r="C1090" s="1">
        <v>27</v>
      </c>
      <c r="D1090" s="1">
        <v>4</v>
      </c>
      <c r="E1090" s="1">
        <v>20</v>
      </c>
      <c r="F1090" s="1">
        <v>0</v>
      </c>
      <c r="G1090" s="1">
        <v>20</v>
      </c>
      <c r="H1090" s="1">
        <v>8</v>
      </c>
      <c r="I1090" s="1">
        <v>20</v>
      </c>
      <c r="J1090" s="6">
        <v>0</v>
      </c>
      <c r="K1090" s="6">
        <v>409</v>
      </c>
      <c r="L1090" s="6">
        <v>102718</v>
      </c>
      <c r="M1090" s="6">
        <v>45.86</v>
      </c>
      <c r="N1090" s="6">
        <v>6</v>
      </c>
      <c r="O1090" s="6">
        <v>18</v>
      </c>
      <c r="P1090" s="6">
        <v>3.7</v>
      </c>
      <c r="Q1090" s="11">
        <f>'Table H'!$J$40</f>
        <v>0.79379012088370149</v>
      </c>
      <c r="R1090" s="11">
        <f t="shared" si="32"/>
        <v>81536.533636932043</v>
      </c>
      <c r="S1090" s="11" t="str">
        <f t="shared" si="34"/>
        <v>Millom RD</v>
      </c>
      <c r="T1090" s="11" t="s">
        <v>5310</v>
      </c>
      <c r="V1090" s="11" t="str">
        <f>INDEX('Lookup 1961'!$A$2:$A$1300, MATCH(S1090, 'Lookup 1961'!$B$2:$B$1300,0))</f>
        <v>J04000858</v>
      </c>
      <c r="W1090" s="11" t="str">
        <f>INDEX('Lookup 1961'!$F$2:$F$1300, MATCH(S1090, 'Lookup 1961'!$B$2:$B$1300,0))</f>
        <v>e070160</v>
      </c>
      <c r="X1090" s="11" t="str">
        <f>INDEX('Lookup 1961'!$C$2:$C$1300, MATCH(V1090, 'Lookup 1961'!$A$2:$A$1300,0))</f>
        <v>Cumbria</v>
      </c>
    </row>
    <row r="1091" spans="1:24" ht="25.05" customHeight="1" x14ac:dyDescent="0.3">
      <c r="A1091" s="4" t="s">
        <v>238</v>
      </c>
      <c r="B1091" s="4" t="s">
        <v>238</v>
      </c>
      <c r="C1091" s="1">
        <v>21</v>
      </c>
      <c r="D1091" s="1">
        <v>11</v>
      </c>
      <c r="E1091" s="1">
        <v>15</v>
      </c>
      <c r="F1091" s="1">
        <v>11</v>
      </c>
      <c r="G1091" s="1">
        <v>16</v>
      </c>
      <c r="H1091" s="1">
        <v>4</v>
      </c>
      <c r="I1091" s="1">
        <v>15</v>
      </c>
      <c r="J1091" s="1">
        <v>11</v>
      </c>
      <c r="K1091" s="6">
        <v>355</v>
      </c>
      <c r="L1091" s="6">
        <v>89728</v>
      </c>
      <c r="M1091" s="1">
        <v>70.2</v>
      </c>
      <c r="N1091" s="1">
        <v>6</v>
      </c>
      <c r="O1091" s="1">
        <v>1</v>
      </c>
      <c r="P1091" s="1">
        <v>23.3</v>
      </c>
      <c r="Q1091" s="11">
        <f>'Table H'!$J$40</f>
        <v>0.79379012088370149</v>
      </c>
      <c r="R1091" s="11">
        <f t="shared" si="32"/>
        <v>71225.19996665277</v>
      </c>
      <c r="S1091" s="11" t="str">
        <f t="shared" si="34"/>
        <v>Penrith RD</v>
      </c>
      <c r="T1091" s="11" t="s">
        <v>5310</v>
      </c>
      <c r="V1091" s="11" t="str">
        <f>INDEX('Lookup 1961'!$A$2:$A$1300, MATCH(S1091, 'Lookup 1961'!$B$2:$B$1300,0))</f>
        <v>J04000981</v>
      </c>
      <c r="W1091" s="11" t="str">
        <f>INDEX('Lookup 1961'!$F$2:$F$1300, MATCH(S1091, 'Lookup 1961'!$B$2:$B$1300,0))</f>
        <v>e070161</v>
      </c>
      <c r="X1091" s="11" t="str">
        <f>INDEX('Lookup 1961'!$C$2:$C$1300, MATCH(V1091, 'Lookup 1961'!$A$2:$A$1300,0))</f>
        <v>Cumbria</v>
      </c>
    </row>
    <row r="1092" spans="1:24" ht="25.05" customHeight="1" x14ac:dyDescent="0.3">
      <c r="A1092" s="4" t="s">
        <v>992</v>
      </c>
      <c r="B1092" s="4" t="s">
        <v>992</v>
      </c>
      <c r="C1092" s="1">
        <v>23</v>
      </c>
      <c r="D1092" s="1">
        <v>8</v>
      </c>
      <c r="E1092" s="1">
        <v>18</v>
      </c>
      <c r="F1092" s="1">
        <v>6</v>
      </c>
      <c r="G1092" s="1">
        <v>19</v>
      </c>
      <c r="H1092" s="1">
        <v>8</v>
      </c>
      <c r="I1092" s="1">
        <v>18</v>
      </c>
      <c r="J1092" s="6">
        <v>6</v>
      </c>
      <c r="K1092" s="6">
        <v>682</v>
      </c>
      <c r="L1092" s="6">
        <v>180135</v>
      </c>
      <c r="M1092" s="6">
        <v>38.799999999999997</v>
      </c>
      <c r="N1092" s="6">
        <v>8</v>
      </c>
      <c r="O1092" s="6">
        <v>8</v>
      </c>
      <c r="P1092" s="6">
        <v>32.200000000000003</v>
      </c>
      <c r="Q1092" s="11">
        <f>'Table H'!$J$40</f>
        <v>0.79379012088370149</v>
      </c>
      <c r="R1092" s="11">
        <f t="shared" ref="R1092:R1155" si="35">Q1092*L1092</f>
        <v>142989.38342538557</v>
      </c>
      <c r="S1092" s="11" t="str">
        <f t="shared" si="34"/>
        <v>Wigton RD</v>
      </c>
      <c r="T1092" s="11" t="s">
        <v>5310</v>
      </c>
      <c r="V1092" s="11" t="str">
        <f>INDEX('Lookup 1961'!$A$2:$A$1300, MATCH(S1092, 'Lookup 1961'!$B$2:$B$1300,0))</f>
        <v>J04001412</v>
      </c>
      <c r="W1092" s="11" t="str">
        <f>INDEX('Lookup 1961'!$F$2:$F$1300, MATCH(S1092, 'Lookup 1961'!$B$2:$B$1300,0))</f>
        <v>e070162</v>
      </c>
      <c r="X1092" s="11" t="str">
        <f>INDEX('Lookup 1961'!$C$2:$C$1300, MATCH(V1092, 'Lookup 1961'!$A$2:$A$1300,0))</f>
        <v>Cumbria</v>
      </c>
    </row>
    <row r="1093" spans="1:24" ht="25.05" customHeight="1" x14ac:dyDescent="0.3">
      <c r="A1093" s="4" t="s">
        <v>239</v>
      </c>
      <c r="B1093" s="4" t="s">
        <v>239</v>
      </c>
      <c r="S1093" s="11" t="str">
        <f t="shared" si="34"/>
        <v>DERBY: RD</v>
      </c>
      <c r="T1093" s="11" t="s">
        <v>5310</v>
      </c>
      <c r="V1093" s="11" t="e">
        <f>INDEX('Lookup 1961'!$A$2:$A$1300, MATCH(S1093, 'Lookup 1961'!$B$2:$B$1300,0))</f>
        <v>#N/A</v>
      </c>
      <c r="W1093" s="11" t="e">
        <f>INDEX('Lookup 1961'!$F$2:$F$1300, MATCH(S1093, 'Lookup 1961'!$B$2:$B$1300,0))</f>
        <v>#N/A</v>
      </c>
      <c r="X1093" s="11" t="e">
        <f>INDEX('Lookup 1961'!$C$2:$C$1300, MATCH(V1093, 'Lookup 1961'!$A$2:$A$1300,0))</f>
        <v>#N/A</v>
      </c>
    </row>
    <row r="1094" spans="1:24" ht="25.05" customHeight="1" x14ac:dyDescent="0.3">
      <c r="A1094" s="4" t="s">
        <v>245</v>
      </c>
      <c r="B1094" s="4" t="s">
        <v>245</v>
      </c>
      <c r="C1094" s="1">
        <v>23</v>
      </c>
      <c r="D1094" s="1">
        <v>8</v>
      </c>
      <c r="E1094" s="1">
        <v>17</v>
      </c>
      <c r="F1094" s="1">
        <v>3</v>
      </c>
      <c r="G1094" s="1">
        <v>18</v>
      </c>
      <c r="H1094" s="1">
        <v>1</v>
      </c>
      <c r="I1094" s="1">
        <v>16</v>
      </c>
      <c r="J1094" s="6">
        <v>2</v>
      </c>
      <c r="K1094" s="6">
        <v>286</v>
      </c>
      <c r="L1094" s="6">
        <v>74677</v>
      </c>
      <c r="M1094" s="6">
        <v>58.4</v>
      </c>
      <c r="N1094" s="6">
        <v>5</v>
      </c>
      <c r="O1094" s="6">
        <v>9</v>
      </c>
      <c r="P1094" s="6">
        <v>15.9</v>
      </c>
      <c r="Q1094" s="11">
        <f>'Table H'!$J$45</f>
        <v>0.88013632036684231</v>
      </c>
      <c r="R1094" s="11">
        <f t="shared" si="35"/>
        <v>65725.939996034678</v>
      </c>
      <c r="S1094" s="11" t="str">
        <f t="shared" si="34"/>
        <v>Ashbourne RD</v>
      </c>
      <c r="T1094" s="11" t="s">
        <v>5310</v>
      </c>
      <c r="V1094" s="11" t="str">
        <f>INDEX('Lookup 1961'!$A$2:$A$1300, MATCH(S1094, 'Lookup 1961'!$B$2:$B$1300,0))</f>
        <v>J04000048</v>
      </c>
      <c r="W1094" s="11" t="str">
        <f>INDEX('Lookup 1961'!$F$2:$F$1300, MATCH(S1094, 'Lookup 1961'!$B$2:$B$1300,0))</f>
        <v>e080184</v>
      </c>
      <c r="X1094" s="11" t="str">
        <f>INDEX('Lookup 1961'!$C$2:$C$1300, MATCH(V1094, 'Lookup 1961'!$A$2:$A$1300,0))</f>
        <v>Derbyshire</v>
      </c>
    </row>
    <row r="1095" spans="1:24" ht="25.05" customHeight="1" x14ac:dyDescent="0.3">
      <c r="A1095" s="4" t="s">
        <v>246</v>
      </c>
      <c r="B1095" s="4" t="s">
        <v>246</v>
      </c>
      <c r="C1095" s="1">
        <v>23</v>
      </c>
      <c r="D1095" s="1">
        <v>0</v>
      </c>
      <c r="E1095" s="1">
        <v>17</v>
      </c>
      <c r="F1095" s="1">
        <v>0</v>
      </c>
      <c r="G1095" s="1">
        <v>18</v>
      </c>
      <c r="H1095" s="1">
        <v>3</v>
      </c>
      <c r="I1095" s="1">
        <v>16</v>
      </c>
      <c r="J1095" s="1">
        <v>6</v>
      </c>
      <c r="K1095" s="6">
        <v>665</v>
      </c>
      <c r="L1095" s="6">
        <v>169656</v>
      </c>
      <c r="M1095" s="1">
        <v>55.4</v>
      </c>
      <c r="N1095" s="1">
        <v>7</v>
      </c>
      <c r="O1095" s="1">
        <v>9</v>
      </c>
      <c r="P1095" s="1">
        <v>15.2</v>
      </c>
      <c r="Q1095" s="11">
        <f>'Table H'!$J$45</f>
        <v>0.88013632036684231</v>
      </c>
      <c r="R1095" s="11">
        <f t="shared" si="35"/>
        <v>149320.40756815701</v>
      </c>
      <c r="S1095" s="11" t="str">
        <f t="shared" si="34"/>
        <v>Bakewell RD</v>
      </c>
      <c r="T1095" s="11" t="s">
        <v>5310</v>
      </c>
      <c r="V1095" s="11" t="str">
        <f>INDEX('Lookup 1961'!$A$2:$A$1300, MATCH(S1095, 'Lookup 1961'!$B$2:$B$1300,0))</f>
        <v>J04000071</v>
      </c>
      <c r="W1095" s="11" t="str">
        <f>INDEX('Lookup 1961'!$F$2:$F$1300, MATCH(S1095, 'Lookup 1961'!$B$2:$B$1300,0))</f>
        <v>e080185</v>
      </c>
      <c r="X1095" s="11" t="str">
        <f>INDEX('Lookup 1961'!$C$2:$C$1300, MATCH(V1095, 'Lookup 1961'!$A$2:$A$1300,0))</f>
        <v>Derbyshire</v>
      </c>
    </row>
    <row r="1096" spans="1:24" ht="25.05" customHeight="1" x14ac:dyDescent="0.3">
      <c r="A1096" s="4" t="s">
        <v>247</v>
      </c>
      <c r="B1096" s="4" t="s">
        <v>247</v>
      </c>
      <c r="C1096" s="1">
        <v>22</v>
      </c>
      <c r="D1096" s="1">
        <v>0</v>
      </c>
      <c r="E1096" s="1">
        <v>15</v>
      </c>
      <c r="F1096" s="1">
        <v>0</v>
      </c>
      <c r="G1096" s="1">
        <v>15</v>
      </c>
      <c r="H1096" s="1">
        <v>10</v>
      </c>
      <c r="I1096" s="1">
        <v>15</v>
      </c>
      <c r="J1096" s="6">
        <v>0</v>
      </c>
      <c r="K1096" s="6">
        <v>1202</v>
      </c>
      <c r="L1096" s="6">
        <v>317237</v>
      </c>
      <c r="M1096" s="6">
        <v>61.8</v>
      </c>
      <c r="N1096" s="6">
        <v>8</v>
      </c>
      <c r="O1096" s="6">
        <v>2</v>
      </c>
      <c r="P1096" s="6">
        <v>6.5</v>
      </c>
      <c r="Q1096" s="11">
        <f>'Table H'!$J$45</f>
        <v>0.88013632036684231</v>
      </c>
      <c r="R1096" s="11">
        <f t="shared" si="35"/>
        <v>279211.80586421594</v>
      </c>
      <c r="S1096" s="11" t="str">
        <f t="shared" si="34"/>
        <v>Belper RD</v>
      </c>
      <c r="T1096" s="11" t="s">
        <v>5310</v>
      </c>
      <c r="V1096" s="11" t="str">
        <f>INDEX('Lookup 1961'!$A$2:$A$1300, MATCH(S1096, 'Lookup 1961'!$B$2:$B$1300,0))</f>
        <v>J04000121</v>
      </c>
      <c r="W1096" s="11" t="str">
        <f>INDEX('Lookup 1961'!$F$2:$F$1300, MATCH(S1096, 'Lookup 1961'!$B$2:$B$1300,0))</f>
        <v>e080163</v>
      </c>
      <c r="X1096" s="11" t="str">
        <f>INDEX('Lookup 1961'!$C$2:$C$1300, MATCH(V1096, 'Lookup 1961'!$A$2:$A$1300,0))</f>
        <v>Derbyshire</v>
      </c>
    </row>
    <row r="1097" spans="1:24" ht="25.05" customHeight="1" x14ac:dyDescent="0.3">
      <c r="A1097" s="4" t="s">
        <v>993</v>
      </c>
      <c r="B1097" s="4" t="s">
        <v>993</v>
      </c>
      <c r="C1097" s="1">
        <v>23</v>
      </c>
      <c r="D1097" s="1">
        <v>9</v>
      </c>
      <c r="E1097" s="1">
        <v>17</v>
      </c>
      <c r="F1097" s="1">
        <v>0</v>
      </c>
      <c r="G1097" s="1">
        <v>18</v>
      </c>
      <c r="H1097" s="1">
        <v>0</v>
      </c>
      <c r="I1097" s="1">
        <v>17</v>
      </c>
      <c r="J1097" s="1">
        <v>4</v>
      </c>
      <c r="K1097" s="6">
        <v>1158</v>
      </c>
      <c r="L1097" s="6">
        <v>319635</v>
      </c>
      <c r="M1097" s="1">
        <v>63.4</v>
      </c>
      <c r="N1097" s="1">
        <v>6</v>
      </c>
      <c r="O1097" s="1">
        <v>5</v>
      </c>
      <c r="P1097" s="1">
        <v>14.7</v>
      </c>
      <c r="Q1097" s="11">
        <f>'Table H'!$J$45</f>
        <v>0.88013632036684231</v>
      </c>
      <c r="R1097" s="11">
        <f t="shared" si="35"/>
        <v>281322.37276045565</v>
      </c>
      <c r="S1097" s="11" t="str">
        <f t="shared" si="34"/>
        <v>Blackwell RD</v>
      </c>
      <c r="T1097" s="11" t="s">
        <v>5310</v>
      </c>
      <c r="V1097" s="11" t="str">
        <f>INDEX('Lookup 1961'!$A$2:$A$1300, MATCH(S1097, 'Lookup 1961'!$B$2:$B$1300,0))</f>
        <v>J04000159</v>
      </c>
      <c r="W1097" s="11" t="str">
        <f>INDEX('Lookup 1961'!$F$2:$F$1300, MATCH(S1097, 'Lookup 1961'!$B$2:$B$1300,0))</f>
        <v>e080187</v>
      </c>
      <c r="X1097" s="11" t="str">
        <f>INDEX('Lookup 1961'!$C$2:$C$1300, MATCH(V1097, 'Lookup 1961'!$A$2:$A$1300,0))</f>
        <v>Derbyshire</v>
      </c>
    </row>
    <row r="1098" spans="1:24" ht="25.05" customHeight="1" x14ac:dyDescent="0.3">
      <c r="A1098" s="4" t="s">
        <v>994</v>
      </c>
      <c r="B1098" s="4" t="s">
        <v>5312</v>
      </c>
      <c r="C1098" s="1">
        <v>18</v>
      </c>
      <c r="D1098" s="1">
        <v>4</v>
      </c>
      <c r="E1098" s="1">
        <v>13</v>
      </c>
      <c r="F1098" s="1">
        <v>4</v>
      </c>
      <c r="G1098" s="1">
        <v>14</v>
      </c>
      <c r="H1098" s="1">
        <v>5</v>
      </c>
      <c r="I1098" s="1">
        <v>13</v>
      </c>
      <c r="J1098" s="6">
        <v>4</v>
      </c>
      <c r="K1098" s="6">
        <v>1419</v>
      </c>
      <c r="L1098" s="6">
        <v>360984</v>
      </c>
      <c r="M1098" s="6">
        <v>29.7</v>
      </c>
      <c r="N1098" s="6">
        <v>12</v>
      </c>
      <c r="O1098" s="6">
        <v>17</v>
      </c>
      <c r="P1098" s="6">
        <v>8.1</v>
      </c>
      <c r="Q1098" s="11">
        <f>'Table H'!$J$45</f>
        <v>0.88013632036684231</v>
      </c>
      <c r="R1098" s="11">
        <f t="shared" si="35"/>
        <v>317715.12947130419</v>
      </c>
      <c r="S1098" s="11" t="str">
        <f t="shared" ref="S1098:S1161" si="36">_xlfn.CONCAT(B1098," ",T1098)</f>
        <v>Chapel en le Frith RD</v>
      </c>
      <c r="T1098" s="11" t="s">
        <v>5310</v>
      </c>
      <c r="V1098" s="11" t="str">
        <f>INDEX('Lookup 1961'!$A$2:$A$1300, MATCH(S1098, 'Lookup 1961'!$B$2:$B$1300,0))</f>
        <v>J04000280</v>
      </c>
      <c r="W1098" s="11" t="str">
        <f>INDEX('Lookup 1961'!$F$2:$F$1300, MATCH(S1098, 'Lookup 1961'!$B$2:$B$1300,0))</f>
        <v>e080188</v>
      </c>
      <c r="X1098" s="11" t="str">
        <f>INDEX('Lookup 1961'!$C$2:$C$1300, MATCH(V1098, 'Lookup 1961'!$A$2:$A$1300,0))</f>
        <v>Derbyshire</v>
      </c>
    </row>
    <row r="1099" spans="1:24" ht="25.05" customHeight="1" x14ac:dyDescent="0.3">
      <c r="A1099" s="4" t="s">
        <v>241</v>
      </c>
      <c r="B1099" s="4" t="s">
        <v>241</v>
      </c>
      <c r="C1099" s="1">
        <v>23</v>
      </c>
      <c r="D1099" s="1">
        <v>4</v>
      </c>
      <c r="E1099" s="1">
        <v>16</v>
      </c>
      <c r="F1099" s="1">
        <v>6</v>
      </c>
      <c r="G1099" s="1">
        <v>18</v>
      </c>
      <c r="H1099" s="1">
        <v>10</v>
      </c>
      <c r="I1099" s="1">
        <v>16</v>
      </c>
      <c r="J1099" s="1">
        <v>8</v>
      </c>
      <c r="K1099" s="6">
        <v>2620</v>
      </c>
      <c r="L1099" s="6">
        <v>686072</v>
      </c>
      <c r="M1099" s="1">
        <v>65.099999999999994</v>
      </c>
      <c r="N1099" s="1">
        <v>6</v>
      </c>
      <c r="O1099" s="1">
        <v>12</v>
      </c>
      <c r="P1099" s="1">
        <v>20.2</v>
      </c>
      <c r="Q1099" s="11">
        <f>'Table H'!$J$45</f>
        <v>0.88013632036684231</v>
      </c>
      <c r="R1099" s="11">
        <f t="shared" si="35"/>
        <v>603836.88558672019</v>
      </c>
      <c r="S1099" s="11" t="str">
        <f t="shared" si="36"/>
        <v>Chesterfield RD</v>
      </c>
      <c r="T1099" s="11" t="s">
        <v>5310</v>
      </c>
      <c r="V1099" s="11" t="str">
        <f>INDEX('Lookup 1961'!$A$2:$A$1300, MATCH(S1099, 'Lookup 1961'!$B$2:$B$1300,0))</f>
        <v>J04000303</v>
      </c>
      <c r="W1099" s="11" t="str">
        <f>INDEX('Lookup 1961'!$F$2:$F$1300, MATCH(S1099, 'Lookup 1961'!$B$2:$B$1300,0))</f>
        <v>e080190</v>
      </c>
      <c r="X1099" s="11" t="str">
        <f>INDEX('Lookup 1961'!$C$2:$C$1300, MATCH(V1099, 'Lookup 1961'!$A$2:$A$1300,0))</f>
        <v>Derbyshire</v>
      </c>
    </row>
    <row r="1100" spans="1:24" ht="25.05" customHeight="1" x14ac:dyDescent="0.3">
      <c r="A1100" s="4" t="s">
        <v>995</v>
      </c>
      <c r="B1100" s="4" t="s">
        <v>995</v>
      </c>
      <c r="C1100" s="1">
        <v>22</v>
      </c>
      <c r="D1100" s="1">
        <v>2</v>
      </c>
      <c r="E1100" s="1">
        <v>15</v>
      </c>
      <c r="F1100" s="1">
        <v>6</v>
      </c>
      <c r="G1100" s="1">
        <v>16</v>
      </c>
      <c r="H1100" s="1">
        <v>10</v>
      </c>
      <c r="I1100" s="1">
        <v>16</v>
      </c>
      <c r="J1100" s="6">
        <v>1</v>
      </c>
      <c r="K1100" s="6">
        <v>498</v>
      </c>
      <c r="L1100" s="6">
        <v>135808</v>
      </c>
      <c r="M1100" s="6">
        <v>51.8</v>
      </c>
      <c r="N1100" s="6">
        <v>5</v>
      </c>
      <c r="O1100" s="6">
        <v>9</v>
      </c>
      <c r="P1100" s="6">
        <v>6.9</v>
      </c>
      <c r="Q1100" s="11">
        <f>'Table H'!$J$45</f>
        <v>0.88013632036684231</v>
      </c>
      <c r="R1100" s="11">
        <f t="shared" si="35"/>
        <v>119529.55339638011</v>
      </c>
      <c r="S1100" s="11" t="str">
        <f t="shared" si="36"/>
        <v>Clowne RD</v>
      </c>
      <c r="T1100" s="11" t="s">
        <v>5310</v>
      </c>
      <c r="V1100" s="11" t="str">
        <f>INDEX('Lookup 1961'!$A$2:$A$1300, MATCH(S1100, 'Lookup 1961'!$B$2:$B$1300,0))</f>
        <v>J04000330</v>
      </c>
      <c r="W1100" s="11" t="str">
        <f>INDEX('Lookup 1961'!$F$2:$F$1300, MATCH(S1100, 'Lookup 1961'!$B$2:$B$1300,0))</f>
        <v>e080192</v>
      </c>
      <c r="X1100" s="11" t="str">
        <f>INDEX('Lookup 1961'!$C$2:$C$1300, MATCH(V1100, 'Lookup 1961'!$A$2:$A$1300,0))</f>
        <v>Derbyshire</v>
      </c>
    </row>
    <row r="1101" spans="1:24" ht="25.05" customHeight="1" x14ac:dyDescent="0.3">
      <c r="A1101" s="4" t="s">
        <v>996</v>
      </c>
      <c r="B1101" s="4" t="s">
        <v>996</v>
      </c>
      <c r="C1101" s="1">
        <v>23</v>
      </c>
      <c r="D1101" s="1">
        <v>5</v>
      </c>
      <c r="E1101" s="1">
        <v>16</v>
      </c>
      <c r="F1101" s="1">
        <v>4</v>
      </c>
      <c r="G1101" s="1">
        <v>17</v>
      </c>
      <c r="H1101" s="1">
        <v>3</v>
      </c>
      <c r="I1101" s="1">
        <v>16</v>
      </c>
      <c r="J1101" s="1">
        <v>4</v>
      </c>
      <c r="K1101" s="6">
        <v>1038</v>
      </c>
      <c r="L1101" s="6">
        <v>269058</v>
      </c>
      <c r="M1101" s="1">
        <v>65.3</v>
      </c>
      <c r="N1101" s="1">
        <v>6</v>
      </c>
      <c r="O1101" s="1">
        <v>16</v>
      </c>
      <c r="P1101" s="1">
        <v>15.8</v>
      </c>
      <c r="Q1101" s="11">
        <f>'Table H'!$J$45</f>
        <v>0.88013632036684231</v>
      </c>
      <c r="R1101" s="11">
        <f t="shared" si="35"/>
        <v>236807.71808526185</v>
      </c>
      <c r="S1101" s="11" t="str">
        <f t="shared" si="36"/>
        <v>Repton RD</v>
      </c>
      <c r="T1101" s="11" t="s">
        <v>5310</v>
      </c>
      <c r="V1101" s="11" t="str">
        <f>INDEX('Lookup 1961'!$A$2:$A$1300, MATCH(S1101, 'Lookup 1961'!$B$2:$B$1300,0))</f>
        <v>J04001041</v>
      </c>
      <c r="W1101" s="11" t="str">
        <f>INDEX('Lookup 1961'!$F$2:$F$1300, MATCH(S1101, 'Lookup 1961'!$B$2:$B$1300,0))</f>
        <v>e080163</v>
      </c>
      <c r="X1101" s="11" t="str">
        <f>INDEX('Lookup 1961'!$C$2:$C$1300, MATCH(V1101, 'Lookup 1961'!$A$2:$A$1300,0))</f>
        <v>Derbyshire</v>
      </c>
    </row>
    <row r="1102" spans="1:24" ht="25.05" customHeight="1" x14ac:dyDescent="0.3">
      <c r="A1102" s="4" t="s">
        <v>997</v>
      </c>
      <c r="B1102" s="16" t="s">
        <v>5316</v>
      </c>
      <c r="C1102" s="1">
        <v>20</v>
      </c>
      <c r="D1102" s="1">
        <v>10</v>
      </c>
      <c r="E1102" s="1">
        <v>14</v>
      </c>
      <c r="F1102" s="1">
        <v>6</v>
      </c>
      <c r="G1102" s="1">
        <v>15</v>
      </c>
      <c r="H1102" s="1">
        <v>8</v>
      </c>
      <c r="I1102" s="1">
        <v>14</v>
      </c>
      <c r="J1102" s="6">
        <v>6</v>
      </c>
      <c r="K1102" s="6">
        <v>3094</v>
      </c>
      <c r="L1102" s="6">
        <v>814165</v>
      </c>
      <c r="M1102" s="6">
        <v>72.8</v>
      </c>
      <c r="N1102" s="6">
        <v>7</v>
      </c>
      <c r="O1102" s="6">
        <v>2</v>
      </c>
      <c r="P1102" s="6">
        <v>14.3</v>
      </c>
      <c r="Q1102" s="11">
        <f>'Table H'!$J$45</f>
        <v>0.88013632036684231</v>
      </c>
      <c r="R1102" s="11">
        <f t="shared" si="35"/>
        <v>716576.1872714702</v>
      </c>
      <c r="S1102" s="11" t="str">
        <f t="shared" si="36"/>
        <v>South East Derbyshire RD</v>
      </c>
      <c r="T1102" s="11" t="s">
        <v>5310</v>
      </c>
      <c r="V1102" s="11" t="str">
        <f>INDEX('Lookup 1961'!$A$2:$A$1300, MATCH(S1102, 'Lookup 1961'!$B$2:$B$1300,0))</f>
        <v>J04001156</v>
      </c>
      <c r="W1102" s="11" t="str">
        <f>INDEX('Lookup 1961'!$F$2:$F$1300, MATCH(S1102, 'Lookup 1961'!$B$2:$B$1300,0))</f>
        <v>e080163</v>
      </c>
      <c r="X1102" s="11" t="str">
        <f>INDEX('Lookup 1961'!$C$2:$C$1300, MATCH(V1102, 'Lookup 1961'!$A$2:$A$1300,0))</f>
        <v>Derbyshire</v>
      </c>
    </row>
    <row r="1103" spans="1:24" ht="25.05" customHeight="1" x14ac:dyDescent="0.3">
      <c r="A1103" s="4" t="s">
        <v>260</v>
      </c>
      <c r="B1103" s="4" t="s">
        <v>260</v>
      </c>
      <c r="S1103" s="11" t="str">
        <f t="shared" si="36"/>
        <v>DEVON: RD</v>
      </c>
      <c r="T1103" s="11" t="s">
        <v>5310</v>
      </c>
      <c r="V1103" s="11" t="e">
        <f>INDEX('Lookup 1961'!$A$2:$A$1300, MATCH(S1103, 'Lookup 1961'!$B$2:$B$1300,0))</f>
        <v>#N/A</v>
      </c>
      <c r="W1103" s="11" t="e">
        <f>INDEX('Lookup 1961'!$F$2:$F$1300, MATCH(S1103, 'Lookup 1961'!$B$2:$B$1300,0))</f>
        <v>#N/A</v>
      </c>
      <c r="X1103" s="11" t="e">
        <f>INDEX('Lookup 1961'!$C$2:$C$1300, MATCH(V1103, 'Lookup 1961'!$A$2:$A$1300,0))</f>
        <v>#N/A</v>
      </c>
    </row>
    <row r="1104" spans="1:24" ht="25.05" customHeight="1" x14ac:dyDescent="0.3">
      <c r="A1104" s="4" t="s">
        <v>998</v>
      </c>
      <c r="B1104" s="4" t="s">
        <v>998</v>
      </c>
      <c r="C1104" s="1">
        <v>23</v>
      </c>
      <c r="D1104" s="1">
        <v>6</v>
      </c>
      <c r="E1104" s="1">
        <v>15</v>
      </c>
      <c r="F1104" s="1">
        <v>6</v>
      </c>
      <c r="G1104" s="1">
        <v>16</v>
      </c>
      <c r="H1104" s="1">
        <v>6</v>
      </c>
      <c r="I1104" s="1">
        <v>15</v>
      </c>
      <c r="J1104" s="6">
        <v>7</v>
      </c>
      <c r="K1104" s="6">
        <v>648</v>
      </c>
      <c r="L1104" s="6">
        <v>163805</v>
      </c>
      <c r="M1104" s="6">
        <v>84.4</v>
      </c>
      <c r="N1104" s="6">
        <v>8</v>
      </c>
      <c r="O1104" s="6">
        <v>16</v>
      </c>
      <c r="P1104" s="6">
        <v>22.5</v>
      </c>
      <c r="Q1104" s="11">
        <f>'Table H'!$J$50</f>
        <v>0.93396630344030318</v>
      </c>
      <c r="R1104" s="11">
        <f t="shared" si="35"/>
        <v>152988.35033503885</v>
      </c>
      <c r="S1104" s="11" t="str">
        <f t="shared" si="36"/>
        <v>Axminster RD</v>
      </c>
      <c r="T1104" s="11" t="s">
        <v>5310</v>
      </c>
      <c r="V1104" s="11" t="str">
        <f>INDEX('Lookup 1961'!$A$2:$A$1300, MATCH(S1104, 'Lookup 1961'!$B$2:$B$1300,0))</f>
        <v>J04000064</v>
      </c>
      <c r="W1104" s="11" t="str">
        <f>INDEX('Lookup 1961'!$F$2:$F$1300, MATCH(S1104, 'Lookup 1961'!$B$2:$B$1300,0))</f>
        <v>e090223</v>
      </c>
      <c r="X1104" s="11" t="str">
        <f>INDEX('Lookup 1961'!$C$2:$C$1300, MATCH(V1104, 'Lookup 1961'!$A$2:$A$1300,0))</f>
        <v>Devon</v>
      </c>
    </row>
    <row r="1105" spans="1:24" ht="25.05" customHeight="1" x14ac:dyDescent="0.3">
      <c r="A1105" s="4" t="s">
        <v>999</v>
      </c>
      <c r="B1105" s="4" t="s">
        <v>999</v>
      </c>
      <c r="C1105" s="1">
        <v>22</v>
      </c>
      <c r="D1105" s="1">
        <v>8</v>
      </c>
      <c r="E1105" s="1">
        <v>15</v>
      </c>
      <c r="F1105" s="1">
        <v>6</v>
      </c>
      <c r="G1105" s="1">
        <v>16</v>
      </c>
      <c r="H1105" s="1">
        <v>6</v>
      </c>
      <c r="I1105" s="1">
        <v>15</v>
      </c>
      <c r="J1105" s="1">
        <v>6</v>
      </c>
      <c r="K1105" s="6">
        <v>916</v>
      </c>
      <c r="L1105" s="6">
        <v>235059</v>
      </c>
      <c r="M1105" s="1">
        <v>69.7</v>
      </c>
      <c r="N1105" s="1">
        <v>7</v>
      </c>
      <c r="O1105" s="1">
        <v>5</v>
      </c>
      <c r="P1105" s="1">
        <v>13.9</v>
      </c>
      <c r="Q1105" s="11">
        <f>'Table H'!$J$50</f>
        <v>0.93396630344030318</v>
      </c>
      <c r="R1105" s="11">
        <f t="shared" si="35"/>
        <v>219537.18532037424</v>
      </c>
      <c r="S1105" s="11" t="str">
        <f t="shared" si="36"/>
        <v>Barnstaple RD</v>
      </c>
      <c r="T1105" s="11" t="s">
        <v>5310</v>
      </c>
      <c r="V1105" s="11" t="str">
        <f>INDEX('Lookup 1961'!$A$2:$A$1300, MATCH(S1105, 'Lookup 1961'!$B$2:$B$1300,0))</f>
        <v>J04000089</v>
      </c>
      <c r="W1105" s="11" t="str">
        <f>INDEX('Lookup 1961'!$F$2:$F$1300, MATCH(S1105, 'Lookup 1961'!$B$2:$B$1300,0))</f>
        <v>e090224</v>
      </c>
      <c r="X1105" s="11" t="str">
        <f>INDEX('Lookup 1961'!$C$2:$C$1300, MATCH(V1105, 'Lookup 1961'!$A$2:$A$1300,0))</f>
        <v>Devon</v>
      </c>
    </row>
    <row r="1106" spans="1:24" ht="25.05" customHeight="1" x14ac:dyDescent="0.3">
      <c r="A1106" s="4" t="s">
        <v>262</v>
      </c>
      <c r="B1106" s="4" t="s">
        <v>262</v>
      </c>
      <c r="C1106" s="1">
        <v>23</v>
      </c>
      <c r="D1106" s="1">
        <v>8</v>
      </c>
      <c r="E1106" s="1">
        <v>16</v>
      </c>
      <c r="F1106" s="1">
        <v>0</v>
      </c>
      <c r="G1106" s="1">
        <v>17</v>
      </c>
      <c r="H1106" s="1">
        <v>2</v>
      </c>
      <c r="I1106" s="1">
        <v>16</v>
      </c>
      <c r="J1106" s="6">
        <v>0</v>
      </c>
      <c r="K1106" s="6">
        <v>131</v>
      </c>
      <c r="L1106" s="6">
        <v>32898</v>
      </c>
      <c r="M1106" s="6">
        <v>60.9</v>
      </c>
      <c r="N1106" s="6">
        <v>4</v>
      </c>
      <c r="O1106" s="6">
        <v>18</v>
      </c>
      <c r="P1106" s="6">
        <v>6</v>
      </c>
      <c r="Q1106" s="11">
        <f>'Table H'!$J$50</f>
        <v>0.93396630344030318</v>
      </c>
      <c r="R1106" s="11">
        <f t="shared" si="35"/>
        <v>30725.623450579093</v>
      </c>
      <c r="S1106" s="11" t="str">
        <f t="shared" si="36"/>
        <v>Bideford RD</v>
      </c>
      <c r="T1106" s="11" t="s">
        <v>5310</v>
      </c>
      <c r="V1106" s="11" t="str">
        <f>INDEX('Lookup 1961'!$A$2:$A$1300, MATCH(S1106, 'Lookup 1961'!$B$2:$B$1300,0))</f>
        <v>J04000140</v>
      </c>
      <c r="W1106" s="11" t="str">
        <f>INDEX('Lookup 1961'!$F$2:$F$1300, MATCH(S1106, 'Lookup 1961'!$B$2:$B$1300,0))</f>
        <v>e090225</v>
      </c>
      <c r="X1106" s="11" t="str">
        <f>INDEX('Lookup 1961'!$C$2:$C$1300, MATCH(V1106, 'Lookup 1961'!$A$2:$A$1300,0))</f>
        <v>Devon</v>
      </c>
    </row>
    <row r="1107" spans="1:24" ht="25.05" customHeight="1" x14ac:dyDescent="0.3">
      <c r="A1107" s="4" t="s">
        <v>1000</v>
      </c>
      <c r="B1107" s="4" t="s">
        <v>1000</v>
      </c>
      <c r="C1107" s="1">
        <v>20</v>
      </c>
      <c r="D1107" s="1">
        <v>5</v>
      </c>
      <c r="E1107" s="1">
        <v>14</v>
      </c>
      <c r="F1107" s="1">
        <v>4</v>
      </c>
      <c r="G1107" s="1">
        <v>14</v>
      </c>
      <c r="H1107" s="1">
        <v>8</v>
      </c>
      <c r="I1107" s="1">
        <v>13</v>
      </c>
      <c r="J1107" s="1">
        <v>2</v>
      </c>
      <c r="K1107" s="6">
        <v>31</v>
      </c>
      <c r="L1107" s="6">
        <v>7886</v>
      </c>
      <c r="M1107" s="1">
        <v>73.400000000000006</v>
      </c>
      <c r="N1107" s="1">
        <v>2</v>
      </c>
      <c r="O1107" s="1">
        <v>13</v>
      </c>
      <c r="P1107" s="1">
        <v>19.399999999999999</v>
      </c>
      <c r="Q1107" s="11">
        <f>'Table H'!$J$50</f>
        <v>0.93396630344030318</v>
      </c>
      <c r="R1107" s="11">
        <f t="shared" si="35"/>
        <v>7365.2582689302308</v>
      </c>
      <c r="S1107" s="11" t="str">
        <f t="shared" si="36"/>
        <v>Broadwoodwidger RD</v>
      </c>
      <c r="T1107" s="11" t="s">
        <v>5310</v>
      </c>
      <c r="V1107" s="11" t="str">
        <f>INDEX('Lookup 1961'!$A$2:$A$1300, MATCH(S1107, 'Lookup 1961'!$B$2:$B$1300,0))</f>
        <v>J04000217</v>
      </c>
      <c r="W1107" s="11" t="str">
        <f>INDEX('Lookup 1961'!$F$2:$F$1300, MATCH(S1107, 'Lookup 1961'!$B$2:$B$1300,0))</f>
        <v>e090227</v>
      </c>
      <c r="X1107" s="11" t="str">
        <f>INDEX('Lookup 1961'!$C$2:$C$1300, MATCH(V1107, 'Lookup 1961'!$A$2:$A$1300,0))</f>
        <v>Devon</v>
      </c>
    </row>
    <row r="1108" spans="1:24" ht="25.05" customHeight="1" x14ac:dyDescent="0.3">
      <c r="A1108" s="4" t="s">
        <v>275</v>
      </c>
      <c r="B1108" s="4" t="s">
        <v>275</v>
      </c>
      <c r="C1108" s="1">
        <v>22</v>
      </c>
      <c r="D1108" s="1">
        <v>6</v>
      </c>
      <c r="E1108" s="1">
        <v>15</v>
      </c>
      <c r="F1108" s="1">
        <v>0</v>
      </c>
      <c r="G1108" s="1">
        <v>15</v>
      </c>
      <c r="H1108" s="1">
        <v>6</v>
      </c>
      <c r="I1108" s="1">
        <v>15</v>
      </c>
      <c r="J1108" s="6">
        <v>0</v>
      </c>
      <c r="K1108" s="6">
        <v>263</v>
      </c>
      <c r="L1108" s="6">
        <v>64997</v>
      </c>
      <c r="M1108" s="6">
        <v>95.8</v>
      </c>
      <c r="N1108" s="6">
        <v>4</v>
      </c>
      <c r="O1108" s="6">
        <v>15</v>
      </c>
      <c r="P1108" s="6">
        <v>28.5</v>
      </c>
      <c r="Q1108" s="11">
        <f>'Table H'!$J$50</f>
        <v>0.93396630344030318</v>
      </c>
      <c r="R1108" s="11">
        <f t="shared" si="35"/>
        <v>60705.007824709384</v>
      </c>
      <c r="S1108" s="11" t="str">
        <f t="shared" si="36"/>
        <v>Crediton RD</v>
      </c>
      <c r="T1108" s="11" t="s">
        <v>5310</v>
      </c>
      <c r="V1108" s="11" t="str">
        <f>INDEX('Lookup 1961'!$A$2:$A$1300, MATCH(S1108, 'Lookup 1961'!$B$2:$B$1300,0))</f>
        <v>J04000359</v>
      </c>
      <c r="W1108" s="11" t="str">
        <f>INDEX('Lookup 1961'!$F$2:$F$1300, MATCH(S1108, 'Lookup 1961'!$B$2:$B$1300,0))</f>
        <v>e090226</v>
      </c>
      <c r="X1108" s="11" t="str">
        <f>INDEX('Lookup 1961'!$C$2:$C$1300, MATCH(V1108, 'Lookup 1961'!$A$2:$A$1300,0))</f>
        <v>Devon</v>
      </c>
    </row>
    <row r="1109" spans="1:24" ht="25.05" customHeight="1" x14ac:dyDescent="0.3">
      <c r="A1109" s="4" t="s">
        <v>278</v>
      </c>
      <c r="B1109" s="4" t="s">
        <v>278</v>
      </c>
      <c r="C1109" s="1">
        <v>22</v>
      </c>
      <c r="D1109" s="1">
        <v>2</v>
      </c>
      <c r="E1109" s="1">
        <v>16</v>
      </c>
      <c r="F1109" s="1">
        <v>0</v>
      </c>
      <c r="G1109" s="1">
        <v>16</v>
      </c>
      <c r="H1109" s="1">
        <v>9</v>
      </c>
      <c r="I1109" s="1">
        <v>16</v>
      </c>
      <c r="J1109" s="1">
        <v>0</v>
      </c>
      <c r="K1109" s="6">
        <v>123</v>
      </c>
      <c r="L1109" s="6">
        <v>30424</v>
      </c>
      <c r="M1109" s="1">
        <v>43.5</v>
      </c>
      <c r="N1109" s="1">
        <v>4</v>
      </c>
      <c r="O1109" s="1">
        <v>1</v>
      </c>
      <c r="P1109" s="1">
        <v>0.9</v>
      </c>
      <c r="Q1109" s="11">
        <f>'Table H'!$J$50</f>
        <v>0.93396630344030318</v>
      </c>
      <c r="R1109" s="11">
        <f t="shared" si="35"/>
        <v>28414.990815867783</v>
      </c>
      <c r="S1109" s="11" t="str">
        <f t="shared" si="36"/>
        <v>Holsworthy RD</v>
      </c>
      <c r="T1109" s="11" t="s">
        <v>5310</v>
      </c>
      <c r="V1109" s="11" t="str">
        <f>INDEX('Lookup 1961'!$A$2:$A$1300, MATCH(S1109, 'Lookup 1961'!$B$2:$B$1300,0))</f>
        <v>J04000634</v>
      </c>
      <c r="W1109" s="11" t="str">
        <f>INDEX('Lookup 1961'!$F$2:$F$1300, MATCH(S1109, 'Lookup 1961'!$B$2:$B$1300,0))</f>
        <v>e090227</v>
      </c>
      <c r="X1109" s="11" t="str">
        <f>INDEX('Lookup 1961'!$C$2:$C$1300, MATCH(V1109, 'Lookup 1961'!$A$2:$A$1300,0))</f>
        <v>Devon</v>
      </c>
    </row>
    <row r="1110" spans="1:24" ht="25.05" customHeight="1" x14ac:dyDescent="0.3">
      <c r="A1110" s="4" t="s">
        <v>265</v>
      </c>
      <c r="B1110" s="4" t="s">
        <v>265</v>
      </c>
      <c r="C1110" s="1">
        <v>21</v>
      </c>
      <c r="D1110" s="1">
        <v>9</v>
      </c>
      <c r="E1110" s="1">
        <v>15</v>
      </c>
      <c r="F1110" s="1">
        <v>0</v>
      </c>
      <c r="G1110" s="1">
        <v>15</v>
      </c>
      <c r="H1110" s="1">
        <v>4</v>
      </c>
      <c r="I1110" s="1">
        <v>14</v>
      </c>
      <c r="J1110" s="6">
        <v>11</v>
      </c>
      <c r="K1110" s="6">
        <v>200</v>
      </c>
      <c r="L1110" s="6">
        <v>52321</v>
      </c>
      <c r="M1110" s="6">
        <v>65.3</v>
      </c>
      <c r="N1110" s="6">
        <v>5</v>
      </c>
      <c r="O1110" s="6">
        <v>8</v>
      </c>
      <c r="P1110" s="6">
        <v>10.8</v>
      </c>
      <c r="Q1110" s="11">
        <f>'Table H'!$J$50</f>
        <v>0.93396630344030318</v>
      </c>
      <c r="R1110" s="11">
        <f t="shared" si="35"/>
        <v>48866.050962300105</v>
      </c>
      <c r="S1110" s="11" t="str">
        <f t="shared" si="36"/>
        <v>Honiton RD</v>
      </c>
      <c r="T1110" s="11" t="s">
        <v>5310</v>
      </c>
      <c r="V1110" s="11" t="str">
        <f>INDEX('Lookup 1961'!$A$2:$A$1300, MATCH(S1110, 'Lookup 1961'!$B$2:$B$1300,0))</f>
        <v>J04000640</v>
      </c>
      <c r="W1110" s="11" t="str">
        <f>INDEX('Lookup 1961'!$F$2:$F$1300, MATCH(S1110, 'Lookup 1961'!$B$2:$B$1300,0))</f>
        <v>e090228</v>
      </c>
      <c r="X1110" s="11" t="str">
        <f>INDEX('Lookup 1961'!$C$2:$C$1300, MATCH(V1110, 'Lookup 1961'!$A$2:$A$1300,0))</f>
        <v>Devon</v>
      </c>
    </row>
    <row r="1111" spans="1:24" ht="25.05" customHeight="1" x14ac:dyDescent="0.3">
      <c r="A1111" s="4" t="s">
        <v>280</v>
      </c>
      <c r="B1111" s="4" t="s">
        <v>280</v>
      </c>
      <c r="C1111" s="1">
        <v>22</v>
      </c>
      <c r="D1111" s="1">
        <v>6</v>
      </c>
      <c r="E1111" s="1">
        <v>15</v>
      </c>
      <c r="F1111" s="1">
        <v>9</v>
      </c>
      <c r="G1111" s="1">
        <v>16</v>
      </c>
      <c r="H1111" s="1">
        <v>4</v>
      </c>
      <c r="I1111" s="1">
        <v>15</v>
      </c>
      <c r="J1111" s="1">
        <v>9</v>
      </c>
      <c r="K1111" s="6">
        <v>500</v>
      </c>
      <c r="L1111" s="6">
        <v>126669</v>
      </c>
      <c r="M1111" s="1">
        <v>82.8</v>
      </c>
      <c r="N1111" s="1">
        <v>7</v>
      </c>
      <c r="O1111" s="1">
        <v>19</v>
      </c>
      <c r="P1111" s="1">
        <v>24</v>
      </c>
      <c r="Q1111" s="11">
        <f>'Table H'!$J$50</f>
        <v>0.93396630344030318</v>
      </c>
      <c r="R1111" s="11">
        <f t="shared" si="35"/>
        <v>118304.57769047977</v>
      </c>
      <c r="S1111" s="11" t="str">
        <f t="shared" si="36"/>
        <v>Kingsbridge RD</v>
      </c>
      <c r="T1111" s="11" t="s">
        <v>5310</v>
      </c>
      <c r="V1111" s="11" t="str">
        <f>INDEX('Lookup 1961'!$A$2:$A$1300, MATCH(S1111, 'Lookup 1961'!$B$2:$B$1300,0))</f>
        <v>J04000696</v>
      </c>
      <c r="W1111" s="11" t="str">
        <f>INDEX('Lookup 1961'!$F$2:$F$1300, MATCH(S1111, 'Lookup 1961'!$B$2:$B$1300,0))</f>
        <v>e090229</v>
      </c>
      <c r="X1111" s="11" t="str">
        <f>INDEX('Lookup 1961'!$C$2:$C$1300, MATCH(V1111, 'Lookup 1961'!$A$2:$A$1300,0))</f>
        <v>Devon</v>
      </c>
    </row>
    <row r="1112" spans="1:24" ht="25.05" customHeight="1" x14ac:dyDescent="0.3">
      <c r="A1112" s="4" t="s">
        <v>282</v>
      </c>
      <c r="B1112" s="4" t="s">
        <v>282</v>
      </c>
      <c r="C1112" s="1">
        <v>22</v>
      </c>
      <c r="D1112" s="1">
        <v>3</v>
      </c>
      <c r="E1112" s="1">
        <v>14</v>
      </c>
      <c r="F1112" s="1">
        <v>11</v>
      </c>
      <c r="G1112" s="1">
        <v>15</v>
      </c>
      <c r="H1112" s="1">
        <v>11</v>
      </c>
      <c r="I1112" s="1">
        <v>15</v>
      </c>
      <c r="J1112" s="6">
        <v>3</v>
      </c>
      <c r="K1112" s="6">
        <v>979</v>
      </c>
      <c r="L1112" s="6">
        <v>247195</v>
      </c>
      <c r="M1112" s="6">
        <v>63.3</v>
      </c>
      <c r="N1112" s="6">
        <v>7</v>
      </c>
      <c r="O1112" s="6">
        <v>6</v>
      </c>
      <c r="P1112" s="6">
        <v>11.5</v>
      </c>
      <c r="Q1112" s="11">
        <f>'Table H'!$J$50</f>
        <v>0.93396630344030318</v>
      </c>
      <c r="R1112" s="11">
        <f t="shared" si="35"/>
        <v>230871.80037892575</v>
      </c>
      <c r="S1112" s="11" t="str">
        <f t="shared" si="36"/>
        <v>Newton Abbot RD</v>
      </c>
      <c r="T1112" s="11" t="s">
        <v>5310</v>
      </c>
      <c r="V1112" s="11" t="str">
        <f>INDEX('Lookup 1961'!$A$2:$A$1300, MATCH(S1112, 'Lookup 1961'!$B$2:$B$1300,0))</f>
        <v>J04000913</v>
      </c>
      <c r="W1112" s="11" t="str">
        <f>INDEX('Lookup 1961'!$F$2:$F$1300, MATCH(S1112, 'Lookup 1961'!$B$2:$B$1300,0))</f>
        <v>e090230</v>
      </c>
      <c r="X1112" s="11" t="str">
        <f>INDEX('Lookup 1961'!$C$2:$C$1300, MATCH(V1112, 'Lookup 1961'!$A$2:$A$1300,0))</f>
        <v>Devon</v>
      </c>
    </row>
    <row r="1113" spans="1:24" ht="25.05" customHeight="1" x14ac:dyDescent="0.3">
      <c r="A1113" s="4" t="s">
        <v>266</v>
      </c>
      <c r="B1113" s="4" t="s">
        <v>266</v>
      </c>
      <c r="C1113" s="1">
        <v>23</v>
      </c>
      <c r="D1113" s="1">
        <v>0</v>
      </c>
      <c r="E1113" s="1">
        <v>15</v>
      </c>
      <c r="F1113" s="1">
        <v>6</v>
      </c>
      <c r="G1113" s="1">
        <v>16</v>
      </c>
      <c r="H1113" s="1">
        <v>10</v>
      </c>
      <c r="I1113" s="1">
        <v>15</v>
      </c>
      <c r="J1113" s="1">
        <v>6</v>
      </c>
      <c r="K1113" s="6">
        <v>344</v>
      </c>
      <c r="L1113" s="6">
        <v>89440</v>
      </c>
      <c r="M1113" s="1">
        <v>64.900000000000006</v>
      </c>
      <c r="N1113" s="1">
        <v>5</v>
      </c>
      <c r="O1113" s="1">
        <v>11</v>
      </c>
      <c r="P1113" s="1">
        <v>11.8</v>
      </c>
      <c r="Q1113" s="11">
        <f>'Table H'!$J$50</f>
        <v>0.93396630344030318</v>
      </c>
      <c r="R1113" s="11">
        <f t="shared" si="35"/>
        <v>83533.94617970071</v>
      </c>
      <c r="S1113" s="11" t="str">
        <f t="shared" si="36"/>
        <v>Okehampton RD</v>
      </c>
      <c r="T1113" s="11" t="s">
        <v>5310</v>
      </c>
      <c r="V1113" s="11" t="str">
        <f>INDEX('Lookup 1961'!$A$2:$A$1300, MATCH(S1113, 'Lookup 1961'!$B$2:$B$1300,0))</f>
        <v>J04000951</v>
      </c>
      <c r="W1113" s="11" t="str">
        <f>INDEX('Lookup 1961'!$F$2:$F$1300, MATCH(S1113, 'Lookup 1961'!$B$2:$B$1300,0))</f>
        <v>e090231</v>
      </c>
      <c r="X1113" s="11" t="str">
        <f>INDEX('Lookup 1961'!$C$2:$C$1300, MATCH(V1113, 'Lookup 1961'!$A$2:$A$1300,0))</f>
        <v>Devon</v>
      </c>
    </row>
    <row r="1114" spans="1:24" ht="25.05" customHeight="1" x14ac:dyDescent="0.3">
      <c r="A1114" s="4" t="s">
        <v>1001</v>
      </c>
      <c r="B1114" s="4" t="s">
        <v>1001</v>
      </c>
      <c r="C1114" s="1">
        <v>22</v>
      </c>
      <c r="D1114" s="1">
        <v>6</v>
      </c>
      <c r="E1114" s="1">
        <v>14</v>
      </c>
      <c r="F1114" s="1">
        <v>7</v>
      </c>
      <c r="G1114" s="1">
        <v>14</v>
      </c>
      <c r="H1114" s="1">
        <v>10</v>
      </c>
      <c r="I1114" s="1">
        <v>14</v>
      </c>
      <c r="J1114" s="6">
        <v>7</v>
      </c>
      <c r="K1114" s="6">
        <v>1563</v>
      </c>
      <c r="L1114" s="6">
        <v>391259</v>
      </c>
      <c r="M1114" s="6">
        <v>85.9</v>
      </c>
      <c r="N1114" s="6">
        <v>8</v>
      </c>
      <c r="O1114" s="6">
        <v>6</v>
      </c>
      <c r="P1114" s="6">
        <v>15</v>
      </c>
      <c r="Q1114" s="11">
        <f>'Table H'!$J$50</f>
        <v>0.93396630344030318</v>
      </c>
      <c r="R1114" s="11">
        <f t="shared" si="35"/>
        <v>365422.72191774956</v>
      </c>
      <c r="S1114" s="11" t="str">
        <f t="shared" si="36"/>
        <v>Plympton St. Mary RD</v>
      </c>
      <c r="T1114" s="11" t="s">
        <v>5310</v>
      </c>
      <c r="V1114" s="11" t="str">
        <f>INDEX('Lookup 1961'!$A$2:$A$1300, MATCH(S1114, 'Lookup 1961'!$B$2:$B$1300,0))</f>
        <v>J04000997</v>
      </c>
      <c r="W1114" s="11" t="str">
        <f>INDEX('Lookup 1961'!$F$2:$F$1300, MATCH(S1114, 'Lookup 1961'!$B$2:$B$1300,0))</f>
        <v>e090197</v>
      </c>
      <c r="X1114" s="11" t="str">
        <f>INDEX('Lookup 1961'!$C$2:$C$1300, MATCH(V1114, 'Lookup 1961'!$A$2:$A$1300,0))</f>
        <v>Devon</v>
      </c>
    </row>
    <row r="1115" spans="1:24" ht="25.05" customHeight="1" x14ac:dyDescent="0.3">
      <c r="A1115" s="4" t="s">
        <v>1002</v>
      </c>
      <c r="B1115" s="4" t="s">
        <v>1002</v>
      </c>
      <c r="C1115" s="1">
        <v>24</v>
      </c>
      <c r="D1115" s="1">
        <v>5</v>
      </c>
      <c r="E1115" s="1">
        <v>16</v>
      </c>
      <c r="F1115" s="1">
        <v>2</v>
      </c>
      <c r="G1115" s="1">
        <v>17</v>
      </c>
      <c r="H1115" s="1">
        <v>3</v>
      </c>
      <c r="I1115" s="1">
        <v>16</v>
      </c>
      <c r="J1115" s="1">
        <v>3</v>
      </c>
      <c r="K1115" s="6">
        <v>1324</v>
      </c>
      <c r="L1115" s="6">
        <v>331945</v>
      </c>
      <c r="M1115" s="1">
        <v>87.8</v>
      </c>
      <c r="N1115" s="1">
        <v>8</v>
      </c>
      <c r="O1115" s="1">
        <v>4</v>
      </c>
      <c r="P1115" s="1">
        <v>18.899999999999999</v>
      </c>
      <c r="Q1115" s="11">
        <f>'Table H'!$J$50</f>
        <v>0.93396630344030318</v>
      </c>
      <c r="R1115" s="11">
        <f t="shared" si="35"/>
        <v>310025.44459549146</v>
      </c>
      <c r="S1115" s="11" t="str">
        <f t="shared" si="36"/>
        <v>St. Thomas RD</v>
      </c>
      <c r="T1115" s="11" t="s">
        <v>5310</v>
      </c>
      <c r="V1115" s="11" t="str">
        <f>INDEX('Lookup 1961'!$A$2:$A$1300, MATCH(S1115, 'Lookup 1961'!$B$2:$B$1300,0))</f>
        <v>J04001195</v>
      </c>
      <c r="W1115" s="11" t="str">
        <f>INDEX('Lookup 1961'!$F$2:$F$1300, MATCH(S1115, 'Lookup 1961'!$B$2:$B$1300,0))</f>
        <v>e090233</v>
      </c>
      <c r="X1115" s="11" t="str">
        <f>INDEX('Lookup 1961'!$C$2:$C$1300, MATCH(V1115, 'Lookup 1961'!$A$2:$A$1300,0))</f>
        <v>Devon</v>
      </c>
    </row>
    <row r="1116" spans="1:24" ht="25.05" customHeight="1" x14ac:dyDescent="0.3">
      <c r="A1116" s="4" t="s">
        <v>1003</v>
      </c>
      <c r="B1116" s="4" t="s">
        <v>1003</v>
      </c>
      <c r="C1116" s="1">
        <v>22</v>
      </c>
      <c r="D1116" s="1">
        <v>0</v>
      </c>
      <c r="E1116" s="1">
        <v>15</v>
      </c>
      <c r="F1116" s="1">
        <v>3</v>
      </c>
      <c r="G1116" s="1">
        <v>16</v>
      </c>
      <c r="H1116" s="1">
        <v>7</v>
      </c>
      <c r="I1116" s="1">
        <v>15</v>
      </c>
      <c r="J1116" s="6">
        <v>3</v>
      </c>
      <c r="K1116" s="6">
        <v>214</v>
      </c>
      <c r="L1116" s="6">
        <v>52260</v>
      </c>
      <c r="M1116" s="6">
        <v>70</v>
      </c>
      <c r="N1116" s="6">
        <v>4</v>
      </c>
      <c r="O1116" s="6">
        <v>3</v>
      </c>
      <c r="P1116" s="6">
        <v>15</v>
      </c>
      <c r="Q1116" s="11">
        <f>'Table H'!$J$50</f>
        <v>0.93396630344030318</v>
      </c>
      <c r="R1116" s="11">
        <f t="shared" si="35"/>
        <v>48809.079017790245</v>
      </c>
      <c r="S1116" s="11" t="str">
        <f t="shared" si="36"/>
        <v>South Molton RD</v>
      </c>
      <c r="T1116" s="11" t="s">
        <v>5310</v>
      </c>
      <c r="V1116" s="11" t="str">
        <f>INDEX('Lookup 1961'!$A$2:$A$1300, MATCH(S1116, 'Lookup 1961'!$B$2:$B$1300,0))</f>
        <v>J04001159</v>
      </c>
      <c r="W1116" s="11" t="str">
        <f>INDEX('Lookup 1961'!$F$2:$F$1300, MATCH(S1116, 'Lookup 1961'!$B$2:$B$1300,0))</f>
        <v>e090234</v>
      </c>
      <c r="X1116" s="11" t="str">
        <f>INDEX('Lookup 1961'!$C$2:$C$1300, MATCH(V1116, 'Lookup 1961'!$A$2:$A$1300,0))</f>
        <v>Devon</v>
      </c>
    </row>
    <row r="1117" spans="1:24" ht="25.05" customHeight="1" x14ac:dyDescent="0.3">
      <c r="A1117" s="4" t="s">
        <v>289</v>
      </c>
      <c r="B1117" s="4" t="s">
        <v>289</v>
      </c>
      <c r="C1117" s="1">
        <v>20</v>
      </c>
      <c r="D1117" s="1">
        <v>7</v>
      </c>
      <c r="E1117" s="1">
        <v>14</v>
      </c>
      <c r="F1117" s="1">
        <v>4</v>
      </c>
      <c r="G1117" s="1">
        <v>14</v>
      </c>
      <c r="H1117" s="1">
        <v>10</v>
      </c>
      <c r="I1117" s="1">
        <v>13</v>
      </c>
      <c r="J1117" s="1">
        <v>11</v>
      </c>
      <c r="K1117" s="6">
        <v>579</v>
      </c>
      <c r="L1117" s="6">
        <v>145900</v>
      </c>
      <c r="M1117" s="1">
        <v>42.6</v>
      </c>
      <c r="N1117" s="1">
        <v>6</v>
      </c>
      <c r="O1117" s="1">
        <v>16</v>
      </c>
      <c r="P1117" s="1">
        <v>2.4</v>
      </c>
      <c r="Q1117" s="11">
        <f>'Table H'!$J$50</f>
        <v>0.93396630344030318</v>
      </c>
      <c r="R1117" s="11">
        <f t="shared" si="35"/>
        <v>136265.68367194023</v>
      </c>
      <c r="S1117" s="11" t="str">
        <f t="shared" si="36"/>
        <v>Tavistock RD</v>
      </c>
      <c r="T1117" s="11" t="s">
        <v>5310</v>
      </c>
      <c r="V1117" s="11" t="str">
        <f>INDEX('Lookup 1961'!$A$2:$A$1300, MATCH(S1117, 'Lookup 1961'!$B$2:$B$1300,0))</f>
        <v>J04001253</v>
      </c>
      <c r="W1117" s="11" t="str">
        <f>INDEX('Lookup 1961'!$F$2:$F$1300, MATCH(S1117, 'Lookup 1961'!$B$2:$B$1300,0))</f>
        <v>e090235</v>
      </c>
      <c r="X1117" s="11" t="str">
        <f>INDEX('Lookup 1961'!$C$2:$C$1300, MATCH(V1117, 'Lookup 1961'!$A$2:$A$1300,0))</f>
        <v>Devon</v>
      </c>
    </row>
    <row r="1118" spans="1:24" ht="25.05" customHeight="1" x14ac:dyDescent="0.3">
      <c r="A1118" s="4" t="s">
        <v>268</v>
      </c>
      <c r="B1118" s="4" t="s">
        <v>268</v>
      </c>
      <c r="C1118" s="1">
        <v>22</v>
      </c>
      <c r="D1118" s="1">
        <v>10</v>
      </c>
      <c r="E1118" s="1">
        <v>15</v>
      </c>
      <c r="F1118" s="1">
        <v>2</v>
      </c>
      <c r="G1118" s="1">
        <v>16</v>
      </c>
      <c r="H1118" s="1">
        <v>0</v>
      </c>
      <c r="I1118" s="1">
        <v>15</v>
      </c>
      <c r="J1118" s="6">
        <v>1</v>
      </c>
      <c r="K1118" s="6">
        <v>716</v>
      </c>
      <c r="L1118" s="6">
        <v>181098</v>
      </c>
      <c r="M1118" s="6">
        <v>107.9</v>
      </c>
      <c r="N1118" s="6">
        <v>6</v>
      </c>
      <c r="O1118" s="6">
        <v>6</v>
      </c>
      <c r="P1118" s="6">
        <v>29.4</v>
      </c>
      <c r="Q1118" s="11">
        <f>'Table H'!$J$50</f>
        <v>0.93396630344030318</v>
      </c>
      <c r="R1118" s="11">
        <f t="shared" si="35"/>
        <v>169139.42962043203</v>
      </c>
      <c r="S1118" s="11" t="str">
        <f t="shared" si="36"/>
        <v>Tiverton RD</v>
      </c>
      <c r="T1118" s="11" t="s">
        <v>5310</v>
      </c>
      <c r="V1118" s="11" t="str">
        <f>INDEX('Lookup 1961'!$A$2:$A$1300, MATCH(S1118, 'Lookup 1961'!$B$2:$B$1300,0))</f>
        <v>J04001280</v>
      </c>
      <c r="W1118" s="11" t="str">
        <f>INDEX('Lookup 1961'!$F$2:$F$1300, MATCH(S1118, 'Lookup 1961'!$B$2:$B$1300,0))</f>
        <v>e090236</v>
      </c>
      <c r="X1118" s="11" t="str">
        <f>INDEX('Lookup 1961'!$C$2:$C$1300, MATCH(V1118, 'Lookup 1961'!$A$2:$A$1300,0))</f>
        <v>Devon</v>
      </c>
    </row>
    <row r="1119" spans="1:24" ht="25.05" customHeight="1" x14ac:dyDescent="0.3">
      <c r="A1119" s="4" t="s">
        <v>1004</v>
      </c>
      <c r="B1119" s="4" t="s">
        <v>1004</v>
      </c>
      <c r="C1119" s="1">
        <v>22</v>
      </c>
      <c r="D1119" s="1">
        <v>2</v>
      </c>
      <c r="E1119" s="1">
        <v>15</v>
      </c>
      <c r="F1119" s="1">
        <v>6</v>
      </c>
      <c r="G1119" s="1">
        <v>16</v>
      </c>
      <c r="H1119" s="1">
        <v>8</v>
      </c>
      <c r="I1119" s="1">
        <v>15</v>
      </c>
      <c r="J1119" s="1">
        <v>6</v>
      </c>
      <c r="K1119" s="6">
        <v>156</v>
      </c>
      <c r="L1119" s="6">
        <v>38930</v>
      </c>
      <c r="M1119" s="1">
        <v>71.7</v>
      </c>
      <c r="N1119" s="1">
        <v>4</v>
      </c>
      <c r="O1119" s="1">
        <v>0</v>
      </c>
      <c r="P1119" s="1">
        <v>17.2</v>
      </c>
      <c r="Q1119" s="11">
        <f>'Table H'!$J$50</f>
        <v>0.93396630344030318</v>
      </c>
      <c r="R1119" s="11">
        <f t="shared" si="35"/>
        <v>36359.308192930999</v>
      </c>
      <c r="S1119" s="11" t="str">
        <f t="shared" si="36"/>
        <v>Torrington RD</v>
      </c>
      <c r="T1119" s="11" t="s">
        <v>5310</v>
      </c>
      <c r="V1119" s="11" t="str">
        <f>INDEX('Lookup 1961'!$A$2:$A$1300, MATCH(S1119, 'Lookup 1961'!$B$2:$B$1300,0))</f>
        <v>J04001286</v>
      </c>
      <c r="W1119" s="11" t="str">
        <f>INDEX('Lookup 1961'!$F$2:$F$1300, MATCH(S1119, 'Lookup 1961'!$B$2:$B$1300,0))</f>
        <v>e090237</v>
      </c>
      <c r="X1119" s="11" t="str">
        <f>INDEX('Lookup 1961'!$C$2:$C$1300, MATCH(V1119, 'Lookup 1961'!$A$2:$A$1300,0))</f>
        <v>Devon</v>
      </c>
    </row>
    <row r="1120" spans="1:24" ht="25.05" customHeight="1" x14ac:dyDescent="0.3">
      <c r="A1120" s="4" t="s">
        <v>270</v>
      </c>
      <c r="B1120" s="4" t="s">
        <v>270</v>
      </c>
      <c r="C1120" s="1">
        <v>22</v>
      </c>
      <c r="D1120" s="1">
        <v>7</v>
      </c>
      <c r="E1120" s="1">
        <v>15</v>
      </c>
      <c r="F1120" s="1">
        <v>9</v>
      </c>
      <c r="G1120" s="1">
        <v>16</v>
      </c>
      <c r="H1120" s="1">
        <v>4</v>
      </c>
      <c r="I1120" s="1">
        <v>15</v>
      </c>
      <c r="J1120" s="6">
        <v>9</v>
      </c>
      <c r="K1120" s="6">
        <v>577</v>
      </c>
      <c r="L1120" s="6">
        <v>143464</v>
      </c>
      <c r="M1120" s="6">
        <v>65.400000000000006</v>
      </c>
      <c r="N1120" s="6">
        <v>7</v>
      </c>
      <c r="O1120" s="6">
        <v>16</v>
      </c>
      <c r="P1120" s="6">
        <v>11.5</v>
      </c>
      <c r="Q1120" s="11">
        <f>'Table H'!$J$50</f>
        <v>0.93396630344030318</v>
      </c>
      <c r="R1120" s="11">
        <f t="shared" si="35"/>
        <v>133990.54175675966</v>
      </c>
      <c r="S1120" s="11" t="str">
        <f t="shared" si="36"/>
        <v>Totnes RD</v>
      </c>
      <c r="T1120" s="11" t="s">
        <v>5310</v>
      </c>
      <c r="V1120" s="11" t="str">
        <f>INDEX('Lookup 1961'!$A$2:$A$1300, MATCH(S1120, 'Lookup 1961'!$B$2:$B$1300,0))</f>
        <v>J04001288</v>
      </c>
      <c r="W1120" s="11" t="str">
        <f>INDEX('Lookup 1961'!$F$2:$F$1300, MATCH(S1120, 'Lookup 1961'!$B$2:$B$1300,0))</f>
        <v>e090238</v>
      </c>
      <c r="X1120" s="11" t="str">
        <f>INDEX('Lookup 1961'!$C$2:$C$1300, MATCH(V1120, 'Lookup 1961'!$A$2:$A$1300,0))</f>
        <v>Devon</v>
      </c>
    </row>
    <row r="1121" spans="1:24" ht="25.05" customHeight="1" x14ac:dyDescent="0.3">
      <c r="A1121" s="4" t="s">
        <v>292</v>
      </c>
      <c r="B1121" s="4" t="s">
        <v>292</v>
      </c>
      <c r="S1121" s="11" t="str">
        <f t="shared" si="36"/>
        <v>DORSET: RD</v>
      </c>
      <c r="T1121" s="11" t="s">
        <v>5310</v>
      </c>
      <c r="V1121" s="11" t="e">
        <f>INDEX('Lookup 1961'!$A$2:$A$1300, MATCH(S1121, 'Lookup 1961'!$B$2:$B$1300,0))</f>
        <v>#N/A</v>
      </c>
      <c r="W1121" s="11" t="e">
        <f>INDEX('Lookup 1961'!$F$2:$F$1300, MATCH(S1121, 'Lookup 1961'!$B$2:$B$1300,0))</f>
        <v>#N/A</v>
      </c>
      <c r="X1121" s="11" t="e">
        <f>INDEX('Lookup 1961'!$C$2:$C$1300, MATCH(V1121, 'Lookup 1961'!$A$2:$A$1300,0))</f>
        <v>#N/A</v>
      </c>
    </row>
    <row r="1122" spans="1:24" ht="25.05" customHeight="1" x14ac:dyDescent="0.3">
      <c r="A1122" s="4" t="s">
        <v>1005</v>
      </c>
      <c r="B1122" s="4" t="s">
        <v>1005</v>
      </c>
      <c r="C1122" s="1">
        <v>22</v>
      </c>
      <c r="D1122" s="1">
        <v>0</v>
      </c>
      <c r="E1122" s="1">
        <v>15</v>
      </c>
      <c r="F1122" s="1">
        <v>10</v>
      </c>
      <c r="G1122" s="1">
        <v>16</v>
      </c>
      <c r="H1122" s="1">
        <v>5</v>
      </c>
      <c r="I1122" s="1">
        <v>15</v>
      </c>
      <c r="J1122" s="6">
        <v>10</v>
      </c>
      <c r="K1122" s="6">
        <v>286</v>
      </c>
      <c r="L1122" s="6">
        <v>70641</v>
      </c>
      <c r="M1122" s="6">
        <v>68.5</v>
      </c>
      <c r="N1122" s="6">
        <v>6</v>
      </c>
      <c r="O1122" s="6">
        <v>14</v>
      </c>
      <c r="P1122" s="6">
        <v>21.4</v>
      </c>
      <c r="Q1122" s="11">
        <f>'Table H'!$J$55</f>
        <v>0.89180702687049695</v>
      </c>
      <c r="R1122" s="11">
        <f t="shared" si="35"/>
        <v>62998.140185158773</v>
      </c>
      <c r="S1122" s="11" t="str">
        <f t="shared" si="36"/>
        <v>Beaminster RD</v>
      </c>
      <c r="T1122" s="11" t="s">
        <v>5310</v>
      </c>
      <c r="V1122" s="11" t="str">
        <f>INDEX('Lookup 1961'!$A$2:$A$1300, MATCH(S1122, 'Lookup 1961'!$B$2:$B$1300,0))</f>
        <v>J04000105</v>
      </c>
      <c r="W1122" s="11" t="str">
        <f>INDEX('Lookup 1961'!$F$2:$F$1300, MATCH(S1122, 'Lookup 1961'!$B$2:$B$1300,0))</f>
        <v>e100251</v>
      </c>
      <c r="X1122" s="11" t="str">
        <f>INDEX('Lookup 1961'!$C$2:$C$1300, MATCH(V1122, 'Lookup 1961'!$A$2:$A$1300,0))</f>
        <v>Dorset</v>
      </c>
    </row>
    <row r="1123" spans="1:24" ht="25.05" customHeight="1" x14ac:dyDescent="0.3">
      <c r="A1123" s="4" t="s">
        <v>1006</v>
      </c>
      <c r="B1123" s="4" t="s">
        <v>1006</v>
      </c>
      <c r="C1123" s="1">
        <v>23</v>
      </c>
      <c r="D1123" s="1">
        <v>4</v>
      </c>
      <c r="E1123" s="1">
        <v>15</v>
      </c>
      <c r="F1123" s="1">
        <v>4</v>
      </c>
      <c r="G1123" s="1">
        <v>15</v>
      </c>
      <c r="H1123" s="1">
        <v>8</v>
      </c>
      <c r="I1123" s="1">
        <v>15</v>
      </c>
      <c r="J1123" s="1">
        <v>4</v>
      </c>
      <c r="K1123" s="6">
        <v>310</v>
      </c>
      <c r="L1123" s="6">
        <v>83571</v>
      </c>
      <c r="M1123" s="1">
        <v>59.8</v>
      </c>
      <c r="N1123" s="1">
        <v>4</v>
      </c>
      <c r="O1123" s="1">
        <v>10</v>
      </c>
      <c r="P1123" s="1">
        <v>7.3</v>
      </c>
      <c r="Q1123" s="11">
        <f>'Table H'!$J$55</f>
        <v>0.89180702687049695</v>
      </c>
      <c r="R1123" s="11">
        <f t="shared" si="35"/>
        <v>74529.205042594302</v>
      </c>
      <c r="S1123" s="11" t="str">
        <f t="shared" si="36"/>
        <v>Blandford RD</v>
      </c>
      <c r="T1123" s="11" t="s">
        <v>5310</v>
      </c>
      <c r="V1123" s="11" t="str">
        <f>INDEX('Lookup 1961'!$A$2:$A$1300, MATCH(S1123, 'Lookup 1961'!$B$2:$B$1300,0))</f>
        <v>J04000162</v>
      </c>
      <c r="W1123" s="11" t="str">
        <f>INDEX('Lookup 1961'!$F$2:$F$1300, MATCH(S1123, 'Lookup 1961'!$B$2:$B$1300,0))</f>
        <v>e100252</v>
      </c>
      <c r="X1123" s="11" t="str">
        <f>INDEX('Lookup 1961'!$C$2:$C$1300, MATCH(V1123, 'Lookup 1961'!$A$2:$A$1300,0))</f>
        <v>Dorset</v>
      </c>
    </row>
    <row r="1124" spans="1:24" ht="25.05" customHeight="1" x14ac:dyDescent="0.3">
      <c r="A1124" s="4" t="s">
        <v>293</v>
      </c>
      <c r="B1124" s="4" t="s">
        <v>293</v>
      </c>
      <c r="C1124" s="1">
        <v>23</v>
      </c>
      <c r="D1124" s="1">
        <v>3</v>
      </c>
      <c r="E1124" s="1">
        <v>17</v>
      </c>
      <c r="F1124" s="1">
        <v>8</v>
      </c>
      <c r="G1124" s="1">
        <v>18</v>
      </c>
      <c r="H1124" s="1">
        <v>4</v>
      </c>
      <c r="I1124" s="1">
        <v>17</v>
      </c>
      <c r="J1124" s="6">
        <v>8</v>
      </c>
      <c r="K1124" s="6">
        <v>260</v>
      </c>
      <c r="L1124" s="6">
        <v>67568</v>
      </c>
      <c r="M1124" s="6">
        <v>85.2</v>
      </c>
      <c r="N1124" s="6">
        <v>7</v>
      </c>
      <c r="O1124" s="6">
        <v>12</v>
      </c>
      <c r="P1124" s="6">
        <v>32.4</v>
      </c>
      <c r="Q1124" s="11">
        <f>'Table H'!$J$55</f>
        <v>0.89180702687049695</v>
      </c>
      <c r="R1124" s="11">
        <f t="shared" si="35"/>
        <v>60257.617191585741</v>
      </c>
      <c r="S1124" s="11" t="str">
        <f t="shared" si="36"/>
        <v>Bridport RD</v>
      </c>
      <c r="T1124" s="11" t="s">
        <v>5310</v>
      </c>
      <c r="V1124" s="11" t="str">
        <f>INDEX('Lookup 1961'!$A$2:$A$1300, MATCH(S1124, 'Lookup 1961'!$B$2:$B$1300,0))</f>
        <v>J04000206</v>
      </c>
      <c r="W1124" s="11" t="str">
        <f>INDEX('Lookup 1961'!$F$2:$F$1300, MATCH(S1124, 'Lookup 1961'!$B$2:$B$1300,0))</f>
        <v>e100253</v>
      </c>
      <c r="X1124" s="11" t="str">
        <f>INDEX('Lookup 1961'!$C$2:$C$1300, MATCH(V1124, 'Lookup 1961'!$A$2:$A$1300,0))</f>
        <v>Dorset</v>
      </c>
    </row>
    <row r="1125" spans="1:24" ht="25.05" customHeight="1" x14ac:dyDescent="0.3">
      <c r="A1125" s="4" t="s">
        <v>294</v>
      </c>
      <c r="B1125" s="4" t="s">
        <v>294</v>
      </c>
      <c r="C1125" s="1">
        <v>25</v>
      </c>
      <c r="D1125" s="1">
        <v>0</v>
      </c>
      <c r="E1125" s="1">
        <v>18</v>
      </c>
      <c r="F1125" s="1">
        <v>3</v>
      </c>
      <c r="G1125" s="1">
        <v>18</v>
      </c>
      <c r="H1125" s="1">
        <v>9</v>
      </c>
      <c r="I1125" s="1">
        <v>18</v>
      </c>
      <c r="J1125" s="1">
        <v>3</v>
      </c>
      <c r="K1125" s="6">
        <v>510</v>
      </c>
      <c r="L1125" s="6">
        <v>128535</v>
      </c>
      <c r="M1125" s="1">
        <v>49.2</v>
      </c>
      <c r="N1125" s="1">
        <v>6</v>
      </c>
      <c r="O1125" s="1">
        <v>11</v>
      </c>
      <c r="P1125" s="1">
        <v>4.5999999999999996</v>
      </c>
      <c r="Q1125" s="11">
        <f>'Table H'!$J$55</f>
        <v>0.89180702687049695</v>
      </c>
      <c r="R1125" s="11">
        <f t="shared" si="35"/>
        <v>114628.41619879933</v>
      </c>
      <c r="S1125" s="11" t="str">
        <f t="shared" si="36"/>
        <v>Dorchester RD</v>
      </c>
      <c r="T1125" s="11" t="s">
        <v>5310</v>
      </c>
      <c r="V1125" s="11" t="str">
        <f>INDEX('Lookup 1961'!$A$2:$A$1300, MATCH(S1125, 'Lookup 1961'!$B$2:$B$1300,0))</f>
        <v>J04000417</v>
      </c>
      <c r="W1125" s="11" t="str">
        <f>INDEX('Lookup 1961'!$F$2:$F$1300, MATCH(S1125, 'Lookup 1961'!$B$2:$B$1300,0))</f>
        <v>e100254</v>
      </c>
      <c r="X1125" s="11" t="str">
        <f>INDEX('Lookup 1961'!$C$2:$C$1300, MATCH(V1125, 'Lookup 1961'!$A$2:$A$1300,0))</f>
        <v>Dorset</v>
      </c>
    </row>
    <row r="1126" spans="1:24" ht="25.05" customHeight="1" x14ac:dyDescent="0.3">
      <c r="A1126" s="4" t="s">
        <v>297</v>
      </c>
      <c r="B1126" s="4" t="s">
        <v>297</v>
      </c>
      <c r="C1126" s="1">
        <v>24</v>
      </c>
      <c r="D1126" s="1">
        <v>8</v>
      </c>
      <c r="E1126" s="1">
        <v>18</v>
      </c>
      <c r="F1126" s="1">
        <v>0</v>
      </c>
      <c r="G1126" s="1">
        <v>19</v>
      </c>
      <c r="H1126" s="1">
        <v>2</v>
      </c>
      <c r="I1126" s="1">
        <v>18</v>
      </c>
      <c r="J1126" s="6">
        <v>0</v>
      </c>
      <c r="K1126" s="6">
        <v>310</v>
      </c>
      <c r="L1126" s="6">
        <v>76143</v>
      </c>
      <c r="M1126" s="6">
        <v>69.2</v>
      </c>
      <c r="N1126" s="6">
        <v>6</v>
      </c>
      <c r="O1126" s="6">
        <v>16</v>
      </c>
      <c r="P1126" s="6">
        <v>28.7</v>
      </c>
      <c r="Q1126" s="11">
        <f>'Table H'!$J$55</f>
        <v>0.89180702687049695</v>
      </c>
      <c r="R1126" s="11">
        <f t="shared" si="35"/>
        <v>67904.862447000254</v>
      </c>
      <c r="S1126" s="11" t="str">
        <f t="shared" si="36"/>
        <v>Shaftesbury RD</v>
      </c>
      <c r="T1126" s="11" t="s">
        <v>5310</v>
      </c>
      <c r="V1126" s="11" t="str">
        <f>INDEX('Lookup 1961'!$A$2:$A$1300, MATCH(S1126, 'Lookup 1961'!$B$2:$B$1300,0))</f>
        <v>J04001124</v>
      </c>
      <c r="W1126" s="11" t="str">
        <f>INDEX('Lookup 1961'!$F$2:$F$1300, MATCH(S1126, 'Lookup 1961'!$B$2:$B$1300,0))</f>
        <v>e100255</v>
      </c>
      <c r="X1126" s="11" t="str">
        <f>INDEX('Lookup 1961'!$C$2:$C$1300, MATCH(V1126, 'Lookup 1961'!$A$2:$A$1300,0))</f>
        <v>Dorset</v>
      </c>
    </row>
    <row r="1127" spans="1:24" ht="25.05" customHeight="1" x14ac:dyDescent="0.3">
      <c r="A1127" s="4" t="s">
        <v>301</v>
      </c>
      <c r="B1127" s="4" t="s">
        <v>301</v>
      </c>
      <c r="C1127" s="1">
        <v>28</v>
      </c>
      <c r="D1127" s="1">
        <v>4</v>
      </c>
      <c r="E1127" s="1">
        <v>18</v>
      </c>
      <c r="F1127" s="1">
        <v>4</v>
      </c>
      <c r="G1127" s="1">
        <v>18</v>
      </c>
      <c r="H1127" s="1">
        <v>8</v>
      </c>
      <c r="I1127" s="1">
        <v>18</v>
      </c>
      <c r="J1127" s="1">
        <v>4</v>
      </c>
      <c r="K1127" s="6">
        <v>155</v>
      </c>
      <c r="L1127" s="6">
        <v>39582</v>
      </c>
      <c r="M1127" s="1">
        <v>40.200000000000003</v>
      </c>
      <c r="N1127" s="1">
        <v>5</v>
      </c>
      <c r="O1127" s="1">
        <v>17</v>
      </c>
      <c r="P1127" s="1">
        <v>12.6</v>
      </c>
      <c r="Q1127" s="11">
        <f>'Table H'!$J$55</f>
        <v>0.89180702687049695</v>
      </c>
      <c r="R1127" s="11">
        <f t="shared" si="35"/>
        <v>35299.505737588013</v>
      </c>
      <c r="S1127" s="11" t="str">
        <f t="shared" si="36"/>
        <v>Sherborne RD</v>
      </c>
      <c r="T1127" s="11" t="s">
        <v>5310</v>
      </c>
      <c r="V1127" s="11" t="str">
        <f>INDEX('Lookup 1961'!$A$2:$A$1300, MATCH(S1127, 'Lookup 1961'!$B$2:$B$1300,0))</f>
        <v>J04001131</v>
      </c>
      <c r="W1127" s="11" t="str">
        <f>INDEX('Lookup 1961'!$F$2:$F$1300, MATCH(S1127, 'Lookup 1961'!$B$2:$B$1300,0))</f>
        <v>e100256</v>
      </c>
      <c r="X1127" s="11" t="str">
        <f>INDEX('Lookup 1961'!$C$2:$C$1300, MATCH(V1127, 'Lookup 1961'!$A$2:$A$1300,0))</f>
        <v>Dorset</v>
      </c>
    </row>
    <row r="1128" spans="1:24" ht="25.05" customHeight="1" x14ac:dyDescent="0.3">
      <c r="A1128" s="4" t="s">
        <v>1007</v>
      </c>
      <c r="B1128" s="4" t="s">
        <v>1007</v>
      </c>
      <c r="C1128" s="1">
        <v>26</v>
      </c>
      <c r="D1128" s="1">
        <v>4</v>
      </c>
      <c r="E1128" s="1">
        <v>19</v>
      </c>
      <c r="F1128" s="1">
        <v>4</v>
      </c>
      <c r="G1128" s="1">
        <v>20</v>
      </c>
      <c r="H1128" s="1">
        <v>6</v>
      </c>
      <c r="I1128" s="1">
        <v>19</v>
      </c>
      <c r="J1128" s="6">
        <v>4</v>
      </c>
      <c r="K1128" s="6">
        <v>287</v>
      </c>
      <c r="L1128" s="6">
        <v>73138</v>
      </c>
      <c r="M1128" s="6">
        <v>55.5</v>
      </c>
      <c r="N1128" s="6">
        <v>6</v>
      </c>
      <c r="O1128" s="6">
        <v>16</v>
      </c>
      <c r="P1128" s="6">
        <v>11.6</v>
      </c>
      <c r="Q1128" s="11">
        <f>'Table H'!$J$55</f>
        <v>0.89180702687049695</v>
      </c>
      <c r="R1128" s="11">
        <f t="shared" si="35"/>
        <v>65224.982331254403</v>
      </c>
      <c r="S1128" s="11" t="str">
        <f t="shared" si="36"/>
        <v>Sturminster RD</v>
      </c>
      <c r="T1128" s="11" t="s">
        <v>5310</v>
      </c>
      <c r="V1128" s="11" t="str">
        <f>INDEX('Lookup 1961'!$A$2:$A$1300, MATCH(S1128, 'Lookup 1961'!$B$2:$B$1300,0))</f>
        <v>J04001228</v>
      </c>
      <c r="W1128" s="11" t="str">
        <f>INDEX('Lookup 1961'!$F$2:$F$1300, MATCH(S1128, 'Lookup 1961'!$B$2:$B$1300,0))</f>
        <v>e100257</v>
      </c>
      <c r="X1128" s="11" t="str">
        <f>INDEX('Lookup 1961'!$C$2:$C$1300, MATCH(V1128, 'Lookup 1961'!$A$2:$A$1300,0))</f>
        <v>Dorset</v>
      </c>
    </row>
    <row r="1129" spans="1:24" ht="25.05" customHeight="1" x14ac:dyDescent="0.3">
      <c r="A1129" s="4" t="s">
        <v>1008</v>
      </c>
      <c r="B1129" s="4" t="s">
        <v>1008</v>
      </c>
      <c r="C1129" s="1">
        <v>20</v>
      </c>
      <c r="D1129" s="1">
        <v>8</v>
      </c>
      <c r="E1129" s="1">
        <v>15</v>
      </c>
      <c r="F1129" s="1">
        <v>6</v>
      </c>
      <c r="G1129" s="1">
        <v>16</v>
      </c>
      <c r="H1129" s="1">
        <v>0</v>
      </c>
      <c r="I1129" s="1">
        <v>15</v>
      </c>
      <c r="J1129" s="1">
        <v>6</v>
      </c>
      <c r="K1129" s="6">
        <v>652</v>
      </c>
      <c r="L1129" s="6">
        <v>162706</v>
      </c>
      <c r="M1129" s="1">
        <v>54.6</v>
      </c>
      <c r="N1129" s="1">
        <v>6</v>
      </c>
      <c r="O1129" s="1">
        <v>12</v>
      </c>
      <c r="P1129" s="1">
        <v>23.5</v>
      </c>
      <c r="Q1129" s="11">
        <f>'Table H'!$J$55</f>
        <v>0.89180702687049695</v>
      </c>
      <c r="R1129" s="11">
        <f t="shared" si="35"/>
        <v>145102.35411399108</v>
      </c>
      <c r="S1129" s="11" t="str">
        <f t="shared" si="36"/>
        <v>Wareham and Purbeck RD</v>
      </c>
      <c r="T1129" s="11" t="s">
        <v>5310</v>
      </c>
      <c r="V1129" s="11" t="str">
        <f>INDEX('Lookup 1961'!$A$2:$A$1300, MATCH(S1129, 'Lookup 1961'!$B$2:$B$1300,0))</f>
        <v>J04001341</v>
      </c>
      <c r="W1129" s="11" t="str">
        <f>INDEX('Lookup 1961'!$F$2:$F$1300, MATCH(S1129, 'Lookup 1961'!$B$2:$B$1300,0))</f>
        <v>e100258</v>
      </c>
      <c r="X1129" s="11" t="str">
        <f>INDEX('Lookup 1961'!$C$2:$C$1300, MATCH(V1129, 'Lookup 1961'!$A$2:$A$1300,0))</f>
        <v>Dorset</v>
      </c>
    </row>
    <row r="1130" spans="1:24" ht="25.05" customHeight="1" x14ac:dyDescent="0.3">
      <c r="A1130" s="4" t="s">
        <v>1009</v>
      </c>
      <c r="B1130" s="4" t="s">
        <v>1009</v>
      </c>
      <c r="C1130" s="1">
        <v>23</v>
      </c>
      <c r="D1130" s="1">
        <v>6</v>
      </c>
      <c r="E1130" s="1">
        <v>16</v>
      </c>
      <c r="F1130" s="1">
        <v>2</v>
      </c>
      <c r="G1130" s="1">
        <v>16</v>
      </c>
      <c r="H1130" s="1">
        <v>6</v>
      </c>
      <c r="I1130" s="1">
        <v>16</v>
      </c>
      <c r="J1130" s="6">
        <v>2</v>
      </c>
      <c r="K1130" s="6">
        <v>891</v>
      </c>
      <c r="L1130" s="6">
        <v>223592</v>
      </c>
      <c r="M1130" s="6">
        <v>74</v>
      </c>
      <c r="N1130" s="6">
        <v>7</v>
      </c>
      <c r="O1130" s="6">
        <v>7</v>
      </c>
      <c r="P1130" s="6">
        <v>12.8</v>
      </c>
      <c r="Q1130" s="11">
        <f>'Table H'!$J$55</f>
        <v>0.89180702687049695</v>
      </c>
      <c r="R1130" s="11">
        <f t="shared" si="35"/>
        <v>199400.91675202816</v>
      </c>
      <c r="S1130" s="11" t="str">
        <f t="shared" si="36"/>
        <v>Wimborne and Cranborne RD</v>
      </c>
      <c r="T1130" s="11" t="s">
        <v>5310</v>
      </c>
      <c r="V1130" s="11" t="str">
        <f>INDEX('Lookup 1961'!$A$2:$A$1300, MATCH(S1130, 'Lookup 1961'!$B$2:$B$1300,0))</f>
        <v>J04001419</v>
      </c>
      <c r="W1130" s="11" t="str">
        <f>INDEX('Lookup 1961'!$F$2:$F$1300, MATCH(S1130, 'Lookup 1961'!$B$2:$B$1300,0))</f>
        <v>e100259</v>
      </c>
      <c r="X1130" s="11" t="str">
        <f>INDEX('Lookup 1961'!$C$2:$C$1300, MATCH(V1130, 'Lookup 1961'!$A$2:$A$1300,0))</f>
        <v>Dorset</v>
      </c>
    </row>
    <row r="1131" spans="1:24" ht="25.05" customHeight="1" x14ac:dyDescent="0.3">
      <c r="A1131" s="4" t="s">
        <v>304</v>
      </c>
      <c r="B1131" s="4" t="s">
        <v>304</v>
      </c>
      <c r="S1131" s="11" t="str">
        <f t="shared" si="36"/>
        <v>DURHAM: RD</v>
      </c>
      <c r="T1131" s="11" t="s">
        <v>5310</v>
      </c>
      <c r="V1131" s="11" t="e">
        <f>INDEX('Lookup 1961'!$A$2:$A$1300, MATCH(S1131, 'Lookup 1961'!$B$2:$B$1300,0))</f>
        <v>#N/A</v>
      </c>
      <c r="W1131" s="11" t="e">
        <f>INDEX('Lookup 1961'!$F$2:$F$1300, MATCH(S1131, 'Lookup 1961'!$B$2:$B$1300,0))</f>
        <v>#N/A</v>
      </c>
      <c r="X1131" s="11" t="e">
        <f>INDEX('Lookup 1961'!$C$2:$C$1300, MATCH(V1131, 'Lookup 1961'!$A$2:$A$1300,0))</f>
        <v>#N/A</v>
      </c>
    </row>
    <row r="1132" spans="1:24" ht="25.05" customHeight="1" x14ac:dyDescent="0.3">
      <c r="A1132" s="4" t="s">
        <v>309</v>
      </c>
      <c r="B1132" s="4" t="s">
        <v>309</v>
      </c>
      <c r="C1132" s="1">
        <v>25</v>
      </c>
      <c r="D1132" s="1">
        <v>0</v>
      </c>
      <c r="E1132" s="1">
        <v>18</v>
      </c>
      <c r="F1132" s="1">
        <v>0</v>
      </c>
      <c r="G1132" s="1">
        <v>19</v>
      </c>
      <c r="H1132" s="1">
        <v>7</v>
      </c>
      <c r="I1132" s="1">
        <v>18</v>
      </c>
      <c r="J1132" s="6">
        <v>0</v>
      </c>
      <c r="K1132" s="6">
        <v>415</v>
      </c>
      <c r="L1132" s="6">
        <v>113754</v>
      </c>
      <c r="M1132" s="6">
        <v>46.5</v>
      </c>
      <c r="N1132" s="6">
        <v>4</v>
      </c>
      <c r="O1132" s="6">
        <v>15</v>
      </c>
      <c r="P1132" s="6">
        <v>3.4</v>
      </c>
      <c r="Q1132" s="11">
        <f>'Table H'!$J$60</f>
        <v>0.83403672377743987</v>
      </c>
      <c r="R1132" s="11">
        <f t="shared" si="35"/>
        <v>94875.013476578897</v>
      </c>
      <c r="S1132" s="11" t="str">
        <f t="shared" si="36"/>
        <v>Barnard Castle RD</v>
      </c>
      <c r="T1132" s="11" t="s">
        <v>5310</v>
      </c>
      <c r="V1132" s="11" t="str">
        <f>INDEX('Lookup 1961'!$A$2:$A$1300, MATCH(S1132, 'Lookup 1961'!$B$2:$B$1300,0))</f>
        <v>J04000082</v>
      </c>
      <c r="W1132" s="11" t="str">
        <f>INDEX('Lookup 1961'!$F$2:$F$1300, MATCH(S1132, 'Lookup 1961'!$B$2:$B$1300,0))</f>
        <v>e110290</v>
      </c>
      <c r="X1132" s="11" t="str">
        <f>INDEX('Lookup 1961'!$C$2:$C$1300, MATCH(V1132, 'Lookup 1961'!$A$2:$A$1300,0))</f>
        <v>Durham</v>
      </c>
    </row>
    <row r="1133" spans="1:24" ht="25.05" customHeight="1" x14ac:dyDescent="0.3">
      <c r="A1133" s="4" t="s">
        <v>315</v>
      </c>
      <c r="B1133" s="4" t="s">
        <v>5254</v>
      </c>
      <c r="C1133" s="1">
        <v>23</v>
      </c>
      <c r="D1133" s="1">
        <v>8</v>
      </c>
      <c r="E1133" s="1">
        <v>16</v>
      </c>
      <c r="F1133" s="1">
        <v>0</v>
      </c>
      <c r="G1133" s="1">
        <v>20</v>
      </c>
      <c r="H1133" s="1">
        <v>0</v>
      </c>
      <c r="I1133" s="1">
        <v>16</v>
      </c>
      <c r="J1133" s="1">
        <v>0</v>
      </c>
      <c r="K1133" s="6">
        <v>1120</v>
      </c>
      <c r="L1133" s="6">
        <v>307468</v>
      </c>
      <c r="M1133" s="1">
        <v>67.2</v>
      </c>
      <c r="N1133" s="1">
        <v>6</v>
      </c>
      <c r="O1133" s="1">
        <v>6</v>
      </c>
      <c r="P1133" s="1">
        <v>15.9</v>
      </c>
      <c r="Q1133" s="11">
        <f>'Table H'!$J$60</f>
        <v>0.83403672377743987</v>
      </c>
      <c r="R1133" s="11">
        <f t="shared" si="35"/>
        <v>256439.60338640187</v>
      </c>
      <c r="S1133" s="11" t="str">
        <f t="shared" si="36"/>
        <v>Chester le Street RD</v>
      </c>
      <c r="T1133" s="11" t="s">
        <v>5310</v>
      </c>
      <c r="V1133" s="11" t="str">
        <f>INDEX('Lookup 1961'!$A$2:$A$1300, MATCH(S1133, 'Lookup 1961'!$B$2:$B$1300,0))</f>
        <v>J04000298</v>
      </c>
      <c r="W1133" s="11" t="str">
        <f>INDEX('Lookup 1961'!$F$2:$F$1300, MATCH(S1133, 'Lookup 1961'!$B$2:$B$1300,0))</f>
        <v>e110291</v>
      </c>
      <c r="X1133" s="11" t="str">
        <f>INDEX('Lookup 1961'!$C$2:$C$1300, MATCH(V1133, 'Lookup 1961'!$A$2:$A$1300,0))</f>
        <v>Durham</v>
      </c>
    </row>
    <row r="1134" spans="1:24" ht="25.05" customHeight="1" x14ac:dyDescent="0.3">
      <c r="A1134" s="4" t="s">
        <v>87</v>
      </c>
      <c r="B1134" s="4" t="s">
        <v>87</v>
      </c>
      <c r="C1134" s="1">
        <v>20</v>
      </c>
      <c r="D1134" s="1">
        <v>0</v>
      </c>
      <c r="E1134" s="1">
        <v>13</v>
      </c>
      <c r="F1134" s="1">
        <v>4</v>
      </c>
      <c r="G1134" s="1">
        <v>14</v>
      </c>
      <c r="H1134" s="1">
        <v>0</v>
      </c>
      <c r="I1134" s="1">
        <v>13</v>
      </c>
      <c r="J1134" s="6">
        <v>4</v>
      </c>
      <c r="K1134" s="6">
        <v>840</v>
      </c>
      <c r="L1134" s="6">
        <v>209528</v>
      </c>
      <c r="M1134" s="6">
        <v>71.2</v>
      </c>
      <c r="N1134" s="6">
        <v>8</v>
      </c>
      <c r="O1134" s="6">
        <v>2</v>
      </c>
      <c r="P1134" s="6">
        <v>15.4</v>
      </c>
      <c r="Q1134" s="11">
        <f>'Table H'!$J$60</f>
        <v>0.83403672377743987</v>
      </c>
      <c r="R1134" s="11">
        <f t="shared" si="35"/>
        <v>174754.04665963943</v>
      </c>
      <c r="S1134" s="11" t="str">
        <f t="shared" si="36"/>
        <v>Darlington RD</v>
      </c>
      <c r="T1134" s="11" t="s">
        <v>5310</v>
      </c>
      <c r="V1134" s="11" t="str">
        <f>INDEX('Lookup 1961'!$A$2:$A$1300, MATCH(S1134, 'Lookup 1961'!$B$2:$B$1300,0))</f>
        <v>J04000382</v>
      </c>
      <c r="W1134" s="11" t="str">
        <f>INDEX('Lookup 1961'!$F$2:$F$1300, MATCH(S1134, 'Lookup 1961'!$B$2:$B$1300,0))</f>
        <v>e110296</v>
      </c>
      <c r="X1134" s="11" t="str">
        <f>INDEX('Lookup 1961'!$C$2:$C$1300, MATCH(V1134, 'Lookup 1961'!$A$2:$A$1300,0))</f>
        <v>Durham</v>
      </c>
    </row>
    <row r="1135" spans="1:24" ht="25.05" customHeight="1" x14ac:dyDescent="0.3">
      <c r="A1135" s="4" t="s">
        <v>305</v>
      </c>
      <c r="B1135" s="4" t="s">
        <v>305</v>
      </c>
      <c r="C1135" s="1">
        <v>26</v>
      </c>
      <c r="D1135" s="1">
        <v>0</v>
      </c>
      <c r="E1135" s="1">
        <v>16</v>
      </c>
      <c r="F1135" s="1">
        <v>10</v>
      </c>
      <c r="G1135" s="1">
        <v>19</v>
      </c>
      <c r="H1135" s="1">
        <v>0</v>
      </c>
      <c r="I1135" s="1">
        <v>16</v>
      </c>
      <c r="J1135" s="1">
        <v>10</v>
      </c>
      <c r="K1135" s="6">
        <v>885</v>
      </c>
      <c r="L1135" s="6">
        <v>248125</v>
      </c>
      <c r="M1135" s="1">
        <v>79.7</v>
      </c>
      <c r="N1135" s="1">
        <v>5</v>
      </c>
      <c r="O1135" s="1">
        <v>14</v>
      </c>
      <c r="P1135" s="1">
        <v>14.1</v>
      </c>
      <c r="Q1135" s="11">
        <f>'Table H'!$J$60</f>
        <v>0.83403672377743987</v>
      </c>
      <c r="R1135" s="11">
        <f t="shared" si="35"/>
        <v>206945.36208727726</v>
      </c>
      <c r="S1135" s="11" t="str">
        <f t="shared" si="36"/>
        <v>Durham RD</v>
      </c>
      <c r="T1135" s="11" t="s">
        <v>5310</v>
      </c>
      <c r="V1135" s="11" t="str">
        <f>INDEX('Lookup 1961'!$A$2:$A$1300, MATCH(S1135, 'Lookup 1961'!$B$2:$B$1300,0))</f>
        <v>J04000438</v>
      </c>
      <c r="W1135" s="11" t="str">
        <f>INDEX('Lookup 1961'!$F$2:$F$1300, MATCH(S1135, 'Lookup 1961'!$B$2:$B$1300,0))</f>
        <v>e110298</v>
      </c>
      <c r="X1135" s="11" t="str">
        <f>INDEX('Lookup 1961'!$C$2:$C$1300, MATCH(V1135, 'Lookup 1961'!$A$2:$A$1300,0))</f>
        <v>Durham</v>
      </c>
    </row>
    <row r="1136" spans="1:24" ht="25.05" customHeight="1" x14ac:dyDescent="0.3">
      <c r="A1136" s="4" t="s">
        <v>1010</v>
      </c>
      <c r="B1136" s="4" t="s">
        <v>1010</v>
      </c>
      <c r="C1136" s="1">
        <v>22</v>
      </c>
      <c r="D1136" s="1">
        <v>8</v>
      </c>
      <c r="E1136" s="1">
        <v>15</v>
      </c>
      <c r="F1136" s="1">
        <v>2</v>
      </c>
      <c r="G1136" s="1">
        <v>17</v>
      </c>
      <c r="H1136" s="1">
        <v>2</v>
      </c>
      <c r="I1136" s="1">
        <v>15</v>
      </c>
      <c r="J1136" s="6">
        <v>2</v>
      </c>
      <c r="K1136" s="6">
        <v>2073</v>
      </c>
      <c r="L1136" s="6">
        <v>565381</v>
      </c>
      <c r="M1136" s="6">
        <v>63.8</v>
      </c>
      <c r="N1136" s="6">
        <v>5</v>
      </c>
      <c r="O1136" s="6">
        <v>1</v>
      </c>
      <c r="P1136" s="6">
        <v>9.1</v>
      </c>
      <c r="Q1136" s="11">
        <f>'Table H'!$J$60</f>
        <v>0.83403672377743987</v>
      </c>
      <c r="R1136" s="11">
        <f t="shared" si="35"/>
        <v>471548.51692601276</v>
      </c>
      <c r="S1136" s="11" t="str">
        <f t="shared" si="36"/>
        <v>Easington RD</v>
      </c>
      <c r="T1136" s="11" t="s">
        <v>5310</v>
      </c>
      <c r="V1136" s="11" t="str">
        <f>INDEX('Lookup 1961'!$A$2:$A$1300, MATCH(S1136, 'Lookup 1961'!$B$2:$B$1300,0))</f>
        <v>J04000443</v>
      </c>
      <c r="W1136" s="11" t="str">
        <f>INDEX('Lookup 1961'!$F$2:$F$1300, MATCH(S1136, 'Lookup 1961'!$B$2:$B$1300,0))</f>
        <v>e110299</v>
      </c>
      <c r="X1136" s="11" t="str">
        <f>INDEX('Lookup 1961'!$C$2:$C$1300, MATCH(V1136, 'Lookup 1961'!$A$2:$A$1300,0))</f>
        <v>Durham</v>
      </c>
    </row>
    <row r="1137" spans="1:24" ht="25.05" customHeight="1" x14ac:dyDescent="0.3">
      <c r="A1137" s="4" t="s">
        <v>1011</v>
      </c>
      <c r="B1137" s="4" t="s">
        <v>1011</v>
      </c>
      <c r="C1137" s="1">
        <v>24</v>
      </c>
      <c r="D1137" s="1">
        <v>0</v>
      </c>
      <c r="E1137" s="1">
        <v>14</v>
      </c>
      <c r="F1137" s="1">
        <v>8</v>
      </c>
      <c r="G1137" s="1">
        <v>15</v>
      </c>
      <c r="H1137" s="1">
        <v>0</v>
      </c>
      <c r="I1137" s="1">
        <v>14</v>
      </c>
      <c r="J1137" s="1">
        <v>8</v>
      </c>
      <c r="K1137" s="6">
        <v>434</v>
      </c>
      <c r="L1137" s="6">
        <v>126658</v>
      </c>
      <c r="M1137" s="1">
        <v>61.9</v>
      </c>
      <c r="N1137" s="1">
        <v>5</v>
      </c>
      <c r="O1137" s="1">
        <v>7</v>
      </c>
      <c r="P1137" s="1">
        <v>4.0999999999999996</v>
      </c>
      <c r="Q1137" s="11">
        <f>'Table H'!$J$60</f>
        <v>0.83403672377743987</v>
      </c>
      <c r="R1137" s="11">
        <f t="shared" si="35"/>
        <v>105637.42336020299</v>
      </c>
      <c r="S1137" s="11" t="str">
        <f t="shared" si="36"/>
        <v>Lanchester RD</v>
      </c>
      <c r="T1137" s="11" t="s">
        <v>5310</v>
      </c>
      <c r="V1137" s="11" t="str">
        <f>INDEX('Lookup 1961'!$A$2:$A$1300, MATCH(S1137, 'Lookup 1961'!$B$2:$B$1300,0))</f>
        <v>J04000720</v>
      </c>
      <c r="W1137" s="11" t="str">
        <f>INDEX('Lookup 1961'!$F$2:$F$1300, MATCH(S1137, 'Lookup 1961'!$B$2:$B$1300,0))</f>
        <v>e110302</v>
      </c>
      <c r="X1137" s="11" t="str">
        <f>INDEX('Lookup 1961'!$C$2:$C$1300, MATCH(V1137, 'Lookup 1961'!$A$2:$A$1300,0))</f>
        <v>Durham</v>
      </c>
    </row>
    <row r="1138" spans="1:24" ht="25.05" customHeight="1" x14ac:dyDescent="0.3">
      <c r="A1138" s="4" t="s">
        <v>1012</v>
      </c>
      <c r="B1138" s="4" t="s">
        <v>1012</v>
      </c>
      <c r="C1138" s="1">
        <v>25</v>
      </c>
      <c r="D1138" s="1">
        <v>4</v>
      </c>
      <c r="E1138" s="1">
        <v>16</v>
      </c>
      <c r="F1138" s="1">
        <v>0</v>
      </c>
      <c r="G1138" s="1">
        <v>17</v>
      </c>
      <c r="H1138" s="1">
        <v>10</v>
      </c>
      <c r="I1138" s="1">
        <v>16</v>
      </c>
      <c r="J1138" s="6">
        <v>0</v>
      </c>
      <c r="K1138" s="6">
        <v>1026</v>
      </c>
      <c r="L1138" s="6">
        <v>275040</v>
      </c>
      <c r="M1138" s="6">
        <v>93.1</v>
      </c>
      <c r="N1138" s="6">
        <v>6</v>
      </c>
      <c r="O1138" s="6">
        <v>6</v>
      </c>
      <c r="P1138" s="6">
        <v>25.9</v>
      </c>
      <c r="Q1138" s="11">
        <f>'Table H'!$J$60</f>
        <v>0.83403672377743987</v>
      </c>
      <c r="R1138" s="11">
        <f t="shared" si="35"/>
        <v>229393.46050774705</v>
      </c>
      <c r="S1138" s="11" t="str">
        <f t="shared" si="36"/>
        <v>Sedgefield RD</v>
      </c>
      <c r="T1138" s="11" t="s">
        <v>5310</v>
      </c>
      <c r="V1138" s="11" t="str">
        <f>INDEX('Lookup 1961'!$A$2:$A$1300, MATCH(S1138, 'Lookup 1961'!$B$2:$B$1300,0))</f>
        <v>J04001115</v>
      </c>
      <c r="W1138" s="11" t="str">
        <f>INDEX('Lookup 1961'!$F$2:$F$1300, MATCH(S1138, 'Lookup 1961'!$B$2:$B$1300,0))</f>
        <v>e110303</v>
      </c>
      <c r="X1138" s="11" t="str">
        <f>INDEX('Lookup 1961'!$C$2:$C$1300, MATCH(V1138, 'Lookup 1961'!$A$2:$A$1300,0))</f>
        <v>Durham</v>
      </c>
    </row>
    <row r="1139" spans="1:24" ht="25.05" customHeight="1" x14ac:dyDescent="0.3">
      <c r="A1139" s="4" t="s">
        <v>1013</v>
      </c>
      <c r="B1139" s="4" t="s">
        <v>1013</v>
      </c>
      <c r="C1139" s="1">
        <v>18</v>
      </c>
      <c r="D1139" s="1">
        <v>4</v>
      </c>
      <c r="E1139" s="1">
        <v>11</v>
      </c>
      <c r="F1139" s="1">
        <v>6</v>
      </c>
      <c r="G1139" s="1">
        <v>13</v>
      </c>
      <c r="H1139" s="1">
        <v>0</v>
      </c>
      <c r="I1139" s="1">
        <v>11</v>
      </c>
      <c r="J1139" s="1">
        <v>6</v>
      </c>
      <c r="K1139" s="6">
        <v>448</v>
      </c>
      <c r="L1139" s="6">
        <v>112128</v>
      </c>
      <c r="M1139" s="1">
        <v>64.2</v>
      </c>
      <c r="N1139" s="1">
        <v>8</v>
      </c>
      <c r="O1139" s="1">
        <v>6</v>
      </c>
      <c r="P1139" s="1">
        <v>17.7</v>
      </c>
      <c r="Q1139" s="11">
        <f>'Table H'!$J$60</f>
        <v>0.83403672377743987</v>
      </c>
      <c r="R1139" s="11">
        <f t="shared" si="35"/>
        <v>93518.869763716779</v>
      </c>
      <c r="S1139" s="11" t="str">
        <f t="shared" si="36"/>
        <v>Stockton RD</v>
      </c>
      <c r="T1139" s="11" t="s">
        <v>5310</v>
      </c>
      <c r="V1139" s="11" t="str">
        <f>INDEX('Lookup 1961'!$A$2:$A$1300, MATCH(S1139, 'Lookup 1961'!$B$2:$B$1300,0))</f>
        <v>J04001211</v>
      </c>
      <c r="W1139" s="11" t="str">
        <f>INDEX('Lookup 1961'!$F$2:$F$1300, MATCH(S1139, 'Lookup 1961'!$B$2:$B$1300,0))</f>
        <v>e110305</v>
      </c>
      <c r="X1139" s="11" t="str">
        <f>INDEX('Lookup 1961'!$C$2:$C$1300, MATCH(V1139, 'Lookup 1961'!$A$2:$A$1300,0))</f>
        <v>Cleveland</v>
      </c>
    </row>
    <row r="1140" spans="1:24" ht="25.05" customHeight="1" x14ac:dyDescent="0.3">
      <c r="A1140" s="4" t="s">
        <v>132</v>
      </c>
      <c r="B1140" s="4" t="s">
        <v>132</v>
      </c>
      <c r="C1140" s="1">
        <v>22</v>
      </c>
      <c r="D1140" s="1">
        <v>4</v>
      </c>
      <c r="E1140" s="1">
        <v>15</v>
      </c>
      <c r="F1140" s="1">
        <v>6</v>
      </c>
      <c r="G1140" s="1">
        <v>15</v>
      </c>
      <c r="H1140" s="1">
        <v>10</v>
      </c>
      <c r="I1140" s="1">
        <v>15</v>
      </c>
      <c r="J1140" s="6">
        <v>8</v>
      </c>
      <c r="K1140" s="6">
        <v>758</v>
      </c>
      <c r="L1140" s="6">
        <v>197090</v>
      </c>
      <c r="M1140" s="6">
        <v>63.2</v>
      </c>
      <c r="N1140" s="6">
        <v>5</v>
      </c>
      <c r="O1140" s="6">
        <v>14</v>
      </c>
      <c r="P1140" s="6">
        <v>14.6</v>
      </c>
      <c r="Q1140" s="11">
        <f>'Table H'!$J$60</f>
        <v>0.83403672377743987</v>
      </c>
      <c r="R1140" s="11">
        <f t="shared" si="35"/>
        <v>164380.29788929562</v>
      </c>
      <c r="S1140" s="11" t="str">
        <f t="shared" si="36"/>
        <v>Sunderland RD</v>
      </c>
      <c r="T1140" s="11" t="s">
        <v>5310</v>
      </c>
      <c r="V1140" s="11" t="str">
        <f>INDEX('Lookup 1961'!$A$2:$A$1300, MATCH(S1140, 'Lookup 1961'!$B$2:$B$1300,0))</f>
        <v>J04001232</v>
      </c>
      <c r="W1140" s="11" t="str">
        <f>INDEX('Lookup 1961'!$F$2:$F$1300, MATCH(S1140, 'Lookup 1961'!$B$2:$B$1300,0))</f>
        <v>e110264</v>
      </c>
      <c r="X1140" s="11" t="str">
        <f>INDEX('Lookup 1961'!$C$2:$C$1300, MATCH(V1140, 'Lookup 1961'!$A$2:$A$1300,0))</f>
        <v>Tyne And Wear</v>
      </c>
    </row>
    <row r="1141" spans="1:24" ht="25.05" customHeight="1" x14ac:dyDescent="0.3">
      <c r="A1141" s="4" t="s">
        <v>1014</v>
      </c>
      <c r="B1141" s="4" t="s">
        <v>1014</v>
      </c>
      <c r="C1141" s="1">
        <v>20</v>
      </c>
      <c r="D1141" s="1">
        <v>1</v>
      </c>
      <c r="E1141" s="1">
        <v>13</v>
      </c>
      <c r="F1141" s="1">
        <v>8</v>
      </c>
      <c r="G1141" s="1">
        <v>14</v>
      </c>
      <c r="H1141" s="1">
        <v>6</v>
      </c>
      <c r="I1141" s="1">
        <v>13</v>
      </c>
      <c r="J1141" s="1">
        <v>8</v>
      </c>
      <c r="K1141" s="6">
        <v>363</v>
      </c>
      <c r="L1141" s="6">
        <v>96067</v>
      </c>
      <c r="M1141" s="1">
        <v>54.3</v>
      </c>
      <c r="N1141" s="1">
        <v>6</v>
      </c>
      <c r="O1141" s="1">
        <v>18</v>
      </c>
      <c r="P1141" s="1">
        <v>1.7</v>
      </c>
      <c r="Q1141" s="11">
        <f>'Table H'!$J$60</f>
        <v>0.83403672377743987</v>
      </c>
      <c r="R1141" s="11">
        <f t="shared" si="35"/>
        <v>80123.40594312732</v>
      </c>
      <c r="S1141" s="11" t="str">
        <f t="shared" si="36"/>
        <v>Weardale RD</v>
      </c>
      <c r="T1141" s="11" t="s">
        <v>5310</v>
      </c>
      <c r="V1141" s="11" t="str">
        <f>INDEX('Lookup 1961'!$A$2:$A$1300, MATCH(S1141, 'Lookup 1961'!$B$2:$B$1300,0))</f>
        <v>J04001358</v>
      </c>
      <c r="W1141" s="11" t="str">
        <f>INDEX('Lookup 1961'!$F$2:$F$1300, MATCH(S1141, 'Lookup 1961'!$B$2:$B$1300,0))</f>
        <v>e110306</v>
      </c>
      <c r="X1141" s="11" t="str">
        <f>INDEX('Lookup 1961'!$C$2:$C$1300, MATCH(V1141, 'Lookup 1961'!$A$2:$A$1300,0))</f>
        <v>Durham</v>
      </c>
    </row>
    <row r="1142" spans="1:24" ht="25.05" customHeight="1" x14ac:dyDescent="0.3">
      <c r="A1142" s="4" t="s">
        <v>330</v>
      </c>
      <c r="B1142" s="4" t="s">
        <v>330</v>
      </c>
      <c r="S1142" s="11" t="str">
        <f t="shared" si="36"/>
        <v>ESSEX: RD</v>
      </c>
      <c r="T1142" s="11" t="s">
        <v>5310</v>
      </c>
      <c r="V1142" s="11" t="e">
        <f>INDEX('Lookup 1961'!$A$2:$A$1300, MATCH(S1142, 'Lookup 1961'!$B$2:$B$1300,0))</f>
        <v>#N/A</v>
      </c>
      <c r="W1142" s="11" t="e">
        <f>INDEX('Lookup 1961'!$F$2:$F$1300, MATCH(S1142, 'Lookup 1961'!$B$2:$B$1300,0))</f>
        <v>#N/A</v>
      </c>
      <c r="X1142" s="11" t="e">
        <f>INDEX('Lookup 1961'!$C$2:$C$1300, MATCH(V1142, 'Lookup 1961'!$A$2:$A$1300,0))</f>
        <v>#N/A</v>
      </c>
    </row>
    <row r="1143" spans="1:24" ht="25.05" customHeight="1" x14ac:dyDescent="0.3">
      <c r="A1143" s="4" t="s">
        <v>1015</v>
      </c>
      <c r="B1143" s="4" t="s">
        <v>1015</v>
      </c>
      <c r="C1143" s="1">
        <v>26</v>
      </c>
      <c r="D1143" s="1">
        <v>0</v>
      </c>
      <c r="E1143" s="1">
        <v>17</v>
      </c>
      <c r="F1143" s="1">
        <v>2</v>
      </c>
      <c r="G1143" s="1">
        <v>17</v>
      </c>
      <c r="H1143" s="1">
        <v>8</v>
      </c>
      <c r="I1143" s="1">
        <v>17</v>
      </c>
      <c r="J1143" s="1">
        <v>2</v>
      </c>
      <c r="K1143" s="6">
        <v>601</v>
      </c>
      <c r="L1143" s="6">
        <v>156447</v>
      </c>
      <c r="M1143" s="1">
        <v>100.3</v>
      </c>
      <c r="N1143" s="1">
        <v>6</v>
      </c>
      <c r="O1143" s="1">
        <v>13</v>
      </c>
      <c r="P1143" s="1">
        <v>33.1</v>
      </c>
      <c r="Q1143" s="11">
        <f>'Table H'!$J$65</f>
        <v>0.92856093429372888</v>
      </c>
      <c r="R1143" s="11">
        <f t="shared" si="35"/>
        <v>145270.57248745099</v>
      </c>
      <c r="S1143" s="11" t="str">
        <f t="shared" si="36"/>
        <v>Braintree RD</v>
      </c>
      <c r="T1143" s="11" t="s">
        <v>5310</v>
      </c>
      <c r="V1143" s="11" t="str">
        <f>INDEX('Lookup 1961'!$A$2:$A$1300, MATCH(S1143, 'Lookup 1961'!$B$2:$B$1300,0))</f>
        <v>J04000189</v>
      </c>
      <c r="W1143" s="11" t="str">
        <f>INDEX('Lookup 1961'!$F$2:$F$1300, MATCH(S1143, 'Lookup 1961'!$B$2:$B$1300,0))</f>
        <v>e120335</v>
      </c>
      <c r="X1143" s="11" t="str">
        <f>INDEX('Lookup 1961'!$C$2:$C$1300, MATCH(V1143, 'Lookup 1961'!$A$2:$A$1300,0))</f>
        <v>Essex</v>
      </c>
    </row>
    <row r="1144" spans="1:24" ht="25.05" customHeight="1" x14ac:dyDescent="0.3">
      <c r="A1144" s="4" t="s">
        <v>332</v>
      </c>
      <c r="B1144" s="4" t="s">
        <v>332</v>
      </c>
      <c r="C1144" s="1">
        <v>21</v>
      </c>
      <c r="D1144" s="1">
        <v>8</v>
      </c>
      <c r="E1144" s="1">
        <v>16</v>
      </c>
      <c r="F1144" s="1">
        <v>4</v>
      </c>
      <c r="G1144" s="1">
        <v>17</v>
      </c>
      <c r="H1144" s="1">
        <v>5</v>
      </c>
      <c r="I1144" s="1">
        <v>16</v>
      </c>
      <c r="J1144" s="1">
        <v>4</v>
      </c>
      <c r="K1144" s="6">
        <v>1400</v>
      </c>
      <c r="L1144" s="6">
        <v>364814</v>
      </c>
      <c r="M1144" s="1">
        <v>50.4</v>
      </c>
      <c r="N1144" s="1">
        <v>7</v>
      </c>
      <c r="O1144" s="1">
        <v>5</v>
      </c>
      <c r="P1144" s="1">
        <v>13.5</v>
      </c>
      <c r="Q1144" s="11">
        <f>'Table H'!$J$65</f>
        <v>0.92856093429372888</v>
      </c>
      <c r="R1144" s="11">
        <f t="shared" si="35"/>
        <v>338752.02868343244</v>
      </c>
      <c r="S1144" s="11" t="str">
        <f t="shared" si="36"/>
        <v>Chelmsford RD</v>
      </c>
      <c r="T1144" s="11" t="s">
        <v>5310</v>
      </c>
      <c r="V1144" s="11" t="str">
        <f>INDEX('Lookup 1961'!$A$2:$A$1300, MATCH(S1144, 'Lookup 1961'!$B$2:$B$1300,0))</f>
        <v>J04000289</v>
      </c>
      <c r="W1144" s="11" t="str">
        <f>INDEX('Lookup 1961'!$F$2:$F$1300, MATCH(S1144, 'Lookup 1961'!$B$2:$B$1300,0))</f>
        <v>e120336</v>
      </c>
      <c r="X1144" s="11" t="str">
        <f>INDEX('Lookup 1961'!$C$2:$C$1300, MATCH(V1144, 'Lookup 1961'!$A$2:$A$1300,0))</f>
        <v>Essex</v>
      </c>
    </row>
    <row r="1145" spans="1:24" ht="25.05" customHeight="1" x14ac:dyDescent="0.3">
      <c r="A1145" s="4" t="s">
        <v>1016</v>
      </c>
      <c r="B1145" s="4" t="s">
        <v>1016</v>
      </c>
      <c r="C1145" s="1">
        <v>22</v>
      </c>
      <c r="D1145" s="1">
        <v>10</v>
      </c>
      <c r="E1145" s="1">
        <v>15</v>
      </c>
      <c r="F1145" s="1">
        <v>5</v>
      </c>
      <c r="G1145" s="1">
        <v>15</v>
      </c>
      <c r="H1145" s="1">
        <v>11</v>
      </c>
      <c r="I1145" s="1">
        <v>15</v>
      </c>
      <c r="J1145" s="1">
        <v>5</v>
      </c>
      <c r="K1145" s="6">
        <v>735</v>
      </c>
      <c r="L1145" s="6">
        <v>180130</v>
      </c>
      <c r="M1145" s="1">
        <v>85</v>
      </c>
      <c r="N1145" s="1">
        <v>6</v>
      </c>
      <c r="O1145" s="1">
        <v>18</v>
      </c>
      <c r="P1145" s="1">
        <v>19.899999999999999</v>
      </c>
      <c r="Q1145" s="11">
        <f>'Table H'!$J$65</f>
        <v>0.92856093429372888</v>
      </c>
      <c r="R1145" s="11">
        <f t="shared" si="35"/>
        <v>167261.6810943294</v>
      </c>
      <c r="S1145" s="11" t="str">
        <f t="shared" si="36"/>
        <v>Dunmow RD</v>
      </c>
      <c r="T1145" s="11" t="s">
        <v>5310</v>
      </c>
      <c r="V1145" s="11" t="str">
        <f>INDEX('Lookup 1961'!$A$2:$A$1300, MATCH(S1145, 'Lookup 1961'!$B$2:$B$1300,0))</f>
        <v>J04000436</v>
      </c>
      <c r="W1145" s="11" t="str">
        <f>INDEX('Lookup 1961'!$F$2:$F$1300, MATCH(S1145, 'Lookup 1961'!$B$2:$B$1300,0))</f>
        <v>e120337</v>
      </c>
      <c r="X1145" s="11" t="str">
        <f>INDEX('Lookup 1961'!$C$2:$C$1300, MATCH(V1145, 'Lookup 1961'!$A$2:$A$1300,0))</f>
        <v>Essex</v>
      </c>
    </row>
    <row r="1146" spans="1:24" ht="25.05" customHeight="1" x14ac:dyDescent="0.3">
      <c r="A1146" s="4" t="s">
        <v>1017</v>
      </c>
      <c r="B1146" s="4" t="s">
        <v>1017</v>
      </c>
      <c r="C1146" s="1">
        <v>23</v>
      </c>
      <c r="D1146" s="1">
        <v>10</v>
      </c>
      <c r="E1146" s="1">
        <v>16</v>
      </c>
      <c r="F1146" s="1">
        <v>0</v>
      </c>
      <c r="G1146" s="1">
        <v>16</v>
      </c>
      <c r="H1146" s="1">
        <v>8</v>
      </c>
      <c r="I1146" s="1">
        <v>16</v>
      </c>
      <c r="J1146" s="1">
        <v>0</v>
      </c>
      <c r="K1146" s="6">
        <v>1200</v>
      </c>
      <c r="L1146" s="6">
        <v>314661</v>
      </c>
      <c r="M1146" s="1">
        <v>77.7</v>
      </c>
      <c r="N1146" s="1">
        <v>7</v>
      </c>
      <c r="O1146" s="1">
        <v>13</v>
      </c>
      <c r="P1146" s="1">
        <v>17.5</v>
      </c>
      <c r="Q1146" s="11">
        <f>'Table H'!$J$65</f>
        <v>0.92856093429372888</v>
      </c>
      <c r="R1146" s="11">
        <f t="shared" si="35"/>
        <v>292181.91214579903</v>
      </c>
      <c r="S1146" s="11" t="str">
        <f t="shared" si="36"/>
        <v>Epping and Ongar RD</v>
      </c>
      <c r="T1146" s="11" t="s">
        <v>5310</v>
      </c>
      <c r="V1146" s="11" t="str">
        <f>INDEX('Lookup 1961'!$A$2:$A$1300, MATCH(S1146, 'Lookup 1961'!$B$2:$B$1300,0))</f>
        <v>J04000475</v>
      </c>
      <c r="W1146" s="11" t="str">
        <f>INDEX('Lookup 1961'!$F$2:$F$1300, MATCH(S1146, 'Lookup 1961'!$B$2:$B$1300,0))</f>
        <v>e120323</v>
      </c>
      <c r="X1146" s="11" t="str">
        <f>INDEX('Lookup 1961'!$C$2:$C$1300, MATCH(V1146, 'Lookup 1961'!$A$2:$A$1300,0))</f>
        <v>Essex</v>
      </c>
    </row>
    <row r="1147" spans="1:24" ht="25.05" customHeight="1" x14ac:dyDescent="0.3">
      <c r="A1147" s="4" t="s">
        <v>355</v>
      </c>
      <c r="B1147" s="4" t="s">
        <v>355</v>
      </c>
      <c r="C1147" s="1">
        <v>23</v>
      </c>
      <c r="D1147" s="1">
        <v>10</v>
      </c>
      <c r="E1147" s="1">
        <v>16</v>
      </c>
      <c r="F1147" s="1">
        <v>10</v>
      </c>
      <c r="G1147" s="1">
        <v>18</v>
      </c>
      <c r="H1147" s="1">
        <v>4</v>
      </c>
      <c r="I1147" s="1">
        <v>16</v>
      </c>
      <c r="J1147" s="1">
        <v>10</v>
      </c>
      <c r="K1147" s="6">
        <v>510</v>
      </c>
      <c r="L1147" s="6">
        <v>133047</v>
      </c>
      <c r="M1147" s="1">
        <v>105.8</v>
      </c>
      <c r="N1147" s="1">
        <v>6</v>
      </c>
      <c r="O1147" s="1">
        <v>2</v>
      </c>
      <c r="P1147" s="1">
        <v>47.9</v>
      </c>
      <c r="Q1147" s="11">
        <f>'Table H'!$J$65</f>
        <v>0.92856093429372888</v>
      </c>
      <c r="R1147" s="11">
        <f t="shared" si="35"/>
        <v>123542.24662497775</v>
      </c>
      <c r="S1147" s="11" t="str">
        <f t="shared" si="36"/>
        <v>Halstead RD</v>
      </c>
      <c r="T1147" s="11" t="s">
        <v>5310</v>
      </c>
      <c r="V1147" s="11" t="str">
        <f>INDEX('Lookup 1961'!$A$2:$A$1300, MATCH(S1147, 'Lookup 1961'!$B$2:$B$1300,0))</f>
        <v>J04000567</v>
      </c>
      <c r="W1147" s="11" t="str">
        <f>INDEX('Lookup 1961'!$F$2:$F$1300, MATCH(S1147, 'Lookup 1961'!$B$2:$B$1300,0))</f>
        <v>e120339</v>
      </c>
      <c r="X1147" s="11" t="str">
        <f>INDEX('Lookup 1961'!$C$2:$C$1300, MATCH(V1147, 'Lookup 1961'!$A$2:$A$1300,0))</f>
        <v>Essex</v>
      </c>
    </row>
    <row r="1148" spans="1:24" ht="25.05" customHeight="1" x14ac:dyDescent="0.3">
      <c r="A1148" s="4" t="s">
        <v>1018</v>
      </c>
      <c r="B1148" s="4" t="s">
        <v>1018</v>
      </c>
      <c r="C1148" s="1">
        <v>20</v>
      </c>
      <c r="D1148" s="1">
        <v>1</v>
      </c>
      <c r="E1148" s="1">
        <v>14</v>
      </c>
      <c r="F1148" s="1">
        <v>0</v>
      </c>
      <c r="G1148" s="1">
        <v>15</v>
      </c>
      <c r="H1148" s="1">
        <v>0</v>
      </c>
      <c r="I1148" s="1">
        <v>14</v>
      </c>
      <c r="J1148" s="1">
        <v>0</v>
      </c>
      <c r="K1148" s="6">
        <v>840</v>
      </c>
      <c r="L1148" s="6">
        <v>212558</v>
      </c>
      <c r="M1148" s="1">
        <v>47.3</v>
      </c>
      <c r="N1148" s="1">
        <v>6</v>
      </c>
      <c r="O1148" s="1">
        <v>13</v>
      </c>
      <c r="P1148" s="1">
        <v>4.0999999999999996</v>
      </c>
      <c r="Q1148" s="11">
        <f>'Table H'!$J$65</f>
        <v>0.92856093429372888</v>
      </c>
      <c r="R1148" s="11">
        <f t="shared" si="35"/>
        <v>197373.05507160642</v>
      </c>
      <c r="S1148" s="11" t="str">
        <f t="shared" si="36"/>
        <v>Lexden and Winstree RD</v>
      </c>
      <c r="T1148" s="11" t="s">
        <v>5310</v>
      </c>
      <c r="V1148" s="11" t="str">
        <f>INDEX('Lookup 1961'!$A$2:$A$1300, MATCH(S1148, 'Lookup 1961'!$B$2:$B$1300,0))</f>
        <v>J04000740</v>
      </c>
      <c r="W1148" s="11" t="str">
        <f>INDEX('Lookup 1961'!$F$2:$F$1300, MATCH(S1148, 'Lookup 1961'!$B$2:$B$1300,0))</f>
        <v>e120340</v>
      </c>
      <c r="X1148" s="11" t="str">
        <f>INDEX('Lookup 1961'!$C$2:$C$1300, MATCH(V1148, 'Lookup 1961'!$A$2:$A$1300,0))</f>
        <v>Essex</v>
      </c>
    </row>
    <row r="1149" spans="1:24" ht="25.05" customHeight="1" x14ac:dyDescent="0.3">
      <c r="A1149" s="4" t="s">
        <v>339</v>
      </c>
      <c r="B1149" s="4" t="s">
        <v>339</v>
      </c>
      <c r="C1149" s="1">
        <v>19</v>
      </c>
      <c r="D1149" s="1">
        <v>10</v>
      </c>
      <c r="E1149" s="1">
        <v>15</v>
      </c>
      <c r="F1149" s="1">
        <v>0</v>
      </c>
      <c r="G1149" s="1">
        <v>15</v>
      </c>
      <c r="H1149" s="1">
        <v>10</v>
      </c>
      <c r="I1149" s="1">
        <v>15</v>
      </c>
      <c r="J1149" s="1">
        <v>0</v>
      </c>
      <c r="K1149" s="6">
        <v>550</v>
      </c>
      <c r="L1149" s="6">
        <v>143110</v>
      </c>
      <c r="M1149" s="1">
        <v>41.8</v>
      </c>
      <c r="N1149" s="1">
        <v>6</v>
      </c>
      <c r="O1149" s="1">
        <v>14</v>
      </c>
      <c r="P1149" s="1">
        <v>4.0999999999999996</v>
      </c>
      <c r="Q1149" s="11">
        <f>'Table H'!$J$65</f>
        <v>0.92856093429372888</v>
      </c>
      <c r="R1149" s="11">
        <f t="shared" si="35"/>
        <v>132886.35530677554</v>
      </c>
      <c r="S1149" s="11" t="str">
        <f t="shared" si="36"/>
        <v>Maldon RD</v>
      </c>
      <c r="T1149" s="11" t="s">
        <v>5310</v>
      </c>
      <c r="V1149" s="11" t="str">
        <f>INDEX('Lookup 1961'!$A$2:$A$1300, MATCH(S1149, 'Lookup 1961'!$B$2:$B$1300,0))</f>
        <v>J04000813</v>
      </c>
      <c r="W1149" s="11" t="str">
        <f>INDEX('Lookup 1961'!$F$2:$F$1300, MATCH(S1149, 'Lookup 1961'!$B$2:$B$1300,0))</f>
        <v>e120341</v>
      </c>
      <c r="X1149" s="11" t="str">
        <f>INDEX('Lookup 1961'!$C$2:$C$1300, MATCH(V1149, 'Lookup 1961'!$A$2:$A$1300,0))</f>
        <v>Essex</v>
      </c>
    </row>
    <row r="1150" spans="1:24" ht="25.05" customHeight="1" x14ac:dyDescent="0.3">
      <c r="A1150" s="4" t="s">
        <v>1019</v>
      </c>
      <c r="B1150" s="4" t="s">
        <v>1019</v>
      </c>
      <c r="C1150" s="1">
        <v>22</v>
      </c>
      <c r="D1150" s="1">
        <v>4</v>
      </c>
      <c r="E1150" s="1">
        <v>16</v>
      </c>
      <c r="F1150" s="1">
        <v>0</v>
      </c>
      <c r="G1150" s="1">
        <v>16</v>
      </c>
      <c r="H1150" s="1">
        <v>9</v>
      </c>
      <c r="I1150" s="1">
        <v>16</v>
      </c>
      <c r="J1150" s="1">
        <v>0</v>
      </c>
      <c r="K1150" s="6">
        <v>850</v>
      </c>
      <c r="L1150" s="6">
        <v>212807</v>
      </c>
      <c r="M1150" s="1">
        <v>69.8</v>
      </c>
      <c r="N1150" s="1">
        <v>7</v>
      </c>
      <c r="O1150" s="1">
        <v>18</v>
      </c>
      <c r="P1150" s="1">
        <v>13.6</v>
      </c>
      <c r="Q1150" s="11">
        <f>'Table H'!$J$65</f>
        <v>0.92856093429372888</v>
      </c>
      <c r="R1150" s="11">
        <f t="shared" si="35"/>
        <v>197604.26674424557</v>
      </c>
      <c r="S1150" s="11" t="str">
        <f t="shared" si="36"/>
        <v>Rochford RD</v>
      </c>
      <c r="T1150" s="11" t="s">
        <v>5310</v>
      </c>
      <c r="V1150" s="11" t="str">
        <f>INDEX('Lookup 1961'!$A$2:$A$1300, MATCH(S1150, 'Lookup 1961'!$B$2:$B$1300,0))</f>
        <v>J04001059</v>
      </c>
      <c r="W1150" s="11" t="str">
        <f>INDEX('Lookup 1961'!$F$2:$F$1300, MATCH(S1150, 'Lookup 1961'!$B$2:$B$1300,0))</f>
        <v>e120342</v>
      </c>
      <c r="X1150" s="11" t="str">
        <f>INDEX('Lookup 1961'!$C$2:$C$1300, MATCH(V1150, 'Lookup 1961'!$A$2:$A$1300,0))</f>
        <v>Essex</v>
      </c>
    </row>
    <row r="1151" spans="1:24" ht="25.05" customHeight="1" x14ac:dyDescent="0.3">
      <c r="A1151" s="4" t="s">
        <v>341</v>
      </c>
      <c r="B1151" s="4" t="s">
        <v>341</v>
      </c>
      <c r="C1151" s="1">
        <v>23</v>
      </c>
      <c r="D1151" s="1">
        <v>0</v>
      </c>
      <c r="E1151" s="1">
        <v>15</v>
      </c>
      <c r="F1151" s="1">
        <v>4</v>
      </c>
      <c r="G1151" s="1">
        <v>15</v>
      </c>
      <c r="H1151" s="1">
        <v>10</v>
      </c>
      <c r="I1151" s="1">
        <v>15</v>
      </c>
      <c r="J1151" s="1">
        <v>4</v>
      </c>
      <c r="K1151" s="6">
        <v>600</v>
      </c>
      <c r="L1151" s="6">
        <v>150885</v>
      </c>
      <c r="M1151" s="1">
        <v>81.099999999999994</v>
      </c>
      <c r="N1151" s="1">
        <v>6</v>
      </c>
      <c r="O1151" s="1">
        <v>0</v>
      </c>
      <c r="P1151" s="1">
        <v>21.4</v>
      </c>
      <c r="Q1151" s="11">
        <f>'Table H'!$J$65</f>
        <v>0.92856093429372888</v>
      </c>
      <c r="R1151" s="11">
        <f t="shared" si="35"/>
        <v>140105.91657090929</v>
      </c>
      <c r="S1151" s="11" t="str">
        <f t="shared" si="36"/>
        <v>Saffron Walden RD</v>
      </c>
      <c r="T1151" s="11" t="s">
        <v>5310</v>
      </c>
      <c r="V1151" s="11" t="str">
        <f>INDEX('Lookup 1961'!$A$2:$A$1300, MATCH(S1151, 'Lookup 1961'!$B$2:$B$1300,0))</f>
        <v>J04001091</v>
      </c>
      <c r="W1151" s="11" t="str">
        <f>INDEX('Lookup 1961'!$F$2:$F$1300, MATCH(S1151, 'Lookup 1961'!$B$2:$B$1300,0))</f>
        <v>e120343</v>
      </c>
      <c r="X1151" s="11" t="str">
        <f>INDEX('Lookup 1961'!$C$2:$C$1300, MATCH(V1151, 'Lookup 1961'!$A$2:$A$1300,0))</f>
        <v>Essex</v>
      </c>
    </row>
    <row r="1152" spans="1:24" ht="25.05" customHeight="1" x14ac:dyDescent="0.3">
      <c r="A1152" s="4" t="s">
        <v>1020</v>
      </c>
      <c r="B1152" s="4" t="s">
        <v>1020</v>
      </c>
      <c r="C1152" s="1">
        <v>21</v>
      </c>
      <c r="D1152" s="1">
        <v>10</v>
      </c>
      <c r="E1152" s="1">
        <v>15</v>
      </c>
      <c r="F1152" s="1">
        <v>8</v>
      </c>
      <c r="G1152" s="1">
        <v>16</v>
      </c>
      <c r="H1152" s="1">
        <v>5</v>
      </c>
      <c r="I1152" s="1">
        <v>15</v>
      </c>
      <c r="J1152" s="1">
        <v>9</v>
      </c>
      <c r="K1152" s="6">
        <v>730</v>
      </c>
      <c r="L1152" s="6">
        <v>187083</v>
      </c>
      <c r="M1152" s="1">
        <v>58.6</v>
      </c>
      <c r="N1152" s="1">
        <v>5</v>
      </c>
      <c r="O1152" s="1">
        <v>17</v>
      </c>
      <c r="P1152" s="1">
        <v>10.3</v>
      </c>
      <c r="Q1152" s="11">
        <f>'Table H'!$J$65</f>
        <v>0.92856093429372888</v>
      </c>
      <c r="R1152" s="11">
        <f t="shared" si="35"/>
        <v>173717.96527047368</v>
      </c>
      <c r="S1152" s="11" t="str">
        <f t="shared" si="36"/>
        <v>Tendring RD</v>
      </c>
      <c r="T1152" s="11" t="s">
        <v>5310</v>
      </c>
      <c r="V1152" s="11" t="str">
        <f>INDEX('Lookup 1961'!$A$2:$A$1300, MATCH(S1152, 'Lookup 1961'!$B$2:$B$1300,0))</f>
        <v>J04001259</v>
      </c>
      <c r="W1152" s="11" t="str">
        <f>INDEX('Lookup 1961'!$F$2:$F$1300, MATCH(S1152, 'Lookup 1961'!$B$2:$B$1300,0))</f>
        <v>e120344</v>
      </c>
      <c r="X1152" s="11" t="str">
        <f>INDEX('Lookup 1961'!$C$2:$C$1300, MATCH(V1152, 'Lookup 1961'!$A$2:$A$1300,0))</f>
        <v>Essex</v>
      </c>
    </row>
    <row r="1153" spans="1:24" ht="25.05" customHeight="1" x14ac:dyDescent="0.3">
      <c r="A1153" s="4" t="s">
        <v>364</v>
      </c>
      <c r="B1153" s="4" t="s">
        <v>364</v>
      </c>
      <c r="S1153" s="11" t="str">
        <f t="shared" si="36"/>
        <v>GLOUCESTER: RD</v>
      </c>
      <c r="T1153" s="11" t="s">
        <v>5310</v>
      </c>
      <c r="V1153" s="11" t="e">
        <f>INDEX('Lookup 1961'!$A$2:$A$1300, MATCH(S1153, 'Lookup 1961'!$B$2:$B$1300,0))</f>
        <v>#N/A</v>
      </c>
      <c r="W1153" s="11" t="e">
        <f>INDEX('Lookup 1961'!$F$2:$F$1300, MATCH(S1153, 'Lookup 1961'!$B$2:$B$1300,0))</f>
        <v>#N/A</v>
      </c>
      <c r="X1153" s="11" t="e">
        <f>INDEX('Lookup 1961'!$C$2:$C$1300, MATCH(V1153, 'Lookup 1961'!$A$2:$A$1300,0))</f>
        <v>#N/A</v>
      </c>
    </row>
    <row r="1154" spans="1:24" ht="25.05" customHeight="1" x14ac:dyDescent="0.3">
      <c r="A1154" s="4" t="s">
        <v>365</v>
      </c>
      <c r="B1154" s="4" t="s">
        <v>365</v>
      </c>
      <c r="C1154" s="1">
        <v>21</v>
      </c>
      <c r="D1154" s="1">
        <v>5</v>
      </c>
      <c r="E1154" s="1">
        <v>14</v>
      </c>
      <c r="F1154" s="1">
        <v>0</v>
      </c>
      <c r="G1154" s="1">
        <v>15</v>
      </c>
      <c r="H1154" s="1">
        <v>2</v>
      </c>
      <c r="I1154" s="1">
        <v>14</v>
      </c>
      <c r="J1154" s="1">
        <v>0</v>
      </c>
      <c r="K1154" s="6">
        <v>1264</v>
      </c>
      <c r="L1154" s="6">
        <v>328701</v>
      </c>
      <c r="M1154" s="1">
        <v>72.3</v>
      </c>
      <c r="N1154" s="1">
        <v>9</v>
      </c>
      <c r="O1154" s="1">
        <v>10</v>
      </c>
      <c r="P1154" s="1">
        <v>17.7</v>
      </c>
      <c r="Q1154" s="11">
        <f>'Table H'!$J$70</f>
        <v>0.82439232415187103</v>
      </c>
      <c r="R1154" s="11">
        <f t="shared" si="35"/>
        <v>270978.58134104416</v>
      </c>
      <c r="S1154" s="11" t="str">
        <f t="shared" si="36"/>
        <v>Cheltenham RD</v>
      </c>
      <c r="T1154" s="11" t="s">
        <v>5310</v>
      </c>
      <c r="V1154" s="11" t="str">
        <f>INDEX('Lookup 1961'!$A$2:$A$1300, MATCH(S1154, 'Lookup 1961'!$B$2:$B$1300,0))</f>
        <v>J04000292</v>
      </c>
      <c r="W1154" s="11" t="str">
        <f>INDEX('Lookup 1961'!$F$2:$F$1300, MATCH(S1154, 'Lookup 1961'!$B$2:$B$1300,0))</f>
        <v>e130355</v>
      </c>
      <c r="X1154" s="11" t="str">
        <f>INDEX('Lookup 1961'!$C$2:$C$1300, MATCH(V1154, 'Lookup 1961'!$A$2:$A$1300,0))</f>
        <v>Gloucestershire</v>
      </c>
    </row>
    <row r="1155" spans="1:24" ht="25.05" customHeight="1" x14ac:dyDescent="0.3">
      <c r="A1155" s="4" t="s">
        <v>368</v>
      </c>
      <c r="B1155" s="4" t="s">
        <v>368</v>
      </c>
      <c r="C1155" s="1">
        <v>20</v>
      </c>
      <c r="D1155" s="1">
        <v>1</v>
      </c>
      <c r="E1155" s="1">
        <v>14</v>
      </c>
      <c r="F1155" s="1">
        <v>2</v>
      </c>
      <c r="G1155" s="1">
        <v>14</v>
      </c>
      <c r="H1155" s="1">
        <v>9</v>
      </c>
      <c r="I1155" s="1">
        <v>14</v>
      </c>
      <c r="J1155" s="1">
        <v>2</v>
      </c>
      <c r="K1155" s="6">
        <v>549</v>
      </c>
      <c r="L1155" s="6">
        <v>138599</v>
      </c>
      <c r="M1155" s="1">
        <v>53.7</v>
      </c>
      <c r="N1155" s="1">
        <v>5</v>
      </c>
      <c r="O1155" s="1">
        <v>18</v>
      </c>
      <c r="P1155" s="1">
        <v>16.100000000000001</v>
      </c>
      <c r="Q1155" s="11">
        <f>'Table H'!$J$70</f>
        <v>0.82439232415187103</v>
      </c>
      <c r="R1155" s="11">
        <f t="shared" si="35"/>
        <v>114259.95173512517</v>
      </c>
      <c r="S1155" s="11" t="str">
        <f t="shared" si="36"/>
        <v>Cirencester RD</v>
      </c>
      <c r="T1155" s="11" t="s">
        <v>5310</v>
      </c>
      <c r="V1155" s="11" t="str">
        <f>INDEX('Lookup 1961'!$A$2:$A$1300, MATCH(S1155, 'Lookup 1961'!$B$2:$B$1300,0))</f>
        <v>J04000319</v>
      </c>
      <c r="W1155" s="11" t="str">
        <f>INDEX('Lookup 1961'!$F$2:$F$1300, MATCH(S1155, 'Lookup 1961'!$B$2:$B$1300,0))</f>
        <v>e130356</v>
      </c>
      <c r="X1155" s="11" t="str">
        <f>INDEX('Lookup 1961'!$C$2:$C$1300, MATCH(V1155, 'Lookup 1961'!$A$2:$A$1300,0))</f>
        <v>Gloucestershire</v>
      </c>
    </row>
    <row r="1156" spans="1:24" ht="25.05" customHeight="1" x14ac:dyDescent="0.3">
      <c r="A1156" s="4" t="s">
        <v>1021</v>
      </c>
      <c r="B1156" s="4" t="s">
        <v>1021</v>
      </c>
      <c r="C1156" s="1">
        <v>25</v>
      </c>
      <c r="D1156" s="1">
        <v>4</v>
      </c>
      <c r="E1156" s="1">
        <v>14</v>
      </c>
      <c r="F1156" s="1">
        <v>5</v>
      </c>
      <c r="G1156" s="1">
        <v>15</v>
      </c>
      <c r="H1156" s="1">
        <v>2</v>
      </c>
      <c r="I1156" s="1">
        <v>14</v>
      </c>
      <c r="J1156" s="1">
        <v>5</v>
      </c>
      <c r="K1156" s="6">
        <v>668</v>
      </c>
      <c r="L1156" s="6">
        <v>176847</v>
      </c>
      <c r="M1156" s="1">
        <v>127.4</v>
      </c>
      <c r="N1156" s="1">
        <v>7</v>
      </c>
      <c r="O1156" s="1">
        <v>1</v>
      </c>
      <c r="P1156" s="1">
        <v>17.5</v>
      </c>
      <c r="Q1156" s="11">
        <f>'Table H'!$J$70</f>
        <v>0.82439232415187103</v>
      </c>
      <c r="R1156" s="11">
        <f t="shared" ref="R1156:R1221" si="37">Q1156*L1156</f>
        <v>145791.30934928593</v>
      </c>
      <c r="S1156" s="11" t="str">
        <f t="shared" si="36"/>
        <v>Dursley RD</v>
      </c>
      <c r="T1156" s="11" t="s">
        <v>5310</v>
      </c>
      <c r="V1156" s="11" t="str">
        <f>INDEX('Lookup 1961'!$A$2:$A$1300, MATCH(S1156, 'Lookup 1961'!$B$2:$B$1300,0))</f>
        <v>J04000440</v>
      </c>
      <c r="W1156" s="11" t="str">
        <f>INDEX('Lookup 1961'!$F$2:$F$1300, MATCH(S1156, 'Lookup 1961'!$B$2:$B$1300,0))</f>
        <v>e130357</v>
      </c>
      <c r="X1156" s="11" t="str">
        <f>INDEX('Lookup 1961'!$C$2:$C$1300, MATCH(V1156, 'Lookup 1961'!$A$2:$A$1300,0))</f>
        <v>Gloucestershire</v>
      </c>
    </row>
    <row r="1157" spans="1:24" ht="25.05" customHeight="1" x14ac:dyDescent="0.3">
      <c r="A1157" s="4" t="s">
        <v>1022</v>
      </c>
      <c r="B1157" s="4" t="s">
        <v>1022</v>
      </c>
      <c r="C1157" s="1">
        <v>24</v>
      </c>
      <c r="D1157" s="1">
        <v>6</v>
      </c>
      <c r="E1157" s="1">
        <v>16</v>
      </c>
      <c r="F1157" s="1">
        <v>0</v>
      </c>
      <c r="G1157" s="1">
        <v>17</v>
      </c>
      <c r="H1157" s="1">
        <v>2</v>
      </c>
      <c r="I1157" s="1">
        <v>16</v>
      </c>
      <c r="J1157" s="1">
        <v>0</v>
      </c>
      <c r="K1157" s="6">
        <v>534</v>
      </c>
      <c r="L1157" s="6">
        <v>141027</v>
      </c>
      <c r="M1157" s="1">
        <v>117</v>
      </c>
      <c r="N1157" s="1">
        <v>5</v>
      </c>
      <c r="O1157" s="1">
        <v>8</v>
      </c>
      <c r="P1157" s="1">
        <v>37.299999999999997</v>
      </c>
      <c r="Q1157" s="11">
        <f>'Table H'!$J$70</f>
        <v>0.82439232415187103</v>
      </c>
      <c r="R1157" s="11">
        <f t="shared" si="37"/>
        <v>116261.57629816592</v>
      </c>
      <c r="S1157" s="11" t="str">
        <f t="shared" si="36"/>
        <v>East Dean RD</v>
      </c>
      <c r="T1157" s="11" t="s">
        <v>5310</v>
      </c>
      <c r="V1157" s="11" t="str">
        <f>INDEX('Lookup 1961'!$A$2:$A$1300, MATCH(S1157, 'Lookup 1961'!$B$2:$B$1300,0))</f>
        <v>J04000447</v>
      </c>
      <c r="W1157" s="11" t="str">
        <f>INDEX('Lookup 1961'!$F$2:$F$1300, MATCH(S1157, 'Lookup 1961'!$B$2:$B$1300,0))</f>
        <v>e130358</v>
      </c>
      <c r="X1157" s="11" t="str">
        <f>INDEX('Lookup 1961'!$C$2:$C$1300, MATCH(V1157, 'Lookup 1961'!$A$2:$A$1300,0))</f>
        <v>Gloucestershire</v>
      </c>
    </row>
    <row r="1158" spans="1:24" ht="25.05" customHeight="1" x14ac:dyDescent="0.3">
      <c r="A1158" s="4" t="s">
        <v>96</v>
      </c>
      <c r="B1158" s="4" t="s">
        <v>96</v>
      </c>
      <c r="C1158" s="1">
        <v>20</v>
      </c>
      <c r="D1158" s="1">
        <v>6</v>
      </c>
      <c r="E1158" s="1">
        <v>14</v>
      </c>
      <c r="F1158" s="1">
        <v>1</v>
      </c>
      <c r="G1158" s="1">
        <v>15</v>
      </c>
      <c r="H1158" s="1">
        <v>2</v>
      </c>
      <c r="I1158" s="1">
        <v>14</v>
      </c>
      <c r="J1158" s="1">
        <v>1</v>
      </c>
      <c r="K1158" s="6">
        <v>1668</v>
      </c>
      <c r="L1158" s="6">
        <v>432562</v>
      </c>
      <c r="M1158" s="1">
        <v>81.7</v>
      </c>
      <c r="N1158" s="1">
        <v>7</v>
      </c>
      <c r="O1158" s="1">
        <v>14</v>
      </c>
      <c r="P1158" s="1">
        <v>27.6</v>
      </c>
      <c r="Q1158" s="11">
        <f>'Table H'!$J$70</f>
        <v>0.82439232415187103</v>
      </c>
      <c r="R1158" s="11">
        <f t="shared" si="37"/>
        <v>356600.79251978162</v>
      </c>
      <c r="S1158" s="11" t="str">
        <f t="shared" si="36"/>
        <v>Gloucester RD</v>
      </c>
      <c r="T1158" s="11" t="s">
        <v>5310</v>
      </c>
      <c r="V1158" s="11" t="str">
        <f>INDEX('Lookup 1961'!$A$2:$A$1300, MATCH(S1158, 'Lookup 1961'!$B$2:$B$1300,0))</f>
        <v>J04000536</v>
      </c>
      <c r="W1158" s="11" t="str">
        <f>INDEX('Lookup 1961'!$F$2:$F$1300, MATCH(S1158, 'Lookup 1961'!$B$2:$B$1300,0))</f>
        <v>e130346</v>
      </c>
      <c r="X1158" s="11" t="str">
        <f>INDEX('Lookup 1961'!$C$2:$C$1300, MATCH(V1158, 'Lookup 1961'!$A$2:$A$1300,0))</f>
        <v>Gloucestershire</v>
      </c>
    </row>
    <row r="1159" spans="1:24" ht="25.05" customHeight="1" x14ac:dyDescent="0.3">
      <c r="A1159" s="4" t="s">
        <v>1023</v>
      </c>
      <c r="B1159" s="4" t="s">
        <v>1023</v>
      </c>
      <c r="C1159" s="1">
        <v>20</v>
      </c>
      <c r="D1159" s="1">
        <v>8</v>
      </c>
      <c r="E1159" s="1">
        <v>13</v>
      </c>
      <c r="F1159" s="1">
        <v>2</v>
      </c>
      <c r="G1159" s="1">
        <v>14</v>
      </c>
      <c r="H1159" s="1">
        <v>4</v>
      </c>
      <c r="I1159" s="1">
        <v>13</v>
      </c>
      <c r="J1159" s="1">
        <v>2</v>
      </c>
      <c r="K1159" s="6">
        <v>401</v>
      </c>
      <c r="L1159" s="6">
        <v>111210</v>
      </c>
      <c r="M1159" s="1">
        <v>116.4</v>
      </c>
      <c r="N1159" s="1">
        <v>5</v>
      </c>
      <c r="O1159" s="1">
        <v>17</v>
      </c>
      <c r="P1159" s="1">
        <v>33.799999999999997</v>
      </c>
      <c r="Q1159" s="11">
        <f>'Table H'!$J$70</f>
        <v>0.82439232415187103</v>
      </c>
      <c r="R1159" s="11">
        <f t="shared" si="37"/>
        <v>91680.670368929583</v>
      </c>
      <c r="S1159" s="11" t="str">
        <f t="shared" si="36"/>
        <v>Lydney RD</v>
      </c>
      <c r="T1159" s="11" t="s">
        <v>5310</v>
      </c>
      <c r="V1159" s="11" t="str">
        <f>INDEX('Lookup 1961'!$A$2:$A$1300, MATCH(S1159, 'Lookup 1961'!$B$2:$B$1300,0))</f>
        <v>J04000794</v>
      </c>
      <c r="W1159" s="11" t="str">
        <f>INDEX('Lookup 1961'!$F$2:$F$1300, MATCH(S1159, 'Lookup 1961'!$B$2:$B$1300,0))</f>
        <v>e130360</v>
      </c>
      <c r="X1159" s="11" t="str">
        <f>INDEX('Lookup 1961'!$C$2:$C$1300, MATCH(V1159, 'Lookup 1961'!$A$2:$A$1300,0))</f>
        <v>Gloucestershire</v>
      </c>
    </row>
    <row r="1160" spans="1:24" ht="25.05" customHeight="1" x14ac:dyDescent="0.3">
      <c r="A1160" s="4" t="s">
        <v>1024</v>
      </c>
      <c r="B1160" s="4" t="s">
        <v>1024</v>
      </c>
      <c r="C1160" s="1">
        <v>21</v>
      </c>
      <c r="D1160" s="1">
        <v>6</v>
      </c>
      <c r="E1160" s="1">
        <v>14</v>
      </c>
      <c r="F1160" s="1">
        <v>0</v>
      </c>
      <c r="G1160" s="1">
        <v>15</v>
      </c>
      <c r="H1160" s="1">
        <v>0</v>
      </c>
      <c r="I1160" s="1">
        <v>14</v>
      </c>
      <c r="J1160" s="1">
        <v>0</v>
      </c>
      <c r="K1160" s="6">
        <v>217</v>
      </c>
      <c r="L1160" s="6">
        <v>56205</v>
      </c>
      <c r="M1160" s="1">
        <v>87.8</v>
      </c>
      <c r="N1160" s="1">
        <v>4</v>
      </c>
      <c r="O1160" s="1">
        <v>17</v>
      </c>
      <c r="P1160" s="1">
        <v>24.3</v>
      </c>
      <c r="Q1160" s="11">
        <f>'Table H'!$J$70</f>
        <v>0.82439232415187103</v>
      </c>
      <c r="R1160" s="11">
        <f t="shared" si="37"/>
        <v>46334.970578955908</v>
      </c>
      <c r="S1160" s="11" t="str">
        <f t="shared" si="36"/>
        <v>Newent RD</v>
      </c>
      <c r="T1160" s="11" t="s">
        <v>5310</v>
      </c>
      <c r="V1160" s="11" t="str">
        <f>INDEX('Lookup 1961'!$A$2:$A$1300, MATCH(S1160, 'Lookup 1961'!$B$2:$B$1300,0))</f>
        <v>J04000903</v>
      </c>
      <c r="W1160" s="11" t="str">
        <f>INDEX('Lookup 1961'!$F$2:$F$1300, MATCH(S1160, 'Lookup 1961'!$B$2:$B$1300,0))</f>
        <v>e130361</v>
      </c>
      <c r="X1160" s="11" t="str">
        <f>INDEX('Lookup 1961'!$C$2:$C$1300, MATCH(V1160, 'Lookup 1961'!$A$2:$A$1300,0))</f>
        <v>Gloucestershire</v>
      </c>
    </row>
    <row r="1161" spans="1:24" ht="25.05" customHeight="1" x14ac:dyDescent="0.3">
      <c r="A1161" s="4" t="s">
        <v>1025</v>
      </c>
      <c r="B1161" s="4" t="s">
        <v>1025</v>
      </c>
      <c r="C1161" s="1">
        <v>20</v>
      </c>
      <c r="D1161" s="1">
        <v>10</v>
      </c>
      <c r="E1161" s="1">
        <v>13</v>
      </c>
      <c r="F1161" s="1">
        <v>10</v>
      </c>
      <c r="G1161" s="1">
        <v>14</v>
      </c>
      <c r="H1161" s="1">
        <v>10</v>
      </c>
      <c r="I1161" s="1">
        <v>13</v>
      </c>
      <c r="J1161" s="1">
        <v>10</v>
      </c>
      <c r="K1161" s="6">
        <v>832</v>
      </c>
      <c r="L1161" s="6">
        <v>217808</v>
      </c>
      <c r="M1161" s="1">
        <v>83.2</v>
      </c>
      <c r="N1161" s="1">
        <v>7</v>
      </c>
      <c r="O1161" s="1">
        <v>4</v>
      </c>
      <c r="P1161" s="1">
        <v>16.899999999999999</v>
      </c>
      <c r="Q1161" s="11">
        <f>'Table H'!$J$70</f>
        <v>0.82439232415187103</v>
      </c>
      <c r="R1161" s="11">
        <f t="shared" si="37"/>
        <v>179559.24333887073</v>
      </c>
      <c r="S1161" s="11" t="str">
        <f t="shared" si="36"/>
        <v>North Cotswold RD</v>
      </c>
      <c r="T1161" s="11" t="s">
        <v>5310</v>
      </c>
      <c r="V1161" s="11" t="str">
        <f>INDEX('Lookup 1961'!$A$2:$A$1300, MATCH(S1161, 'Lookup 1961'!$B$2:$B$1300,0))</f>
        <v>J04000923</v>
      </c>
      <c r="W1161" s="11" t="str">
        <f>INDEX('Lookup 1961'!$F$2:$F$1300, MATCH(S1161, 'Lookup 1961'!$B$2:$B$1300,0))</f>
        <v>e130362</v>
      </c>
      <c r="X1161" s="11" t="str">
        <f>INDEX('Lookup 1961'!$C$2:$C$1300, MATCH(V1161, 'Lookup 1961'!$A$2:$A$1300,0))</f>
        <v>Gloucestershire</v>
      </c>
    </row>
    <row r="1162" spans="1:24" ht="25.05" customHeight="1" x14ac:dyDescent="0.3">
      <c r="A1162" s="4" t="s">
        <v>1026</v>
      </c>
      <c r="B1162" s="4" t="s">
        <v>1026</v>
      </c>
      <c r="C1162" s="1">
        <v>24</v>
      </c>
      <c r="D1162" s="1">
        <v>4</v>
      </c>
      <c r="E1162" s="1">
        <v>16</v>
      </c>
      <c r="F1162" s="1">
        <v>7</v>
      </c>
      <c r="G1162" s="1">
        <v>17</v>
      </c>
      <c r="H1162" s="1">
        <v>3</v>
      </c>
      <c r="I1162" s="1">
        <v>16</v>
      </c>
      <c r="J1162" s="1">
        <v>7</v>
      </c>
      <c r="K1162" s="6">
        <v>253</v>
      </c>
      <c r="L1162" s="6">
        <v>71475</v>
      </c>
      <c r="M1162" s="1">
        <v>77.099999999999994</v>
      </c>
      <c r="N1162" s="1">
        <v>6</v>
      </c>
      <c r="O1162" s="1">
        <v>9</v>
      </c>
      <c r="P1162" s="1">
        <v>18.3</v>
      </c>
      <c r="Q1162" s="11">
        <f>'Table H'!$J$70</f>
        <v>0.82439232415187103</v>
      </c>
      <c r="R1162" s="11">
        <f t="shared" si="37"/>
        <v>58923.441368754982</v>
      </c>
      <c r="S1162" s="11" t="str">
        <f t="shared" ref="S1162:S1225" si="38">_xlfn.CONCAT(B1162," ",T1162)</f>
        <v>Northleach RD</v>
      </c>
      <c r="T1162" s="11" t="s">
        <v>5310</v>
      </c>
      <c r="V1162" s="11" t="str">
        <f>INDEX('Lookup 1961'!$A$2:$A$1300, MATCH(S1162, 'Lookup 1961'!$B$2:$B$1300,0))</f>
        <v>J04000935</v>
      </c>
      <c r="W1162" s="11" t="str">
        <f>INDEX('Lookup 1961'!$F$2:$F$1300, MATCH(S1162, 'Lookup 1961'!$B$2:$B$1300,0))</f>
        <v>e130363</v>
      </c>
      <c r="X1162" s="11" t="str">
        <f>INDEX('Lookup 1961'!$C$2:$C$1300, MATCH(V1162, 'Lookup 1961'!$A$2:$A$1300,0))</f>
        <v>Gloucestershire</v>
      </c>
    </row>
    <row r="1163" spans="1:24" ht="25.05" customHeight="1" x14ac:dyDescent="0.3">
      <c r="A1163" s="4" t="s">
        <v>1027</v>
      </c>
      <c r="B1163" s="4" t="s">
        <v>1027</v>
      </c>
      <c r="C1163" s="1">
        <v>21</v>
      </c>
      <c r="D1163" s="1">
        <v>4</v>
      </c>
      <c r="E1163" s="1">
        <v>14</v>
      </c>
      <c r="F1163" s="1">
        <v>8</v>
      </c>
      <c r="G1163" s="1">
        <v>15</v>
      </c>
      <c r="H1163" s="1">
        <v>2</v>
      </c>
      <c r="I1163" s="1">
        <v>14</v>
      </c>
      <c r="J1163" s="1">
        <v>8</v>
      </c>
      <c r="K1163" s="6">
        <v>1704</v>
      </c>
      <c r="L1163" s="6">
        <v>452359</v>
      </c>
      <c r="M1163" s="1">
        <v>122</v>
      </c>
      <c r="N1163" s="1">
        <v>7</v>
      </c>
      <c r="O1163" s="1">
        <v>9</v>
      </c>
      <c r="P1163" s="1">
        <v>49.8</v>
      </c>
      <c r="Q1163" s="11">
        <f>'Table H'!$J$70</f>
        <v>0.82439232415187103</v>
      </c>
      <c r="R1163" s="11">
        <f t="shared" si="37"/>
        <v>372921.28736101621</v>
      </c>
      <c r="S1163" s="11" t="str">
        <f t="shared" si="38"/>
        <v>Sodbury RD</v>
      </c>
      <c r="T1163" s="11" t="s">
        <v>5310</v>
      </c>
      <c r="V1163" s="11" t="str">
        <f>INDEX('Lookup 1961'!$A$2:$A$1300, MATCH(S1163, 'Lookup 1961'!$B$2:$B$1300,0))</f>
        <v>J04001153</v>
      </c>
      <c r="W1163" s="11" t="str">
        <f>INDEX('Lookup 1961'!$F$2:$F$1300, MATCH(S1163, 'Lookup 1961'!$B$2:$B$1300,0))</f>
        <v>e130364</v>
      </c>
      <c r="X1163" s="11" t="str">
        <f>INDEX('Lookup 1961'!$C$2:$C$1300, MATCH(V1163, 'Lookup 1961'!$A$2:$A$1300,0))</f>
        <v>Avon</v>
      </c>
    </row>
    <row r="1164" spans="1:24" ht="25.05" customHeight="1" x14ac:dyDescent="0.3">
      <c r="A1164" s="4" t="s">
        <v>372</v>
      </c>
      <c r="B1164" s="4" t="s">
        <v>372</v>
      </c>
      <c r="C1164" s="1">
        <v>23</v>
      </c>
      <c r="D1164" s="1">
        <v>0</v>
      </c>
      <c r="E1164" s="1">
        <v>14</v>
      </c>
      <c r="F1164" s="1">
        <v>11</v>
      </c>
      <c r="G1164" s="1">
        <v>16</v>
      </c>
      <c r="H1164" s="1">
        <v>6</v>
      </c>
      <c r="I1164" s="1">
        <v>15</v>
      </c>
      <c r="J1164" s="1">
        <v>0</v>
      </c>
      <c r="K1164" s="6">
        <v>969</v>
      </c>
      <c r="L1164" s="6">
        <v>249126</v>
      </c>
      <c r="M1164" s="1">
        <v>79.8</v>
      </c>
      <c r="N1164" s="1">
        <v>7</v>
      </c>
      <c r="O1164" s="1">
        <v>1</v>
      </c>
      <c r="P1164" s="1">
        <v>20.399999999999999</v>
      </c>
      <c r="Q1164" s="11">
        <f>'Table H'!$J$70</f>
        <v>0.82439232415187103</v>
      </c>
      <c r="R1164" s="11">
        <f t="shared" si="37"/>
        <v>205377.56214665901</v>
      </c>
      <c r="S1164" s="11" t="str">
        <f t="shared" si="38"/>
        <v>Stroud RD</v>
      </c>
      <c r="T1164" s="11" t="s">
        <v>5310</v>
      </c>
      <c r="V1164" s="11" t="str">
        <f>INDEX('Lookup 1961'!$A$2:$A$1300, MATCH(S1164, 'Lookup 1961'!$B$2:$B$1300,0))</f>
        <v>J04001226</v>
      </c>
      <c r="W1164" s="11" t="str">
        <f>INDEX('Lookup 1961'!$F$2:$F$1300, MATCH(S1164, 'Lookup 1961'!$B$2:$B$1300,0))</f>
        <v>e130365</v>
      </c>
      <c r="X1164" s="11" t="str">
        <f>INDEX('Lookup 1961'!$C$2:$C$1300, MATCH(V1164, 'Lookup 1961'!$A$2:$A$1300,0))</f>
        <v>Gloucestershire</v>
      </c>
    </row>
    <row r="1165" spans="1:24" ht="25.05" customHeight="1" x14ac:dyDescent="0.3">
      <c r="A1165" s="4" t="s">
        <v>1028</v>
      </c>
      <c r="B1165" s="4" t="s">
        <v>1028</v>
      </c>
      <c r="C1165" s="1">
        <v>22</v>
      </c>
      <c r="D1165" s="1">
        <v>0</v>
      </c>
      <c r="E1165" s="1">
        <v>15</v>
      </c>
      <c r="F1165" s="1">
        <v>6</v>
      </c>
      <c r="G1165" s="1">
        <v>16</v>
      </c>
      <c r="H1165" s="1">
        <v>4</v>
      </c>
      <c r="I1165" s="1">
        <v>15</v>
      </c>
      <c r="J1165" s="1">
        <v>6</v>
      </c>
      <c r="K1165" s="6">
        <v>240</v>
      </c>
      <c r="L1165" s="6">
        <v>61536</v>
      </c>
      <c r="M1165" s="1">
        <v>88.4</v>
      </c>
      <c r="N1165" s="1">
        <v>6</v>
      </c>
      <c r="O1165" s="1">
        <v>16</v>
      </c>
      <c r="P1165" s="1">
        <v>33.6</v>
      </c>
      <c r="Q1165" s="11">
        <f>'Table H'!$J$70</f>
        <v>0.82439232415187103</v>
      </c>
      <c r="R1165" s="11">
        <f t="shared" si="37"/>
        <v>50729.806059009534</v>
      </c>
      <c r="S1165" s="11" t="str">
        <f t="shared" si="38"/>
        <v>Tetbury RD</v>
      </c>
      <c r="T1165" s="11" t="s">
        <v>5310</v>
      </c>
      <c r="V1165" s="11" t="str">
        <f>INDEX('Lookup 1961'!$A$2:$A$1300, MATCH(S1165, 'Lookup 1961'!$B$2:$B$1300,0))</f>
        <v>J04001262</v>
      </c>
      <c r="W1165" s="11" t="str">
        <f>INDEX('Lookup 1961'!$F$2:$F$1300, MATCH(S1165, 'Lookup 1961'!$B$2:$B$1300,0))</f>
        <v>e130366</v>
      </c>
      <c r="X1165" s="11" t="str">
        <f>INDEX('Lookup 1961'!$C$2:$C$1300, MATCH(V1165, 'Lookup 1961'!$A$2:$A$1300,0))</f>
        <v>Gloucestershire</v>
      </c>
    </row>
    <row r="1166" spans="1:24" ht="25.05" customHeight="1" x14ac:dyDescent="0.3">
      <c r="A1166" s="4" t="s">
        <v>1029</v>
      </c>
      <c r="B1166" s="4" t="s">
        <v>1029</v>
      </c>
      <c r="C1166" s="1">
        <v>21</v>
      </c>
      <c r="D1166" s="1">
        <v>8</v>
      </c>
      <c r="E1166" s="1">
        <v>14</v>
      </c>
      <c r="F1166" s="1">
        <v>6</v>
      </c>
      <c r="G1166" s="1">
        <v>15</v>
      </c>
      <c r="H1166" s="1">
        <v>8</v>
      </c>
      <c r="I1166" s="1">
        <v>14</v>
      </c>
      <c r="J1166" s="1">
        <v>6</v>
      </c>
      <c r="K1166" s="6">
        <v>990</v>
      </c>
      <c r="L1166" s="6">
        <v>263214</v>
      </c>
      <c r="M1166" s="1">
        <v>88.9</v>
      </c>
      <c r="N1166" s="1">
        <v>6</v>
      </c>
      <c r="O1166" s="1">
        <v>19</v>
      </c>
      <c r="P1166" s="1">
        <v>23.5</v>
      </c>
      <c r="Q1166" s="11">
        <f>'Table H'!$J$70</f>
        <v>0.82439232415187103</v>
      </c>
      <c r="R1166" s="11">
        <f t="shared" si="37"/>
        <v>216991.60120931058</v>
      </c>
      <c r="S1166" s="11" t="str">
        <f t="shared" si="38"/>
        <v>Thornbury RD</v>
      </c>
      <c r="T1166" s="11" t="s">
        <v>5310</v>
      </c>
      <c r="V1166" s="11" t="str">
        <f>INDEX('Lookup 1961'!$A$2:$A$1300, MATCH(S1166, 'Lookup 1961'!$B$2:$B$1300,0))</f>
        <v>J04001271</v>
      </c>
      <c r="W1166" s="11" t="str">
        <f>INDEX('Lookup 1961'!$F$2:$F$1300, MATCH(S1166, 'Lookup 1961'!$B$2:$B$1300,0))</f>
        <v>e130367</v>
      </c>
      <c r="X1166" s="11" t="str">
        <f>INDEX('Lookup 1961'!$C$2:$C$1300, MATCH(V1166, 'Lookup 1961'!$A$2:$A$1300,0))</f>
        <v>Avon</v>
      </c>
    </row>
    <row r="1167" spans="1:24" ht="25.05" customHeight="1" x14ac:dyDescent="0.3">
      <c r="A1167" s="4" t="s">
        <v>1030</v>
      </c>
      <c r="B1167" s="4" t="s">
        <v>1030</v>
      </c>
      <c r="C1167" s="1">
        <v>24</v>
      </c>
      <c r="D1167" s="1">
        <v>0</v>
      </c>
      <c r="E1167" s="1">
        <v>15</v>
      </c>
      <c r="F1167" s="1">
        <v>6</v>
      </c>
      <c r="G1167" s="1">
        <v>15</v>
      </c>
      <c r="H1167" s="1">
        <v>9</v>
      </c>
      <c r="I1167" s="1">
        <v>15</v>
      </c>
      <c r="J1167" s="1">
        <v>6</v>
      </c>
      <c r="K1167" s="6">
        <v>424</v>
      </c>
      <c r="L1167" s="6">
        <v>115998</v>
      </c>
      <c r="M1167" s="1">
        <v>139</v>
      </c>
      <c r="N1167" s="1">
        <v>7</v>
      </c>
      <c r="O1167" s="1">
        <v>7</v>
      </c>
      <c r="P1167" s="1">
        <v>47.6</v>
      </c>
      <c r="Q1167" s="11">
        <f>'Table H'!$J$70</f>
        <v>0.82439232415187103</v>
      </c>
      <c r="R1167" s="11">
        <f t="shared" si="37"/>
        <v>95627.860816968736</v>
      </c>
      <c r="S1167" s="11" t="str">
        <f t="shared" si="38"/>
        <v>Warmley RD</v>
      </c>
      <c r="T1167" s="11" t="s">
        <v>5310</v>
      </c>
      <c r="V1167" s="11" t="str">
        <f>INDEX('Lookup 1961'!$A$2:$A$1300, MATCH(S1167, 'Lookup 1961'!$B$2:$B$1300,0))</f>
        <v>J04001345</v>
      </c>
      <c r="W1167" s="11" t="str">
        <f>INDEX('Lookup 1961'!$F$2:$F$1300, MATCH(S1167, 'Lookup 1961'!$B$2:$B$1300,0))</f>
        <v>e130368</v>
      </c>
      <c r="X1167" s="11" t="str">
        <f>INDEX('Lookup 1961'!$C$2:$C$1300, MATCH(V1167, 'Lookup 1961'!$A$2:$A$1300,0))</f>
        <v>Avon</v>
      </c>
    </row>
    <row r="1168" spans="1:24" ht="25.05" customHeight="1" x14ac:dyDescent="0.3">
      <c r="A1168" s="4" t="s">
        <v>1031</v>
      </c>
      <c r="B1168" s="4" t="s">
        <v>1031</v>
      </c>
      <c r="C1168" s="1">
        <v>27</v>
      </c>
      <c r="D1168" s="1">
        <v>10</v>
      </c>
      <c r="E1168" s="1">
        <v>17</v>
      </c>
      <c r="F1168" s="1">
        <v>11</v>
      </c>
      <c r="G1168" s="1">
        <v>18</v>
      </c>
      <c r="H1168" s="1">
        <v>7</v>
      </c>
      <c r="I1168" s="1">
        <v>18</v>
      </c>
      <c r="J1168" s="1">
        <v>1</v>
      </c>
      <c r="K1168" s="6">
        <v>424</v>
      </c>
      <c r="L1168" s="6">
        <v>121536</v>
      </c>
      <c r="M1168" s="1">
        <v>124.5</v>
      </c>
      <c r="N1168" s="1">
        <v>5</v>
      </c>
      <c r="O1168" s="1">
        <v>12</v>
      </c>
      <c r="P1168" s="1">
        <v>42.8</v>
      </c>
      <c r="Q1168" s="11">
        <f>'Table H'!$J$70</f>
        <v>0.82439232415187103</v>
      </c>
      <c r="R1168" s="11">
        <f t="shared" si="37"/>
        <v>100193.3455081218</v>
      </c>
      <c r="S1168" s="11" t="str">
        <f t="shared" si="38"/>
        <v>West Dean RD</v>
      </c>
      <c r="T1168" s="11" t="s">
        <v>5310</v>
      </c>
      <c r="V1168" s="11" t="str">
        <f>INDEX('Lookup 1961'!$A$2:$A$1300, MATCH(S1168, 'Lookup 1961'!$B$2:$B$1300,0))</f>
        <v>J04001382</v>
      </c>
      <c r="W1168" s="11" t="str">
        <f>INDEX('Lookup 1961'!$F$2:$F$1300, MATCH(S1168, 'Lookup 1961'!$B$2:$B$1300,0))</f>
        <v>e130369</v>
      </c>
      <c r="X1168" s="11" t="str">
        <f>INDEX('Lookup 1961'!$C$2:$C$1300, MATCH(V1168, 'Lookup 1961'!$A$2:$A$1300,0))</f>
        <v>Gloucestershire</v>
      </c>
    </row>
    <row r="1169" spans="1:24" ht="25.05" customHeight="1" x14ac:dyDescent="0.3">
      <c r="A1169" s="4" t="s">
        <v>373</v>
      </c>
      <c r="B1169" s="4" t="s">
        <v>373</v>
      </c>
      <c r="S1169" s="11" t="str">
        <f t="shared" si="38"/>
        <v>HEREFORD: RD</v>
      </c>
      <c r="T1169" s="11" t="s">
        <v>5310</v>
      </c>
      <c r="V1169" s="11" t="e">
        <f>INDEX('Lookup 1961'!$A$2:$A$1300, MATCH(S1169, 'Lookup 1961'!$B$2:$B$1300,0))</f>
        <v>#N/A</v>
      </c>
      <c r="W1169" s="11" t="e">
        <f>INDEX('Lookup 1961'!$F$2:$F$1300, MATCH(S1169, 'Lookup 1961'!$B$2:$B$1300,0))</f>
        <v>#N/A</v>
      </c>
      <c r="X1169" s="11" t="e">
        <f>INDEX('Lookup 1961'!$C$2:$C$1300, MATCH(V1169, 'Lookup 1961'!$A$2:$A$1300,0))</f>
        <v>#N/A</v>
      </c>
    </row>
    <row r="1170" spans="1:24" ht="25.05" customHeight="1" x14ac:dyDescent="0.3">
      <c r="A1170" s="4" t="s">
        <v>376</v>
      </c>
      <c r="B1170" s="4" t="s">
        <v>376</v>
      </c>
      <c r="C1170" s="1">
        <v>22</v>
      </c>
      <c r="D1170" s="1">
        <v>6</v>
      </c>
      <c r="E1170" s="1">
        <v>16</v>
      </c>
      <c r="F1170" s="1">
        <v>4</v>
      </c>
      <c r="G1170" s="1">
        <v>16</v>
      </c>
      <c r="H1170" s="1">
        <v>10</v>
      </c>
      <c r="I1170" s="1">
        <v>15</v>
      </c>
      <c r="J1170" s="1">
        <v>8</v>
      </c>
      <c r="K1170" s="6">
        <v>127</v>
      </c>
      <c r="L1170" s="6">
        <v>31902</v>
      </c>
      <c r="M1170" s="1">
        <v>62.6</v>
      </c>
      <c r="N1170" s="1">
        <v>3</v>
      </c>
      <c r="O1170" s="1">
        <v>9</v>
      </c>
      <c r="P1170" s="1">
        <v>15.7</v>
      </c>
      <c r="Q1170" s="11">
        <f>'Table H'!$J$75</f>
        <v>0.89513707600880277</v>
      </c>
      <c r="R1170" s="11">
        <f t="shared" si="37"/>
        <v>28556.662998832824</v>
      </c>
      <c r="S1170" s="11" t="str">
        <f t="shared" si="38"/>
        <v>Bromyard RD</v>
      </c>
      <c r="T1170" s="11" t="s">
        <v>5310</v>
      </c>
      <c r="V1170" s="11" t="str">
        <f>INDEX('Lookup 1961'!$A$2:$A$1300, MATCH(S1170, 'Lookup 1961'!$B$2:$B$1300,0))</f>
        <v>J04000221</v>
      </c>
      <c r="W1170" s="11" t="str">
        <f>INDEX('Lookup 1961'!$F$2:$F$1300, MATCH(S1170, 'Lookup 1961'!$B$2:$B$1300,0))</f>
        <v>e160446</v>
      </c>
      <c r="X1170" s="11" t="str">
        <f>INDEX('Lookup 1961'!$C$2:$C$1300, MATCH(V1170, 'Lookup 1961'!$A$2:$A$1300,0))</f>
        <v>Hereford And Worcs</v>
      </c>
    </row>
    <row r="1171" spans="1:24" ht="25.05" customHeight="1" x14ac:dyDescent="0.3">
      <c r="A1171" s="4" t="s">
        <v>1032</v>
      </c>
      <c r="B1171" s="4" t="s">
        <v>1032</v>
      </c>
      <c r="C1171" s="1">
        <v>21</v>
      </c>
      <c r="D1171" s="1">
        <v>9</v>
      </c>
      <c r="E1171" s="1">
        <v>16</v>
      </c>
      <c r="F1171" s="1">
        <v>4</v>
      </c>
      <c r="G1171" s="1">
        <v>16</v>
      </c>
      <c r="H1171" s="1">
        <v>8</v>
      </c>
      <c r="I1171" s="1">
        <v>16</v>
      </c>
      <c r="J1171" s="1">
        <v>4</v>
      </c>
      <c r="K1171" s="6">
        <v>183</v>
      </c>
      <c r="L1171" s="6">
        <v>46119</v>
      </c>
      <c r="M1171" s="1">
        <v>71.7</v>
      </c>
      <c r="N1171" s="1">
        <v>4</v>
      </c>
      <c r="O1171" s="1">
        <v>12</v>
      </c>
      <c r="P1171" s="1">
        <v>32.6</v>
      </c>
      <c r="Q1171" s="11">
        <f>'Table H'!$J$75</f>
        <v>0.89513707600880277</v>
      </c>
      <c r="R1171" s="11">
        <f t="shared" si="37"/>
        <v>41282.826808449972</v>
      </c>
      <c r="S1171" s="11" t="str">
        <f t="shared" si="38"/>
        <v>Dore and Bredwardine RD</v>
      </c>
      <c r="T1171" s="11" t="s">
        <v>5310</v>
      </c>
      <c r="V1171" s="11" t="str">
        <f>INDEX('Lookup 1961'!$A$2:$A$1300, MATCH(S1171, 'Lookup 1961'!$B$2:$B$1300,0))</f>
        <v>J04000418</v>
      </c>
      <c r="W1171" s="11" t="str">
        <f>INDEX('Lookup 1961'!$F$2:$F$1300, MATCH(S1171, 'Lookup 1961'!$B$2:$B$1300,0))</f>
        <v>e160447</v>
      </c>
      <c r="X1171" s="11" t="str">
        <f>INDEX('Lookup 1961'!$C$2:$C$1300, MATCH(V1171, 'Lookup 1961'!$A$2:$A$1300,0))</f>
        <v>Hereford And Worcs</v>
      </c>
    </row>
    <row r="1172" spans="1:24" ht="25.05" customHeight="1" x14ac:dyDescent="0.3">
      <c r="A1172" s="4" t="s">
        <v>374</v>
      </c>
      <c r="B1172" s="4" t="s">
        <v>374</v>
      </c>
      <c r="C1172" s="1">
        <v>21</v>
      </c>
      <c r="D1172" s="1">
        <v>2</v>
      </c>
      <c r="E1172" s="1">
        <v>15</v>
      </c>
      <c r="F1172" s="1">
        <v>0</v>
      </c>
      <c r="G1172" s="1">
        <v>15</v>
      </c>
      <c r="H1172" s="1">
        <v>4</v>
      </c>
      <c r="I1172" s="1">
        <v>14</v>
      </c>
      <c r="J1172" s="1">
        <v>10</v>
      </c>
      <c r="K1172" s="6">
        <v>535</v>
      </c>
      <c r="L1172" s="6">
        <v>115146</v>
      </c>
      <c r="M1172" s="1">
        <v>36.1</v>
      </c>
      <c r="N1172" s="1">
        <v>5</v>
      </c>
      <c r="O1172" s="1">
        <v>9</v>
      </c>
      <c r="P1172" s="1">
        <v>7.4</v>
      </c>
      <c r="Q1172" s="11">
        <f>'Table H'!$J$75</f>
        <v>0.89513707600880277</v>
      </c>
      <c r="R1172" s="11">
        <f t="shared" si="37"/>
        <v>103071.45375410961</v>
      </c>
      <c r="S1172" s="11" t="str">
        <f t="shared" si="38"/>
        <v>Hereford RD</v>
      </c>
      <c r="T1172" s="11" t="s">
        <v>5310</v>
      </c>
      <c r="V1172" s="11" t="str">
        <f>INDEX('Lookup 1961'!$A$2:$A$1300, MATCH(S1172, 'Lookup 1961'!$B$2:$B$1300,0))</f>
        <v>J04000611</v>
      </c>
      <c r="W1172" s="11" t="str">
        <f>INDEX('Lookup 1961'!$F$2:$F$1300, MATCH(S1172, 'Lookup 1961'!$B$2:$B$1300,0))</f>
        <v>e160448</v>
      </c>
      <c r="X1172" s="11" t="str">
        <f>INDEX('Lookup 1961'!$C$2:$C$1300, MATCH(V1172, 'Lookup 1961'!$A$2:$A$1300,0))</f>
        <v>Hereford And Worcs</v>
      </c>
    </row>
    <row r="1173" spans="1:24" ht="25.05" customHeight="1" x14ac:dyDescent="0.3">
      <c r="A1173" s="4" t="s">
        <v>377</v>
      </c>
      <c r="B1173" s="4" t="s">
        <v>377</v>
      </c>
      <c r="C1173" s="1">
        <v>23</v>
      </c>
      <c r="D1173" s="1">
        <v>0</v>
      </c>
      <c r="E1173" s="1">
        <v>17</v>
      </c>
      <c r="F1173" s="1">
        <v>0</v>
      </c>
      <c r="G1173" s="1">
        <v>18</v>
      </c>
      <c r="H1173" s="1">
        <v>4</v>
      </c>
      <c r="I1173" s="1">
        <v>17</v>
      </c>
      <c r="J1173" s="1">
        <v>0</v>
      </c>
      <c r="K1173" s="6">
        <v>96</v>
      </c>
      <c r="L1173" s="6">
        <v>24585</v>
      </c>
      <c r="M1173" s="1">
        <v>53.7</v>
      </c>
      <c r="N1173" s="1">
        <v>4</v>
      </c>
      <c r="O1173" s="1">
        <v>0</v>
      </c>
      <c r="P1173" s="1">
        <v>12.2</v>
      </c>
      <c r="Q1173" s="11">
        <f>'Table H'!$J$75</f>
        <v>0.89513707600880277</v>
      </c>
      <c r="R1173" s="11">
        <f t="shared" si="37"/>
        <v>22006.945013676417</v>
      </c>
      <c r="S1173" s="11" t="str">
        <f t="shared" si="38"/>
        <v>Kington RD</v>
      </c>
      <c r="T1173" s="11" t="s">
        <v>5310</v>
      </c>
      <c r="V1173" s="11" t="str">
        <f>INDEX('Lookup 1961'!$A$2:$A$1300, MATCH(S1173, 'Lookup 1961'!$B$2:$B$1300,0))</f>
        <v>J04000702</v>
      </c>
      <c r="W1173" s="11" t="str">
        <f>INDEX('Lookup 1961'!$F$2:$F$1300, MATCH(S1173, 'Lookup 1961'!$B$2:$B$1300,0))</f>
        <v>e160449</v>
      </c>
      <c r="X1173" s="11" t="str">
        <f>INDEX('Lookup 1961'!$C$2:$C$1300, MATCH(V1173, 'Lookup 1961'!$A$2:$A$1300,0))</f>
        <v>Hereford And Worcs</v>
      </c>
    </row>
    <row r="1174" spans="1:24" ht="25.05" customHeight="1" x14ac:dyDescent="0.3">
      <c r="A1174" s="4" t="s">
        <v>378</v>
      </c>
      <c r="B1174" s="4" t="s">
        <v>378</v>
      </c>
      <c r="C1174" s="1">
        <v>22</v>
      </c>
      <c r="D1174" s="1">
        <v>3</v>
      </c>
      <c r="E1174" s="1">
        <v>15</v>
      </c>
      <c r="F1174" s="1">
        <v>10</v>
      </c>
      <c r="G1174" s="1">
        <v>16</v>
      </c>
      <c r="H1174" s="1">
        <v>8</v>
      </c>
      <c r="I1174" s="1">
        <v>15</v>
      </c>
      <c r="J1174" s="1">
        <v>10</v>
      </c>
      <c r="K1174" s="6">
        <v>226</v>
      </c>
      <c r="L1174" s="6">
        <v>57062</v>
      </c>
      <c r="M1174" s="1">
        <v>70</v>
      </c>
      <c r="N1174" s="1">
        <v>4</v>
      </c>
      <c r="O1174" s="1">
        <v>17</v>
      </c>
      <c r="P1174" s="1">
        <v>10.8</v>
      </c>
      <c r="Q1174" s="11">
        <f>'Table H'!$J$75</f>
        <v>0.89513707600880277</v>
      </c>
      <c r="R1174" s="11">
        <f t="shared" si="37"/>
        <v>51078.311831214305</v>
      </c>
      <c r="S1174" s="11" t="str">
        <f t="shared" si="38"/>
        <v>Ledbury RD</v>
      </c>
      <c r="T1174" s="11" t="s">
        <v>5310</v>
      </c>
      <c r="V1174" s="11" t="str">
        <f>INDEX('Lookup 1961'!$A$2:$A$1300, MATCH(S1174, 'Lookup 1961'!$B$2:$B$1300,0))</f>
        <v>J04000725</v>
      </c>
      <c r="W1174" s="11" t="str">
        <f>INDEX('Lookup 1961'!$F$2:$F$1300, MATCH(S1174, 'Lookup 1961'!$B$2:$B$1300,0))</f>
        <v>e160450</v>
      </c>
      <c r="X1174" s="11" t="str">
        <f>INDEX('Lookup 1961'!$C$2:$C$1300, MATCH(V1174, 'Lookup 1961'!$A$2:$A$1300,0))</f>
        <v>Hereford And Worcs</v>
      </c>
    </row>
    <row r="1175" spans="1:24" ht="25.05" customHeight="1" x14ac:dyDescent="0.3">
      <c r="A1175" s="4" t="s">
        <v>1033</v>
      </c>
      <c r="B1175" s="4" t="s">
        <v>1033</v>
      </c>
      <c r="C1175" s="1">
        <v>22</v>
      </c>
      <c r="D1175" s="1">
        <v>6</v>
      </c>
      <c r="E1175" s="1">
        <v>17</v>
      </c>
      <c r="F1175" s="1">
        <v>0</v>
      </c>
      <c r="G1175" s="1">
        <v>17</v>
      </c>
      <c r="H1175" s="1">
        <v>7</v>
      </c>
      <c r="I1175" s="1">
        <v>17</v>
      </c>
      <c r="J1175" s="1">
        <v>0</v>
      </c>
      <c r="K1175" s="6">
        <v>270</v>
      </c>
      <c r="L1175" s="6">
        <v>69765</v>
      </c>
      <c r="M1175" s="1">
        <v>42.7</v>
      </c>
      <c r="N1175" s="1">
        <v>5</v>
      </c>
      <c r="O1175" s="1">
        <v>12</v>
      </c>
      <c r="P1175" s="1">
        <v>7.4</v>
      </c>
      <c r="Q1175" s="11">
        <f>'Table H'!$J$75</f>
        <v>0.89513707600880277</v>
      </c>
      <c r="R1175" s="11">
        <f t="shared" si="37"/>
        <v>62449.238107754129</v>
      </c>
      <c r="S1175" s="11" t="str">
        <f t="shared" si="38"/>
        <v>Leominster and Wigmore RD</v>
      </c>
      <c r="T1175" s="11" t="s">
        <v>5310</v>
      </c>
      <c r="V1175" s="11" t="str">
        <f>INDEX('Lookup 1961'!$A$2:$A$1300, MATCH(S1175, 'Lookup 1961'!$B$2:$B$1300,0))</f>
        <v>J04000735</v>
      </c>
      <c r="W1175" s="11" t="str">
        <f>INDEX('Lookup 1961'!$F$2:$F$1300, MATCH(S1175, 'Lookup 1961'!$B$2:$B$1300,0))</f>
        <v>e160451</v>
      </c>
      <c r="X1175" s="11" t="str">
        <f>INDEX('Lookup 1961'!$C$2:$C$1300, MATCH(V1175, 'Lookup 1961'!$A$2:$A$1300,0))</f>
        <v>Hereford And Worcs</v>
      </c>
    </row>
    <row r="1176" spans="1:24" ht="25.05" customHeight="1" x14ac:dyDescent="0.3">
      <c r="A1176" s="4" t="s">
        <v>1034</v>
      </c>
      <c r="B1176" s="4" t="s">
        <v>1034</v>
      </c>
      <c r="C1176" s="1">
        <v>23</v>
      </c>
      <c r="D1176" s="1">
        <v>0</v>
      </c>
      <c r="E1176" s="1">
        <v>16</v>
      </c>
      <c r="F1176" s="1">
        <v>9</v>
      </c>
      <c r="G1176" s="1">
        <v>17</v>
      </c>
      <c r="H1176" s="1">
        <v>1</v>
      </c>
      <c r="I1176" s="1">
        <v>16</v>
      </c>
      <c r="J1176" s="1">
        <v>9</v>
      </c>
      <c r="K1176" s="6">
        <v>260</v>
      </c>
      <c r="L1176" s="6">
        <v>69377</v>
      </c>
      <c r="M1176" s="1">
        <v>54.6</v>
      </c>
      <c r="N1176" s="1">
        <v>4</v>
      </c>
      <c r="O1176" s="1">
        <v>13</v>
      </c>
      <c r="P1176" s="1">
        <v>15.2</v>
      </c>
      <c r="Q1176" s="11">
        <f>'Table H'!$J$75</f>
        <v>0.89513707600880277</v>
      </c>
      <c r="R1176" s="11">
        <f t="shared" si="37"/>
        <v>62101.924922262711</v>
      </c>
      <c r="S1176" s="11" t="str">
        <f t="shared" si="38"/>
        <v>Ross and Whitchurch RD</v>
      </c>
      <c r="T1176" s="11" t="s">
        <v>5310</v>
      </c>
      <c r="V1176" s="11" t="str">
        <f>INDEX('Lookup 1961'!$A$2:$A$1300, MATCH(S1176, 'Lookup 1961'!$B$2:$B$1300,0))</f>
        <v>J04001064</v>
      </c>
      <c r="W1176" s="11" t="str">
        <f>INDEX('Lookup 1961'!$F$2:$F$1300, MATCH(S1176, 'Lookup 1961'!$B$2:$B$1300,0))</f>
        <v>e160452</v>
      </c>
      <c r="X1176" s="11" t="str">
        <f>INDEX('Lookup 1961'!$C$2:$C$1300, MATCH(V1176, 'Lookup 1961'!$A$2:$A$1300,0))</f>
        <v>Hereford And Worcs</v>
      </c>
    </row>
    <row r="1177" spans="1:24" ht="25.05" customHeight="1" x14ac:dyDescent="0.3">
      <c r="A1177" s="4" t="s">
        <v>1035</v>
      </c>
      <c r="B1177" s="4" t="s">
        <v>1035</v>
      </c>
      <c r="C1177" s="1">
        <v>23</v>
      </c>
      <c r="D1177" s="1">
        <v>6</v>
      </c>
      <c r="E1177" s="1">
        <v>17</v>
      </c>
      <c r="F1177" s="1">
        <v>8</v>
      </c>
      <c r="G1177" s="1">
        <v>17</v>
      </c>
      <c r="H1177" s="1">
        <v>10</v>
      </c>
      <c r="I1177" s="1">
        <v>17</v>
      </c>
      <c r="J1177" s="1">
        <v>7</v>
      </c>
      <c r="K1177" s="6">
        <v>128</v>
      </c>
      <c r="L1177" s="6">
        <v>34992</v>
      </c>
      <c r="M1177" s="1">
        <v>59.4</v>
      </c>
      <c r="N1177" s="1">
        <v>4</v>
      </c>
      <c r="O1177" s="1">
        <v>5</v>
      </c>
      <c r="P1177" s="1">
        <v>16</v>
      </c>
      <c r="Q1177" s="11">
        <f>'Table H'!$J$75</f>
        <v>0.89513707600880277</v>
      </c>
      <c r="R1177" s="11">
        <f t="shared" si="37"/>
        <v>31322.636563700027</v>
      </c>
      <c r="S1177" s="11" t="str">
        <f t="shared" si="38"/>
        <v>Weobley RD</v>
      </c>
      <c r="T1177" s="11" t="s">
        <v>5310</v>
      </c>
      <c r="V1177" s="11" t="str">
        <f>INDEX('Lookup 1961'!$A$2:$A$1300, MATCH(S1177, 'Lookup 1961'!$B$2:$B$1300,0))</f>
        <v>J04001378</v>
      </c>
      <c r="W1177" s="11" t="str">
        <f>INDEX('Lookup 1961'!$F$2:$F$1300, MATCH(S1177, 'Lookup 1961'!$B$2:$B$1300,0))</f>
        <v>e160453</v>
      </c>
      <c r="X1177" s="11" t="str">
        <f>INDEX('Lookup 1961'!$C$2:$C$1300, MATCH(V1177, 'Lookup 1961'!$A$2:$A$1300,0))</f>
        <v>Hereford And Worcs</v>
      </c>
    </row>
    <row r="1178" spans="1:24" ht="25.05" customHeight="1" x14ac:dyDescent="0.3">
      <c r="A1178" s="4" t="s">
        <v>380</v>
      </c>
      <c r="B1178" s="4" t="s">
        <v>380</v>
      </c>
      <c r="S1178" s="11" t="str">
        <f t="shared" si="38"/>
        <v>HERTFORD: RD</v>
      </c>
      <c r="T1178" s="11" t="s">
        <v>5310</v>
      </c>
      <c r="V1178" s="11" t="e">
        <f>INDEX('Lookup 1961'!$A$2:$A$1300, MATCH(S1178, 'Lookup 1961'!$B$2:$B$1300,0))</f>
        <v>#N/A</v>
      </c>
      <c r="W1178" s="11" t="e">
        <f>INDEX('Lookup 1961'!$F$2:$F$1300, MATCH(S1178, 'Lookup 1961'!$B$2:$B$1300,0))</f>
        <v>#N/A</v>
      </c>
      <c r="X1178" s="11" t="e">
        <f>INDEX('Lookup 1961'!$C$2:$C$1300, MATCH(V1178, 'Lookup 1961'!$A$2:$A$1300,0))</f>
        <v>#N/A</v>
      </c>
    </row>
    <row r="1179" spans="1:24" ht="25.05" customHeight="1" x14ac:dyDescent="0.3">
      <c r="A1179" s="4" t="s">
        <v>387</v>
      </c>
      <c r="B1179" s="4" t="s">
        <v>387</v>
      </c>
      <c r="C1179" s="1">
        <v>22</v>
      </c>
      <c r="D1179" s="1">
        <v>0</v>
      </c>
      <c r="E1179" s="1">
        <v>15</v>
      </c>
      <c r="F1179" s="1">
        <v>0</v>
      </c>
      <c r="G1179" s="1">
        <v>15</v>
      </c>
      <c r="H1179" s="1">
        <v>10</v>
      </c>
      <c r="I1179" s="1">
        <v>15</v>
      </c>
      <c r="J1179" s="1">
        <v>0</v>
      </c>
      <c r="K1179" s="6">
        <v>280</v>
      </c>
      <c r="L1179" s="6">
        <v>70532</v>
      </c>
      <c r="M1179" s="1">
        <v>96.6</v>
      </c>
      <c r="N1179" s="1">
        <v>8</v>
      </c>
      <c r="O1179" s="1">
        <v>8</v>
      </c>
      <c r="P1179" s="1">
        <v>26.2</v>
      </c>
      <c r="Q1179" s="11">
        <f>'Table H'!$J$80</f>
        <v>0.90297717434846358</v>
      </c>
      <c r="R1179" s="11">
        <f t="shared" si="37"/>
        <v>63688.786061145831</v>
      </c>
      <c r="S1179" s="11" t="str">
        <f t="shared" si="38"/>
        <v>Berkhamsted RD</v>
      </c>
      <c r="T1179" s="11" t="s">
        <v>5310</v>
      </c>
      <c r="V1179" s="11" t="str">
        <f>INDEX('Lookup 1961'!$A$2:$A$1300, MATCH(S1179, 'Lookup 1961'!$B$2:$B$1300,0))</f>
        <v>J04000125</v>
      </c>
      <c r="W1179" s="11" t="str">
        <f>INDEX('Lookup 1961'!$F$2:$F$1300, MATCH(S1179, 'Lookup 1961'!$B$2:$B$1300,0))</f>
        <v>e170478</v>
      </c>
      <c r="X1179" s="11" t="str">
        <f>INDEX('Lookup 1961'!$C$2:$C$1300, MATCH(V1179, 'Lookup 1961'!$A$2:$A$1300,0))</f>
        <v>Hertfordshire</v>
      </c>
    </row>
    <row r="1180" spans="1:24" ht="25.05" customHeight="1" x14ac:dyDescent="0.3">
      <c r="A1180" s="4" t="s">
        <v>1036</v>
      </c>
      <c r="B1180" s="4" t="s">
        <v>1036</v>
      </c>
      <c r="C1180" s="1">
        <v>24</v>
      </c>
      <c r="D1180" s="1">
        <v>2</v>
      </c>
      <c r="E1180" s="1">
        <v>15</v>
      </c>
      <c r="F1180" s="1">
        <v>10</v>
      </c>
      <c r="G1180" s="1">
        <v>16</v>
      </c>
      <c r="H1180" s="1">
        <v>6</v>
      </c>
      <c r="I1180" s="1">
        <v>15</v>
      </c>
      <c r="J1180" s="1">
        <v>10</v>
      </c>
      <c r="K1180" s="6">
        <v>347</v>
      </c>
      <c r="L1180" s="6">
        <v>88329</v>
      </c>
      <c r="M1180" s="1">
        <v>69.8</v>
      </c>
      <c r="N1180" s="1">
        <v>6</v>
      </c>
      <c r="O1180" s="1">
        <v>11</v>
      </c>
      <c r="P1180" s="1">
        <v>12.7</v>
      </c>
      <c r="Q1180" s="11">
        <f>'Table H'!$J$80</f>
        <v>0.90297717434846358</v>
      </c>
      <c r="R1180" s="11">
        <f t="shared" si="37"/>
        <v>79759.070833025442</v>
      </c>
      <c r="S1180" s="11" t="str">
        <f t="shared" si="38"/>
        <v>Braughing RD</v>
      </c>
      <c r="T1180" s="11" t="s">
        <v>5310</v>
      </c>
      <c r="V1180" s="11" t="str">
        <f>INDEX('Lookup 1961'!$A$2:$A$1300, MATCH(S1180, 'Lookup 1961'!$B$2:$B$1300,0))</f>
        <v>J04000191</v>
      </c>
      <c r="W1180" s="11" t="str">
        <f>INDEX('Lookup 1961'!$F$2:$F$1300, MATCH(S1180, 'Lookup 1961'!$B$2:$B$1300,0))</f>
        <v>e170479</v>
      </c>
      <c r="X1180" s="11" t="str">
        <f>INDEX('Lookup 1961'!$C$2:$C$1300, MATCH(V1180, 'Lookup 1961'!$A$2:$A$1300,0))</f>
        <v>Hertfordshire</v>
      </c>
    </row>
    <row r="1181" spans="1:24" ht="25.05" customHeight="1" x14ac:dyDescent="0.3">
      <c r="A1181" s="4" t="s">
        <v>1037</v>
      </c>
      <c r="B1181" s="4" t="s">
        <v>1037</v>
      </c>
      <c r="C1181" s="1">
        <v>25</v>
      </c>
      <c r="D1181" s="1">
        <v>10</v>
      </c>
      <c r="E1181" s="1">
        <v>17</v>
      </c>
      <c r="F1181" s="1">
        <v>8</v>
      </c>
      <c r="G1181" s="1">
        <v>18</v>
      </c>
      <c r="H1181" s="1">
        <v>2</v>
      </c>
      <c r="I1181" s="1">
        <v>17</v>
      </c>
      <c r="J1181" s="1">
        <v>8</v>
      </c>
      <c r="K1181" s="6">
        <v>1420</v>
      </c>
      <c r="L1181" s="6">
        <v>352334</v>
      </c>
      <c r="M1181" s="1">
        <v>79.900000000000006</v>
      </c>
      <c r="N1181" s="1">
        <v>12</v>
      </c>
      <c r="O1181" s="1">
        <v>15</v>
      </c>
      <c r="P1181" s="1">
        <v>13.1</v>
      </c>
      <c r="Q1181" s="11">
        <f>'Table H'!$J$80</f>
        <v>0.90297717434846358</v>
      </c>
      <c r="R1181" s="11">
        <f t="shared" si="37"/>
        <v>318149.55974689155</v>
      </c>
      <c r="S1181" s="11" t="str">
        <f t="shared" si="38"/>
        <v>Elstree RD</v>
      </c>
      <c r="T1181" s="11" t="s">
        <v>5310</v>
      </c>
      <c r="V1181" s="11" t="str">
        <f>INDEX('Lookup 1961'!$A$2:$A$1300, MATCH(S1181, 'Lookup 1961'!$B$2:$B$1300,0))</f>
        <v>J04000470</v>
      </c>
      <c r="W1181" s="11" t="str">
        <f>INDEX('Lookup 1961'!$F$2:$F$1300, MATCH(S1181, 'Lookup 1961'!$B$2:$B$1300,0))</f>
        <v>e170480</v>
      </c>
      <c r="X1181" s="11" t="str">
        <f>INDEX('Lookup 1961'!$C$2:$C$1300, MATCH(V1181, 'Lookup 1961'!$A$2:$A$1300,0))</f>
        <v>Hertfordshire</v>
      </c>
    </row>
    <row r="1182" spans="1:24" ht="25.05" customHeight="1" x14ac:dyDescent="0.3">
      <c r="A1182" s="4" t="s">
        <v>5365</v>
      </c>
      <c r="B1182" s="4" t="s">
        <v>5317</v>
      </c>
      <c r="C1182" s="1">
        <v>23</v>
      </c>
      <c r="D1182" s="1">
        <v>6</v>
      </c>
      <c r="E1182" s="1">
        <v>16</v>
      </c>
      <c r="F1182" s="1">
        <v>5</v>
      </c>
      <c r="G1182" s="1">
        <v>16</v>
      </c>
      <c r="H1182" s="1">
        <v>8</v>
      </c>
      <c r="I1182" s="1">
        <v>16</v>
      </c>
      <c r="J1182" s="1">
        <v>8</v>
      </c>
      <c r="K1182" s="6">
        <v>1865</v>
      </c>
      <c r="L1182" s="6">
        <v>453074</v>
      </c>
      <c r="M1182" s="1">
        <v>87.2</v>
      </c>
      <c r="N1182" s="1">
        <v>12</v>
      </c>
      <c r="O1182" s="1">
        <v>1</v>
      </c>
      <c r="P1182" s="1">
        <v>22.9</v>
      </c>
      <c r="Q1182" s="11">
        <f>'Table H'!$J$80</f>
        <v>0.90297717434846358</v>
      </c>
      <c r="R1182" s="11">
        <f t="shared" si="37"/>
        <v>409115.4802907558</v>
      </c>
      <c r="S1182" s="11" t="str">
        <f t="shared" si="38"/>
        <v>Hatfield RD</v>
      </c>
      <c r="T1182" s="11" t="s">
        <v>5310</v>
      </c>
      <c r="V1182" s="11" t="str">
        <f>INDEX('Lookup 1961'!$A$2:$A$1300, MATCH(S1182, 'Lookup 1961'!$B$2:$B$1300,0))</f>
        <v>J04000585</v>
      </c>
      <c r="W1182" s="11" t="str">
        <f>INDEX('Lookup 1961'!$F$2:$F$1300, MATCH(S1182, 'Lookup 1961'!$B$2:$B$1300,0))</f>
        <v>e170481</v>
      </c>
      <c r="X1182" s="11" t="str">
        <f>INDEX('Lookup 1961'!$C$2:$C$1300, MATCH(V1182, 'Lookup 1961'!$A$2:$A$1300,0))</f>
        <v>Hertfordshire</v>
      </c>
    </row>
    <row r="1183" spans="1:24" ht="25.05" customHeight="1" x14ac:dyDescent="0.3">
      <c r="A1183" s="4" t="s">
        <v>5366</v>
      </c>
      <c r="B1183" s="4" t="s">
        <v>5317</v>
      </c>
      <c r="C1183" s="1">
        <v>23</v>
      </c>
      <c r="D1183" s="1">
        <v>3</v>
      </c>
      <c r="E1183" s="1">
        <v>16</v>
      </c>
      <c r="F1183" s="1">
        <v>1</v>
      </c>
      <c r="G1183" s="1">
        <v>16</v>
      </c>
      <c r="H1183" s="1">
        <v>4</v>
      </c>
      <c r="I1183" s="1">
        <v>16</v>
      </c>
      <c r="J1183" s="1">
        <v>2</v>
      </c>
      <c r="Q1183" s="11">
        <f>'Table H'!$J$80</f>
        <v>0.90297717434846358</v>
      </c>
      <c r="S1183" s="11" t="str">
        <f t="shared" si="38"/>
        <v>Hatfield RD</v>
      </c>
      <c r="T1183" s="11" t="s">
        <v>5310</v>
      </c>
      <c r="V1183" s="11" t="str">
        <f>INDEX('Lookup 1961'!$A$2:$A$1300, MATCH(S1183, 'Lookup 1961'!$B$2:$B$1300,0))</f>
        <v>J04000585</v>
      </c>
      <c r="W1183" s="11" t="str">
        <f>INDEX('Lookup 1961'!$F$2:$F$1300, MATCH(S1183, 'Lookup 1961'!$B$2:$B$1300,0))</f>
        <v>e170481</v>
      </c>
      <c r="X1183" s="11" t="str">
        <f>INDEX('Lookup 1961'!$C$2:$C$1300, MATCH(V1183, 'Lookup 1961'!$A$2:$A$1300,0))</f>
        <v>Hertfordshire</v>
      </c>
    </row>
    <row r="1184" spans="1:24" ht="25.05" customHeight="1" x14ac:dyDescent="0.3">
      <c r="A1184" s="4" t="s">
        <v>381</v>
      </c>
      <c r="B1184" s="4" t="s">
        <v>381</v>
      </c>
      <c r="C1184" s="1">
        <v>25</v>
      </c>
      <c r="D1184" s="1">
        <v>4</v>
      </c>
      <c r="E1184" s="1">
        <v>17</v>
      </c>
      <c r="F1184" s="1">
        <v>4</v>
      </c>
      <c r="G1184" s="1">
        <v>17</v>
      </c>
      <c r="H1184" s="1">
        <v>8</v>
      </c>
      <c r="I1184" s="1">
        <v>17</v>
      </c>
      <c r="J1184" s="1">
        <v>4</v>
      </c>
      <c r="K1184" s="6">
        <v>520</v>
      </c>
      <c r="L1184" s="6">
        <v>135237</v>
      </c>
      <c r="M1184" s="1">
        <v>77.8</v>
      </c>
      <c r="N1184" s="1">
        <v>9</v>
      </c>
      <c r="O1184" s="1">
        <v>0</v>
      </c>
      <c r="P1184" s="1">
        <v>18.899999999999999</v>
      </c>
      <c r="Q1184" s="11">
        <f>'Table H'!$J$80</f>
        <v>0.90297717434846358</v>
      </c>
      <c r="R1184" s="11">
        <f t="shared" si="37"/>
        <v>122115.92412736316</v>
      </c>
      <c r="S1184" s="11" t="str">
        <f t="shared" si="38"/>
        <v>Hemel Hempstead RD</v>
      </c>
      <c r="T1184" s="11" t="s">
        <v>5310</v>
      </c>
      <c r="V1184" s="11" t="str">
        <f>INDEX('Lookup 1961'!$A$2:$A$1300, MATCH(S1184, 'Lookup 1961'!$B$2:$B$1300,0))</f>
        <v>J04000604</v>
      </c>
      <c r="W1184" s="11" t="str">
        <f>INDEX('Lookup 1961'!$F$2:$F$1300, MATCH(S1184, 'Lookup 1961'!$B$2:$B$1300,0))</f>
        <v>e170483</v>
      </c>
      <c r="X1184" s="11" t="str">
        <f>INDEX('Lookup 1961'!$C$2:$C$1300, MATCH(V1184, 'Lookup 1961'!$A$2:$A$1300,0))</f>
        <v>Hertfordshire</v>
      </c>
    </row>
    <row r="1185" spans="1:24" ht="25.05" customHeight="1" x14ac:dyDescent="0.3">
      <c r="A1185" s="4" t="s">
        <v>382</v>
      </c>
      <c r="B1185" s="4" t="s">
        <v>382</v>
      </c>
      <c r="C1185" s="1">
        <v>25</v>
      </c>
      <c r="D1185" s="1">
        <v>10</v>
      </c>
      <c r="E1185" s="1">
        <v>17</v>
      </c>
      <c r="F1185" s="1">
        <v>4</v>
      </c>
      <c r="G1185" s="1">
        <v>18</v>
      </c>
      <c r="H1185" s="1">
        <v>2</v>
      </c>
      <c r="I1185" s="1">
        <v>17</v>
      </c>
      <c r="J1185" s="1">
        <v>4</v>
      </c>
      <c r="K1185" s="1">
        <v>295</v>
      </c>
      <c r="L1185" s="1">
        <v>75954</v>
      </c>
      <c r="M1185" s="1">
        <v>64.599999999999994</v>
      </c>
      <c r="N1185" s="1">
        <v>7</v>
      </c>
      <c r="O1185" s="1">
        <v>8</v>
      </c>
      <c r="P1185" s="1">
        <v>14.3</v>
      </c>
      <c r="Q1185" s="11">
        <f>'Table H'!$J$80</f>
        <v>0.90297717434846358</v>
      </c>
      <c r="R1185" s="11">
        <f t="shared" si="37"/>
        <v>68584.728300463205</v>
      </c>
      <c r="S1185" s="11" t="str">
        <f t="shared" si="38"/>
        <v>Hertford RD</v>
      </c>
      <c r="T1185" s="11" t="s">
        <v>5310</v>
      </c>
      <c r="V1185" s="11" t="str">
        <f>INDEX('Lookup 1961'!$A$2:$A$1300, MATCH(S1185, 'Lookup 1961'!$B$2:$B$1300,0))</f>
        <v>J04000615</v>
      </c>
      <c r="W1185" s="11" t="str">
        <f>INDEX('Lookup 1961'!$F$2:$F$1300, MATCH(S1185, 'Lookup 1961'!$B$2:$B$1300,0))</f>
        <v>e170485</v>
      </c>
      <c r="X1185" s="11" t="str">
        <f>INDEX('Lookup 1961'!$C$2:$C$1300, MATCH(V1185, 'Lookup 1961'!$A$2:$A$1300,0))</f>
        <v>Hertfordshire</v>
      </c>
    </row>
    <row r="1186" spans="1:24" ht="25.05" customHeight="1" x14ac:dyDescent="0.3">
      <c r="A1186" s="4" t="s">
        <v>394</v>
      </c>
      <c r="B1186" s="4" t="s">
        <v>394</v>
      </c>
      <c r="C1186" s="1">
        <v>25</v>
      </c>
      <c r="D1186" s="1">
        <v>0</v>
      </c>
      <c r="E1186" s="1">
        <v>17</v>
      </c>
      <c r="F1186" s="1">
        <v>10</v>
      </c>
      <c r="G1186" s="1">
        <v>18</v>
      </c>
      <c r="H1186" s="1">
        <v>10</v>
      </c>
      <c r="I1186" s="1">
        <v>17</v>
      </c>
      <c r="J1186" s="1">
        <v>10</v>
      </c>
      <c r="K1186" s="6">
        <v>677</v>
      </c>
      <c r="L1186" s="6">
        <v>172994</v>
      </c>
      <c r="M1186" s="1">
        <v>55.8</v>
      </c>
      <c r="N1186" s="1">
        <v>6</v>
      </c>
      <c r="O1186" s="1">
        <v>13</v>
      </c>
      <c r="P1186" s="1">
        <v>5.0999999999999996</v>
      </c>
      <c r="Q1186" s="11">
        <f>'Table H'!$J$80</f>
        <v>0.90297717434846358</v>
      </c>
      <c r="R1186" s="11">
        <f t="shared" si="37"/>
        <v>156209.63329923811</v>
      </c>
      <c r="S1186" s="11" t="str">
        <f t="shared" si="38"/>
        <v>Hitchin RD</v>
      </c>
      <c r="T1186" s="11" t="s">
        <v>5310</v>
      </c>
      <c r="V1186" s="11" t="str">
        <f>INDEX('Lookup 1961'!$A$2:$A$1300, MATCH(S1186, 'Lookup 1961'!$B$2:$B$1300,0))</f>
        <v>J04000627</v>
      </c>
      <c r="W1186" s="11" t="str">
        <f>INDEX('Lookup 1961'!$F$2:$F$1300, MATCH(S1186, 'Lookup 1961'!$B$2:$B$1300,0))</f>
        <v>e170487</v>
      </c>
      <c r="X1186" s="11" t="str">
        <f>INDEX('Lookup 1961'!$C$2:$C$1300, MATCH(V1186, 'Lookup 1961'!$A$2:$A$1300,0))</f>
        <v>Hertfordshire</v>
      </c>
    </row>
    <row r="1187" spans="1:24" ht="25.05" customHeight="1" x14ac:dyDescent="0.3">
      <c r="A1187" s="4" t="s">
        <v>1038</v>
      </c>
      <c r="B1187" s="4" t="s">
        <v>1038</v>
      </c>
      <c r="C1187" s="1">
        <v>25</v>
      </c>
      <c r="D1187" s="1">
        <v>5</v>
      </c>
      <c r="E1187" s="1">
        <v>17</v>
      </c>
      <c r="F1187" s="1">
        <v>2</v>
      </c>
      <c r="G1187" s="1">
        <v>17</v>
      </c>
      <c r="H1187" s="1">
        <v>6</v>
      </c>
      <c r="I1187" s="1">
        <v>17</v>
      </c>
      <c r="J1187" s="1">
        <v>2</v>
      </c>
      <c r="K1187" s="6">
        <v>1440</v>
      </c>
      <c r="L1187" s="1">
        <v>339206</v>
      </c>
      <c r="M1187" s="1">
        <v>61.4</v>
      </c>
      <c r="N1187" s="1">
        <v>9</v>
      </c>
      <c r="O1187" s="1">
        <v>13</v>
      </c>
      <c r="P1187" s="1">
        <v>9.1</v>
      </c>
      <c r="Q1187" s="11">
        <f>'Table H'!$J$80</f>
        <v>0.90297717434846358</v>
      </c>
      <c r="R1187" s="11">
        <f t="shared" si="37"/>
        <v>306295.27540204494</v>
      </c>
      <c r="S1187" s="11" t="str">
        <f t="shared" si="38"/>
        <v>St. Albans RD</v>
      </c>
      <c r="T1187" s="11" t="s">
        <v>5310</v>
      </c>
      <c r="V1187" s="11" t="str">
        <f>INDEX('Lookup 1961'!$A$2:$A$1300, MATCH(S1187, 'Lookup 1961'!$B$2:$B$1300,0))</f>
        <v>J04001180</v>
      </c>
      <c r="W1187" s="11" t="str">
        <f>INDEX('Lookup 1961'!$F$2:$F$1300, MATCH(S1187, 'Lookup 1961'!$B$2:$B$1300,0))</f>
        <v>e170488</v>
      </c>
      <c r="X1187" s="11" t="str">
        <f>INDEX('Lookup 1961'!$C$2:$C$1300, MATCH(V1187, 'Lookup 1961'!$A$2:$A$1300,0))</f>
        <v>Hertfordshire</v>
      </c>
    </row>
    <row r="1188" spans="1:24" ht="25.05" customHeight="1" x14ac:dyDescent="0.3">
      <c r="A1188" s="4" t="s">
        <v>402</v>
      </c>
      <c r="B1188" s="4" t="s">
        <v>402</v>
      </c>
      <c r="C1188" s="1">
        <v>24</v>
      </c>
      <c r="D1188" s="1">
        <v>2</v>
      </c>
      <c r="E1188" s="1">
        <v>16</v>
      </c>
      <c r="F1188" s="1">
        <v>8</v>
      </c>
      <c r="G1188" s="1">
        <v>17</v>
      </c>
      <c r="H1188" s="1">
        <v>6</v>
      </c>
      <c r="I1188" s="1">
        <v>16</v>
      </c>
      <c r="J1188" s="1">
        <v>6</v>
      </c>
      <c r="K1188" s="6">
        <v>430</v>
      </c>
      <c r="L1188" s="6">
        <v>107620</v>
      </c>
      <c r="M1188" s="1">
        <v>49.9</v>
      </c>
      <c r="N1188" s="1">
        <v>7</v>
      </c>
      <c r="O1188" s="1">
        <v>15</v>
      </c>
      <c r="P1188" s="1">
        <v>1.4</v>
      </c>
      <c r="Q1188" s="11">
        <f>'Table H'!$J$80</f>
        <v>0.90297717434846358</v>
      </c>
      <c r="R1188" s="11">
        <f t="shared" si="37"/>
        <v>97178.403503381647</v>
      </c>
      <c r="S1188" s="11" t="str">
        <f t="shared" si="38"/>
        <v>Ware RD</v>
      </c>
      <c r="T1188" s="11" t="s">
        <v>5310</v>
      </c>
      <c r="V1188" s="11" t="str">
        <f>INDEX('Lookup 1961'!$A$2:$A$1300, MATCH(S1188, 'Lookup 1961'!$B$2:$B$1300,0))</f>
        <v>J04001339</v>
      </c>
      <c r="W1188" s="11" t="str">
        <f>INDEX('Lookup 1961'!$F$2:$F$1300, MATCH(S1188, 'Lookup 1961'!$B$2:$B$1300,0))</f>
        <v>e170490</v>
      </c>
      <c r="X1188" s="11" t="str">
        <f>INDEX('Lookup 1961'!$C$2:$C$1300, MATCH(V1188, 'Lookup 1961'!$A$2:$A$1300,0))</f>
        <v>Hertfordshire</v>
      </c>
    </row>
    <row r="1189" spans="1:24" ht="25.05" customHeight="1" x14ac:dyDescent="0.3">
      <c r="A1189" s="4" t="s">
        <v>5367</v>
      </c>
      <c r="B1189" s="4" t="s">
        <v>384</v>
      </c>
      <c r="C1189" s="1">
        <v>24</v>
      </c>
      <c r="D1189" s="1">
        <v>0</v>
      </c>
      <c r="E1189" s="1">
        <v>16</v>
      </c>
      <c r="F1189" s="1">
        <v>6</v>
      </c>
      <c r="G1189" s="1">
        <v>17</v>
      </c>
      <c r="H1189" s="1">
        <v>1</v>
      </c>
      <c r="I1189" s="1">
        <v>17</v>
      </c>
      <c r="J1189" s="6">
        <v>1</v>
      </c>
      <c r="K1189" s="6">
        <v>2875</v>
      </c>
      <c r="L1189" s="6">
        <v>707221</v>
      </c>
      <c r="M1189" s="1">
        <v>98.5</v>
      </c>
      <c r="N1189" s="1">
        <v>9</v>
      </c>
      <c r="O1189" s="6">
        <v>14</v>
      </c>
      <c r="P1189" s="6">
        <v>16.5</v>
      </c>
      <c r="Q1189" s="11">
        <f>'Table H'!$J$80</f>
        <v>0.90297717434846358</v>
      </c>
      <c r="R1189" s="11">
        <f t="shared" si="37"/>
        <v>638604.42021989473</v>
      </c>
      <c r="S1189" s="11" t="str">
        <f t="shared" si="38"/>
        <v>Watford RD</v>
      </c>
      <c r="T1189" s="11" t="s">
        <v>5310</v>
      </c>
      <c r="V1189" s="11" t="str">
        <f>INDEX('Lookup 1961'!$A$2:$A$1300, MATCH(S1189, 'Lookup 1961'!$B$2:$B$1300,0))</f>
        <v>J04001354</v>
      </c>
      <c r="W1189" s="11" t="str">
        <f>INDEX('Lookup 1961'!$F$2:$F$1300, MATCH(S1189, 'Lookup 1961'!$B$2:$B$1300,0))</f>
        <v>e170492</v>
      </c>
      <c r="X1189" s="11" t="str">
        <f>INDEX('Lookup 1961'!$C$2:$C$1300, MATCH(V1189, 'Lookup 1961'!$A$2:$A$1300,0))</f>
        <v>Hertfordshire</v>
      </c>
    </row>
    <row r="1190" spans="1:24" ht="25.05" customHeight="1" x14ac:dyDescent="0.3">
      <c r="A1190" s="4" t="s">
        <v>5368</v>
      </c>
      <c r="B1190" s="4" t="s">
        <v>384</v>
      </c>
      <c r="C1190" s="1">
        <v>23</v>
      </c>
      <c r="D1190" s="1">
        <v>9</v>
      </c>
      <c r="E1190" s="1">
        <v>16</v>
      </c>
      <c r="F1190" s="1">
        <v>2</v>
      </c>
      <c r="G1190" s="1">
        <v>16</v>
      </c>
      <c r="H1190" s="1">
        <v>10</v>
      </c>
      <c r="I1190" s="1">
        <v>16</v>
      </c>
      <c r="J1190" s="1">
        <v>4</v>
      </c>
      <c r="Q1190" s="11">
        <f>'Table H'!$J$80</f>
        <v>0.90297717434846358</v>
      </c>
      <c r="S1190" s="11" t="str">
        <f t="shared" si="38"/>
        <v>Watford RD</v>
      </c>
      <c r="T1190" s="11" t="s">
        <v>5310</v>
      </c>
      <c r="V1190" s="11" t="str">
        <f>INDEX('Lookup 1961'!$A$2:$A$1300, MATCH(S1190, 'Lookup 1961'!$B$2:$B$1300,0))</f>
        <v>J04001354</v>
      </c>
      <c r="W1190" s="11" t="str">
        <f>INDEX('Lookup 1961'!$F$2:$F$1300, MATCH(S1190, 'Lookup 1961'!$B$2:$B$1300,0))</f>
        <v>e170492</v>
      </c>
      <c r="X1190" s="11" t="str">
        <f>INDEX('Lookup 1961'!$C$2:$C$1300, MATCH(V1190, 'Lookup 1961'!$A$2:$A$1300,0))</f>
        <v>Hertfordshire</v>
      </c>
    </row>
    <row r="1191" spans="1:24" ht="25.05" customHeight="1" x14ac:dyDescent="0.3">
      <c r="A1191" s="4" t="s">
        <v>1039</v>
      </c>
      <c r="B1191" s="4" t="s">
        <v>1039</v>
      </c>
      <c r="C1191" s="1">
        <v>24</v>
      </c>
      <c r="D1191" s="1">
        <v>2</v>
      </c>
      <c r="E1191" s="1">
        <v>16</v>
      </c>
      <c r="F1191" s="1">
        <v>4</v>
      </c>
      <c r="G1191" s="1">
        <v>17</v>
      </c>
      <c r="H1191" s="1">
        <v>6</v>
      </c>
      <c r="I1191" s="1">
        <v>16</v>
      </c>
      <c r="J1191" s="1">
        <v>4</v>
      </c>
      <c r="K1191" s="6">
        <v>267</v>
      </c>
      <c r="L1191" s="6">
        <v>68729</v>
      </c>
      <c r="M1191" s="1">
        <v>60.3</v>
      </c>
      <c r="N1191" s="1">
        <v>10</v>
      </c>
      <c r="O1191" s="1">
        <v>10</v>
      </c>
      <c r="P1191" s="1">
        <v>11</v>
      </c>
      <c r="Q1191" s="11">
        <f>'Table H'!$J$80</f>
        <v>0.90297717434846358</v>
      </c>
      <c r="R1191" s="11">
        <f t="shared" si="37"/>
        <v>62060.718215795554</v>
      </c>
      <c r="S1191" s="11" t="str">
        <f t="shared" si="38"/>
        <v>Welwyn RD</v>
      </c>
      <c r="T1191" s="11" t="s">
        <v>5310</v>
      </c>
      <c r="V1191" s="11" t="str">
        <f>INDEX('Lookup 1961'!$A$2:$A$1300, MATCH(S1191, 'Lookup 1961'!$B$2:$B$1300,0))</f>
        <v>J04001373</v>
      </c>
      <c r="W1191" s="11" t="str">
        <f>INDEX('Lookup 1961'!$F$2:$F$1300, MATCH(S1191, 'Lookup 1961'!$B$2:$B$1300,0))</f>
        <v>e170494</v>
      </c>
      <c r="X1191" s="11" t="str">
        <f>INDEX('Lookup 1961'!$C$2:$C$1300, MATCH(V1191, 'Lookup 1961'!$A$2:$A$1300,0))</f>
        <v>Hertfordshire</v>
      </c>
    </row>
    <row r="1192" spans="1:24" ht="25.05" customHeight="1" x14ac:dyDescent="0.3">
      <c r="A1192" s="4" t="s">
        <v>404</v>
      </c>
      <c r="B1192" s="4" t="s">
        <v>404</v>
      </c>
      <c r="S1192" s="11" t="str">
        <f t="shared" si="38"/>
        <v>HUNTINGDON: RD</v>
      </c>
      <c r="T1192" s="11" t="s">
        <v>5310</v>
      </c>
      <c r="V1192" s="11" t="e">
        <f>INDEX('Lookup 1961'!$A$2:$A$1300, MATCH(S1192, 'Lookup 1961'!$B$2:$B$1300,0))</f>
        <v>#N/A</v>
      </c>
      <c r="W1192" s="11" t="e">
        <f>INDEX('Lookup 1961'!$F$2:$F$1300, MATCH(S1192, 'Lookup 1961'!$B$2:$B$1300,0))</f>
        <v>#N/A</v>
      </c>
      <c r="X1192" s="11" t="e">
        <f>INDEX('Lookup 1961'!$C$2:$C$1300, MATCH(V1192, 'Lookup 1961'!$A$2:$A$1300,0))</f>
        <v>#N/A</v>
      </c>
    </row>
    <row r="1193" spans="1:24" ht="25.05" customHeight="1" x14ac:dyDescent="0.3">
      <c r="A1193" s="4" t="s">
        <v>406</v>
      </c>
      <c r="B1193" s="4" t="s">
        <v>406</v>
      </c>
      <c r="C1193" s="1">
        <v>24</v>
      </c>
      <c r="D1193" s="1">
        <v>8</v>
      </c>
      <c r="E1193" s="1">
        <v>15</v>
      </c>
      <c r="F1193" s="1">
        <v>3</v>
      </c>
      <c r="G1193" s="1">
        <v>15</v>
      </c>
      <c r="H1193" s="1">
        <v>11</v>
      </c>
      <c r="I1193" s="1">
        <v>15</v>
      </c>
      <c r="J1193" s="1">
        <v>3</v>
      </c>
      <c r="K1193" s="1">
        <v>275</v>
      </c>
      <c r="L1193" s="6">
        <v>69716</v>
      </c>
      <c r="M1193" s="1">
        <v>74.900000000000006</v>
      </c>
      <c r="N1193" s="1">
        <v>4</v>
      </c>
      <c r="O1193" s="1">
        <v>5</v>
      </c>
      <c r="P1193" s="1">
        <v>9.3000000000000007</v>
      </c>
      <c r="Q1193" s="11">
        <f>'Table H'!$J$85</f>
        <v>0.74668124162924443</v>
      </c>
      <c r="R1193" s="11">
        <f t="shared" si="37"/>
        <v>52055.629441424404</v>
      </c>
      <c r="S1193" s="11" t="str">
        <f t="shared" si="38"/>
        <v>Huntingdon RD</v>
      </c>
      <c r="T1193" s="11" t="s">
        <v>5310</v>
      </c>
      <c r="V1193" s="11" t="str">
        <f>INDEX('Lookup 1961'!$A$2:$A$1300, MATCH(S1193, 'Lookup 1961'!$B$2:$B$1300,0))</f>
        <v>J04000661</v>
      </c>
      <c r="W1193" s="11" t="str">
        <f>INDEX('Lookup 1961'!$F$2:$F$1300, MATCH(S1193, 'Lookup 1961'!$B$2:$B$1300,0))</f>
        <v>e180504</v>
      </c>
      <c r="X1193" s="11" t="str">
        <f>INDEX('Lookup 1961'!$C$2:$C$1300, MATCH(V1193, 'Lookup 1961'!$A$2:$A$1300,0))</f>
        <v>Cambridgeshire</v>
      </c>
    </row>
    <row r="1194" spans="1:24" ht="25.05" customHeight="1" x14ac:dyDescent="0.3">
      <c r="A1194" s="4" t="s">
        <v>1040</v>
      </c>
      <c r="B1194" s="4" t="s">
        <v>1040</v>
      </c>
      <c r="C1194" s="1">
        <v>25</v>
      </c>
      <c r="D1194" s="1">
        <v>0</v>
      </c>
      <c r="E1194" s="1">
        <v>15</v>
      </c>
      <c r="F1194" s="1">
        <v>0</v>
      </c>
      <c r="G1194" s="1">
        <v>15</v>
      </c>
      <c r="H1194" s="1">
        <v>11</v>
      </c>
      <c r="I1194" s="1">
        <v>15</v>
      </c>
      <c r="J1194" s="1">
        <v>0</v>
      </c>
      <c r="K1194" s="1">
        <v>285</v>
      </c>
      <c r="L1194" s="6">
        <v>74991</v>
      </c>
      <c r="M1194" s="1">
        <v>116</v>
      </c>
      <c r="N1194" s="1">
        <v>6</v>
      </c>
      <c r="O1194" s="1">
        <v>10</v>
      </c>
      <c r="P1194" s="1">
        <v>25.1</v>
      </c>
      <c r="Q1194" s="11">
        <f>'Table H'!$J$85</f>
        <v>0.74668124162924443</v>
      </c>
      <c r="R1194" s="11">
        <f t="shared" si="37"/>
        <v>55994.372991018667</v>
      </c>
      <c r="S1194" s="11" t="str">
        <f t="shared" si="38"/>
        <v>Norman Cross RD</v>
      </c>
      <c r="T1194" s="11" t="s">
        <v>5310</v>
      </c>
      <c r="V1194" s="11" t="str">
        <f>INDEX('Lookup 1961'!$A$2:$A$1300, MATCH(S1194, 'Lookup 1961'!$B$2:$B$1300,0))</f>
        <v>J04000921</v>
      </c>
      <c r="W1194" s="11" t="str">
        <f>INDEX('Lookup 1961'!$F$2:$F$1300, MATCH(S1194, 'Lookup 1961'!$B$2:$B$1300,0))</f>
        <v>e180505</v>
      </c>
      <c r="X1194" s="11" t="str">
        <f>INDEX('Lookup 1961'!$C$2:$C$1300, MATCH(V1194, 'Lookup 1961'!$A$2:$A$1300,0))</f>
        <v>Cambridgeshire</v>
      </c>
    </row>
    <row r="1195" spans="1:24" ht="25.05" customHeight="1" x14ac:dyDescent="0.3">
      <c r="A1195" s="4" t="s">
        <v>221</v>
      </c>
      <c r="B1195" s="4" t="s">
        <v>221</v>
      </c>
      <c r="C1195" s="1">
        <v>26</v>
      </c>
      <c r="D1195" s="1">
        <v>0</v>
      </c>
      <c r="E1195" s="1">
        <v>15</v>
      </c>
      <c r="F1195" s="1">
        <v>0</v>
      </c>
      <c r="G1195" s="1">
        <v>16</v>
      </c>
      <c r="H1195" s="1">
        <v>0</v>
      </c>
      <c r="I1195" s="1">
        <v>15</v>
      </c>
      <c r="J1195" s="1">
        <v>0</v>
      </c>
      <c r="K1195" s="1">
        <v>418</v>
      </c>
      <c r="L1195" s="6">
        <v>104793</v>
      </c>
      <c r="M1195" s="1">
        <v>63.1</v>
      </c>
      <c r="N1195" s="1">
        <v>5</v>
      </c>
      <c r="O1195" s="1">
        <v>5</v>
      </c>
      <c r="P1195" s="1">
        <v>9.3000000000000007</v>
      </c>
      <c r="Q1195" s="11">
        <f>'Table H'!$J$85</f>
        <v>0.74668124162924443</v>
      </c>
      <c r="R1195" s="11">
        <f t="shared" si="37"/>
        <v>78246.967354053413</v>
      </c>
      <c r="S1195" s="11" t="str">
        <f t="shared" si="38"/>
        <v>St. Ives RD</v>
      </c>
      <c r="T1195" s="11" t="s">
        <v>5310</v>
      </c>
      <c r="V1195" s="11" t="str">
        <f>INDEX('Lookup 1961'!$A$2:$A$1300, MATCH(S1195, 'Lookup 1961'!$B$2:$B$1300,0))</f>
        <v>J04001189</v>
      </c>
      <c r="W1195" s="11" t="str">
        <f>INDEX('Lookup 1961'!$F$2:$F$1300, MATCH(S1195, 'Lookup 1961'!$B$2:$B$1300,0))</f>
        <v>e180509</v>
      </c>
      <c r="X1195" s="11" t="str">
        <f>INDEX('Lookup 1961'!$C$2:$C$1300, MATCH(V1195, 'Lookup 1961'!$A$2:$A$1300,0))</f>
        <v>Cambridgeshire</v>
      </c>
    </row>
    <row r="1196" spans="1:24" ht="25.05" customHeight="1" x14ac:dyDescent="0.3">
      <c r="A1196" s="4" t="s">
        <v>409</v>
      </c>
      <c r="B1196" s="4" t="s">
        <v>409</v>
      </c>
      <c r="C1196" s="1">
        <v>26</v>
      </c>
      <c r="D1196" s="1">
        <v>6</v>
      </c>
      <c r="E1196" s="1">
        <v>16</v>
      </c>
      <c r="F1196" s="1">
        <v>0</v>
      </c>
      <c r="G1196" s="1">
        <v>17</v>
      </c>
      <c r="H1196" s="1">
        <v>0</v>
      </c>
      <c r="I1196" s="1">
        <v>16</v>
      </c>
      <c r="J1196" s="1">
        <v>0</v>
      </c>
      <c r="K1196" s="1">
        <v>212</v>
      </c>
      <c r="L1196" s="6">
        <v>55132</v>
      </c>
      <c r="M1196" s="1">
        <v>81.099999999999994</v>
      </c>
      <c r="N1196" s="1">
        <v>5</v>
      </c>
      <c r="O1196" s="1">
        <v>19</v>
      </c>
      <c r="P1196" s="1">
        <v>8.6999999999999993</v>
      </c>
      <c r="Q1196" s="11">
        <f>'Table H'!$J$85</f>
        <v>0.74668124162924443</v>
      </c>
      <c r="R1196" s="11">
        <f t="shared" si="37"/>
        <v>41166.030213503502</v>
      </c>
      <c r="S1196" s="11" t="str">
        <f t="shared" si="38"/>
        <v>St. Neots RD</v>
      </c>
      <c r="T1196" s="11" t="s">
        <v>5310</v>
      </c>
      <c r="V1196" s="11" t="str">
        <f>INDEX('Lookup 1961'!$A$2:$A$1300, MATCH(S1196, 'Lookup 1961'!$B$2:$B$1300,0))</f>
        <v>J04001192</v>
      </c>
      <c r="W1196" s="11" t="str">
        <f>INDEX('Lookup 1961'!$F$2:$F$1300, MATCH(S1196, 'Lookup 1961'!$B$2:$B$1300,0))</f>
        <v>e180510</v>
      </c>
      <c r="X1196" s="11" t="str">
        <f>INDEX('Lookup 1961'!$C$2:$C$1300, MATCH(V1196, 'Lookup 1961'!$A$2:$A$1300,0))</f>
        <v>Cambridgeshire</v>
      </c>
    </row>
    <row r="1197" spans="1:24" ht="25.05" customHeight="1" x14ac:dyDescent="0.3">
      <c r="A1197" s="4" t="s">
        <v>410</v>
      </c>
      <c r="B1197" s="4" t="s">
        <v>410</v>
      </c>
      <c r="S1197" s="11" t="str">
        <f t="shared" si="38"/>
        <v>ISLE OF ELY: RD</v>
      </c>
      <c r="T1197" s="11" t="s">
        <v>5310</v>
      </c>
      <c r="V1197" s="11" t="e">
        <f>INDEX('Lookup 1961'!$A$2:$A$1300, MATCH(S1197, 'Lookup 1961'!$B$2:$B$1300,0))</f>
        <v>#N/A</v>
      </c>
      <c r="W1197" s="11" t="e">
        <f>INDEX('Lookup 1961'!$F$2:$F$1300, MATCH(S1197, 'Lookup 1961'!$B$2:$B$1300,0))</f>
        <v>#N/A</v>
      </c>
      <c r="X1197" s="11" t="e">
        <f>INDEX('Lookup 1961'!$C$2:$C$1300, MATCH(V1197, 'Lookup 1961'!$A$2:$A$1300,0))</f>
        <v>#N/A</v>
      </c>
    </row>
    <row r="1198" spans="1:24" ht="25.05" customHeight="1" x14ac:dyDescent="0.3">
      <c r="A1198" s="4" t="s">
        <v>413</v>
      </c>
      <c r="B1198" s="4" t="s">
        <v>413</v>
      </c>
      <c r="C1198" s="1">
        <v>21</v>
      </c>
      <c r="D1198" s="1">
        <v>0</v>
      </c>
      <c r="E1198" s="1">
        <v>14</v>
      </c>
      <c r="F1198" s="1">
        <v>6</v>
      </c>
      <c r="G1198" s="1">
        <v>16</v>
      </c>
      <c r="H1198" s="1">
        <v>4</v>
      </c>
      <c r="I1198" s="1">
        <v>14</v>
      </c>
      <c r="J1198" s="1">
        <v>6</v>
      </c>
      <c r="K1198" s="1">
        <v>395</v>
      </c>
      <c r="L1198" s="6">
        <v>103515</v>
      </c>
      <c r="M1198" s="1">
        <v>141.9</v>
      </c>
      <c r="N1198" s="1">
        <v>5</v>
      </c>
      <c r="O1198" s="1">
        <v>1</v>
      </c>
      <c r="P1198" s="1">
        <v>57.5</v>
      </c>
      <c r="Q1198" s="11">
        <f>'Table H'!$J$90</f>
        <v>0.97694534501690478</v>
      </c>
      <c r="R1198" s="11">
        <f t="shared" si="37"/>
        <v>101128.4973894249</v>
      </c>
      <c r="S1198" s="11" t="str">
        <f t="shared" si="38"/>
        <v>Ely RD</v>
      </c>
      <c r="T1198" s="11" t="s">
        <v>5310</v>
      </c>
      <c r="V1198" s="11" t="str">
        <f>INDEX('Lookup 1961'!$A$2:$A$1300, MATCH(S1198, 'Lookup 1961'!$B$2:$B$1300,0))</f>
        <v>J04000471</v>
      </c>
      <c r="W1198" s="11" t="str">
        <f>INDEX('Lookup 1961'!$F$2:$F$1300, MATCH(S1198, 'Lookup 1961'!$B$2:$B$1300,0))</f>
        <v>e040063</v>
      </c>
      <c r="X1198" s="11" t="str">
        <f>INDEX('Lookup 1961'!$C$2:$C$1300, MATCH(V1198, 'Lookup 1961'!$A$2:$A$1300,0))</f>
        <v>Cambridgeshire</v>
      </c>
    </row>
    <row r="1199" spans="1:24" ht="25.05" customHeight="1" x14ac:dyDescent="0.3">
      <c r="A1199" s="4" t="s">
        <v>1041</v>
      </c>
      <c r="B1199" s="4" t="s">
        <v>1041</v>
      </c>
      <c r="C1199" s="1">
        <v>20</v>
      </c>
      <c r="D1199" s="1">
        <v>0</v>
      </c>
      <c r="E1199" s="1">
        <v>14</v>
      </c>
      <c r="F1199" s="1">
        <v>6</v>
      </c>
      <c r="G1199" s="1">
        <v>15</v>
      </c>
      <c r="H1199" s="1">
        <v>6</v>
      </c>
      <c r="I1199" s="1">
        <v>15</v>
      </c>
      <c r="J1199" s="1">
        <v>0</v>
      </c>
      <c r="K1199" s="1">
        <v>135</v>
      </c>
      <c r="L1199" s="6">
        <v>33806</v>
      </c>
      <c r="M1199" s="1">
        <v>127.9</v>
      </c>
      <c r="N1199" s="1">
        <v>4</v>
      </c>
      <c r="O1199" s="1">
        <v>16</v>
      </c>
      <c r="P1199" s="1">
        <v>52.7</v>
      </c>
      <c r="Q1199" s="11">
        <f>'Table H'!$J$90</f>
        <v>0.97694534501690478</v>
      </c>
      <c r="R1199" s="11">
        <f t="shared" si="37"/>
        <v>33026.614333641483</v>
      </c>
      <c r="S1199" s="11" t="str">
        <f t="shared" si="38"/>
        <v>North Witchford RD</v>
      </c>
      <c r="T1199" s="11" t="s">
        <v>5310</v>
      </c>
      <c r="V1199" s="11" t="str">
        <f>INDEX('Lookup 1961'!$A$2:$A$1300, MATCH(S1199, 'Lookup 1961'!$B$2:$B$1300,0))</f>
        <v>J04000928</v>
      </c>
      <c r="W1199" s="11" t="str">
        <f>INDEX('Lookup 1961'!$F$2:$F$1300, MATCH(S1199, 'Lookup 1961'!$B$2:$B$1300,0))</f>
        <v>e040065</v>
      </c>
      <c r="X1199" s="11" t="str">
        <f>INDEX('Lookup 1961'!$C$2:$C$1300, MATCH(V1199, 'Lookup 1961'!$A$2:$A$1300,0))</f>
        <v>Cambridgeshire</v>
      </c>
    </row>
    <row r="1200" spans="1:24" ht="25.05" customHeight="1" x14ac:dyDescent="0.3">
      <c r="A1200" s="4" t="s">
        <v>1042</v>
      </c>
      <c r="B1200" s="4" t="s">
        <v>1042</v>
      </c>
      <c r="C1200" s="1">
        <v>23</v>
      </c>
      <c r="D1200" s="1">
        <v>4</v>
      </c>
      <c r="E1200" s="1">
        <v>16</v>
      </c>
      <c r="F1200" s="1">
        <v>10</v>
      </c>
      <c r="G1200" s="1">
        <v>17</v>
      </c>
      <c r="H1200" s="1">
        <v>6</v>
      </c>
      <c r="I1200" s="1">
        <v>16</v>
      </c>
      <c r="J1200" s="1">
        <v>10</v>
      </c>
      <c r="K1200" s="1">
        <v>58</v>
      </c>
      <c r="L1200" s="6">
        <v>16054</v>
      </c>
      <c r="M1200" s="1">
        <v>129.5</v>
      </c>
      <c r="N1200" s="1">
        <v>5</v>
      </c>
      <c r="O1200" s="1">
        <v>10</v>
      </c>
      <c r="P1200" s="1">
        <v>65.5</v>
      </c>
      <c r="Q1200" s="11">
        <f>'Table H'!$J$90</f>
        <v>0.97694534501690478</v>
      </c>
      <c r="R1200" s="11">
        <f t="shared" si="37"/>
        <v>15683.88056890139</v>
      </c>
      <c r="S1200" s="11" t="str">
        <f t="shared" si="38"/>
        <v>Thorney RD</v>
      </c>
      <c r="T1200" s="11" t="s">
        <v>5310</v>
      </c>
      <c r="V1200" s="11" t="str">
        <f>INDEX('Lookup 1961'!$A$2:$A$1300, MATCH(S1200, 'Lookup 1961'!$B$2:$B$1300,0))</f>
        <v>J04001273</v>
      </c>
      <c r="W1200" s="11" t="str">
        <f>INDEX('Lookup 1961'!$F$2:$F$1300, MATCH(S1200, 'Lookup 1961'!$B$2:$B$1300,0))</f>
        <v>e180511</v>
      </c>
      <c r="X1200" s="11" t="str">
        <f>INDEX('Lookup 1961'!$C$2:$C$1300, MATCH(V1200, 'Lookup 1961'!$A$2:$A$1300,0))</f>
        <v>Cambridgeshire</v>
      </c>
    </row>
    <row r="1201" spans="1:24" ht="25.05" customHeight="1" x14ac:dyDescent="0.3">
      <c r="A1201" s="4" t="s">
        <v>411</v>
      </c>
      <c r="B1201" s="4" t="s">
        <v>411</v>
      </c>
      <c r="C1201" s="1">
        <v>18</v>
      </c>
      <c r="D1201" s="1">
        <v>0</v>
      </c>
      <c r="E1201" s="1">
        <v>13</v>
      </c>
      <c r="F1201" s="1">
        <v>6</v>
      </c>
      <c r="G1201" s="1">
        <v>14</v>
      </c>
      <c r="H1201" s="1">
        <v>6</v>
      </c>
      <c r="I1201" s="1">
        <v>13</v>
      </c>
      <c r="J1201" s="1">
        <v>8</v>
      </c>
      <c r="K1201" s="1">
        <v>298</v>
      </c>
      <c r="L1201" s="6">
        <v>77034</v>
      </c>
      <c r="M1201" s="1">
        <v>129.4</v>
      </c>
      <c r="N1201" s="1">
        <v>4</v>
      </c>
      <c r="O1201" s="1">
        <v>2</v>
      </c>
      <c r="P1201" s="1">
        <v>65.5</v>
      </c>
      <c r="Q1201" s="11">
        <f>'Table H'!$J$90</f>
        <v>0.97694534501690478</v>
      </c>
      <c r="R1201" s="11">
        <f t="shared" si="37"/>
        <v>75258.007708032237</v>
      </c>
      <c r="S1201" s="11" t="str">
        <f t="shared" si="38"/>
        <v>Wisbech RD</v>
      </c>
      <c r="T1201" s="11" t="s">
        <v>5310</v>
      </c>
      <c r="V1201" s="11" t="str">
        <f>INDEX('Lookup 1961'!$A$2:$A$1300, MATCH(S1201, 'Lookup 1961'!$B$2:$B$1300,0))</f>
        <v>J04001432</v>
      </c>
      <c r="W1201" s="11" t="str">
        <f>INDEX('Lookup 1961'!$F$2:$F$1300, MATCH(S1201, 'Lookup 1961'!$B$2:$B$1300,0))</f>
        <v>e040067</v>
      </c>
      <c r="X1201" s="11" t="str">
        <f>INDEX('Lookup 1961'!$C$2:$C$1300, MATCH(V1201, 'Lookup 1961'!$A$2:$A$1300,0))</f>
        <v>Cambridgeshire</v>
      </c>
    </row>
    <row r="1202" spans="1:24" ht="25.05" customHeight="1" x14ac:dyDescent="0.3">
      <c r="A1202" s="4" t="s">
        <v>416</v>
      </c>
      <c r="B1202" s="4" t="s">
        <v>416</v>
      </c>
      <c r="S1202" s="11" t="str">
        <f t="shared" si="38"/>
        <v>ISLE OF WIGHT: RD</v>
      </c>
      <c r="T1202" s="11" t="s">
        <v>5310</v>
      </c>
      <c r="V1202" s="11" t="e">
        <f>INDEX('Lookup 1961'!$A$2:$A$1300, MATCH(S1202, 'Lookup 1961'!$B$2:$B$1300,0))</f>
        <v>#N/A</v>
      </c>
      <c r="W1202" s="11" t="e">
        <f>INDEX('Lookup 1961'!$F$2:$F$1300, MATCH(S1202, 'Lookup 1961'!$B$2:$B$1300,0))</f>
        <v>#N/A</v>
      </c>
      <c r="X1202" s="11" t="e">
        <f>INDEX('Lookup 1961'!$C$2:$C$1300, MATCH(V1202, 'Lookup 1961'!$A$2:$A$1300,0))</f>
        <v>#N/A</v>
      </c>
    </row>
    <row r="1203" spans="1:24" ht="25.05" customHeight="1" x14ac:dyDescent="0.3">
      <c r="A1203" s="4" t="s">
        <v>1043</v>
      </c>
      <c r="B1203" s="4" t="s">
        <v>1214</v>
      </c>
      <c r="C1203" s="1">
        <v>24</v>
      </c>
      <c r="D1203" s="1">
        <v>5</v>
      </c>
      <c r="E1203" s="1">
        <v>14</v>
      </c>
      <c r="F1203" s="1">
        <v>6</v>
      </c>
      <c r="G1203" s="1">
        <v>15</v>
      </c>
      <c r="H1203" s="1">
        <v>0</v>
      </c>
      <c r="I1203" s="1">
        <v>14</v>
      </c>
      <c r="J1203" s="1">
        <v>7</v>
      </c>
      <c r="K1203" s="1">
        <v>945</v>
      </c>
      <c r="L1203" s="6">
        <v>237269</v>
      </c>
      <c r="M1203" s="1">
        <v>89</v>
      </c>
      <c r="N1203" s="1">
        <v>9</v>
      </c>
      <c r="O1203" s="1">
        <v>9</v>
      </c>
      <c r="P1203" s="1">
        <v>12.6</v>
      </c>
      <c r="Q1203" s="11">
        <f>'Table H'!$J$95</f>
        <v>0.98017861583266253</v>
      </c>
      <c r="R1203" s="11">
        <f t="shared" si="37"/>
        <v>232566</v>
      </c>
      <c r="S1203" s="11" t="str">
        <f t="shared" si="38"/>
        <v>Isle of Wight RD</v>
      </c>
      <c r="T1203" s="11" t="s">
        <v>5310</v>
      </c>
      <c r="V1203" s="11" t="str">
        <f>INDEX('Lookup 1961'!$A$2:$A$1300, MATCH(S1203, 'Lookup 1961'!$B$2:$B$1300,0))</f>
        <v>J04000675</v>
      </c>
      <c r="W1203" s="11" t="str">
        <f>INDEX('Lookup 1961'!$F$2:$F$1300, MATCH(S1203, 'Lookup 1961'!$B$2:$B$1300,0))</f>
        <v>e411101</v>
      </c>
      <c r="X1203" s="11" t="str">
        <f>INDEX('Lookup 1961'!$C$2:$C$1300, MATCH(V1203, 'Lookup 1961'!$A$2:$A$1300,0))</f>
        <v>Isle Of Wight</v>
      </c>
    </row>
    <row r="1204" spans="1:24" ht="25.05" customHeight="1" x14ac:dyDescent="0.3">
      <c r="A1204" s="4" t="s">
        <v>422</v>
      </c>
      <c r="B1204" s="4" t="s">
        <v>422</v>
      </c>
      <c r="S1204" s="11" t="str">
        <f t="shared" si="38"/>
        <v>KENT: RD</v>
      </c>
      <c r="T1204" s="11" t="s">
        <v>5310</v>
      </c>
      <c r="V1204" s="11" t="e">
        <f>INDEX('Lookup 1961'!$A$2:$A$1300, MATCH(S1204, 'Lookup 1961'!$B$2:$B$1300,0))</f>
        <v>#N/A</v>
      </c>
      <c r="W1204" s="11" t="e">
        <f>INDEX('Lookup 1961'!$F$2:$F$1300, MATCH(S1204, 'Lookup 1961'!$B$2:$B$1300,0))</f>
        <v>#N/A</v>
      </c>
      <c r="X1204" s="11" t="e">
        <f>INDEX('Lookup 1961'!$C$2:$C$1300, MATCH(V1204, 'Lookup 1961'!$A$2:$A$1300,0))</f>
        <v>#N/A</v>
      </c>
    </row>
    <row r="1205" spans="1:24" ht="25.05" customHeight="1" x14ac:dyDescent="0.3">
      <c r="A1205" s="4" t="s">
        <v>1044</v>
      </c>
      <c r="B1205" s="4" t="s">
        <v>1044</v>
      </c>
      <c r="C1205" s="1">
        <v>23</v>
      </c>
      <c r="D1205" s="1">
        <v>8</v>
      </c>
      <c r="E1205" s="1">
        <v>17</v>
      </c>
      <c r="F1205" s="1">
        <v>0</v>
      </c>
      <c r="G1205" s="1">
        <v>17</v>
      </c>
      <c r="H1205" s="1">
        <v>9</v>
      </c>
      <c r="I1205" s="1">
        <v>17</v>
      </c>
      <c r="J1205" s="1">
        <v>0</v>
      </c>
      <c r="K1205" s="1">
        <v>750</v>
      </c>
      <c r="L1205" s="6">
        <v>190503</v>
      </c>
      <c r="M1205" s="1">
        <v>62.7</v>
      </c>
      <c r="N1205" s="1">
        <v>8</v>
      </c>
      <c r="O1205" s="1">
        <v>4</v>
      </c>
      <c r="P1205" s="1">
        <v>16.5</v>
      </c>
      <c r="Q1205" s="11">
        <f>'Table H'!$J$100</f>
        <v>0.80484246455951591</v>
      </c>
      <c r="R1205" s="11">
        <f t="shared" si="37"/>
        <v>153324.90402598146</v>
      </c>
      <c r="S1205" s="11" t="str">
        <f t="shared" si="38"/>
        <v>Bridge-Blean RD</v>
      </c>
      <c r="T1205" s="11" t="s">
        <v>5310</v>
      </c>
      <c r="V1205" s="11" t="str">
        <f>INDEX('Lookup 1961'!$A$2:$A$1300, MATCH(S1205, 'Lookup 1961'!$B$2:$B$1300,0))</f>
        <v>J04000197</v>
      </c>
      <c r="W1205" s="11" t="str">
        <f>INDEX('Lookup 1961'!$F$2:$F$1300, MATCH(S1205, 'Lookup 1961'!$B$2:$B$1300,0))</f>
        <v>e190543</v>
      </c>
      <c r="X1205" s="11" t="str">
        <f>INDEX('Lookup 1961'!$C$2:$C$1300, MATCH(V1205, 'Lookup 1961'!$A$2:$A$1300,0))</f>
        <v>Kent</v>
      </c>
    </row>
    <row r="1206" spans="1:24" ht="25.05" customHeight="1" x14ac:dyDescent="0.3">
      <c r="A1206" s="4" t="s">
        <v>1045</v>
      </c>
      <c r="B1206" s="4" t="s">
        <v>5318</v>
      </c>
      <c r="C1206" s="1">
        <v>21</v>
      </c>
      <c r="D1206" s="1">
        <v>0</v>
      </c>
      <c r="E1206" s="1">
        <v>15</v>
      </c>
      <c r="F1206" s="1">
        <v>8</v>
      </c>
      <c r="G1206" s="1">
        <v>16</v>
      </c>
      <c r="H1206" s="1">
        <v>8</v>
      </c>
      <c r="I1206" s="1">
        <v>15</v>
      </c>
      <c r="J1206" s="1">
        <v>8</v>
      </c>
      <c r="K1206" s="1">
        <v>580</v>
      </c>
      <c r="L1206" s="6">
        <v>152554</v>
      </c>
      <c r="M1206" s="1">
        <v>78.5</v>
      </c>
      <c r="N1206" s="1">
        <v>7</v>
      </c>
      <c r="O1206" s="1">
        <v>12</v>
      </c>
      <c r="P1206" s="1">
        <v>29.9</v>
      </c>
      <c r="Q1206" s="11">
        <f>'Table H'!$J$100</f>
        <v>0.80484246455951591</v>
      </c>
      <c r="R1206" s="11">
        <f t="shared" si="37"/>
        <v>122781.93733841239</v>
      </c>
      <c r="S1206" s="11" t="str">
        <f t="shared" si="38"/>
        <v>Cranbrook RD</v>
      </c>
      <c r="T1206" s="11" t="s">
        <v>5310</v>
      </c>
      <c r="V1206" s="11" t="str">
        <f>INDEX('Lookup 1961'!$A$2:$A$1300, MATCH(S1206, 'Lookup 1961'!$B$2:$B$1300,0))</f>
        <v>J04000356</v>
      </c>
      <c r="W1206" s="11" t="str">
        <f>INDEX('Lookup 1961'!$F$2:$F$1300, MATCH(S1206, 'Lookup 1961'!$B$2:$B$1300,0))</f>
        <v>e190544</v>
      </c>
      <c r="X1206" s="11" t="str">
        <f>INDEX('Lookup 1961'!$C$2:$C$1300, MATCH(V1206, 'Lookup 1961'!$A$2:$A$1300,0))</f>
        <v>Kent</v>
      </c>
    </row>
    <row r="1207" spans="1:24" ht="25.05" customHeight="1" x14ac:dyDescent="0.3">
      <c r="A1207" s="4" t="s">
        <v>427</v>
      </c>
      <c r="B1207" s="4" t="s">
        <v>427</v>
      </c>
      <c r="C1207" s="1">
        <v>21</v>
      </c>
      <c r="D1207" s="1">
        <v>8</v>
      </c>
      <c r="E1207" s="1">
        <v>15</v>
      </c>
      <c r="F1207" s="1">
        <v>10</v>
      </c>
      <c r="G1207" s="1">
        <v>17</v>
      </c>
      <c r="H1207" s="1">
        <v>6</v>
      </c>
      <c r="I1207" s="1">
        <v>15</v>
      </c>
      <c r="J1207" s="1">
        <v>11</v>
      </c>
      <c r="K1207" s="6">
        <v>1900</v>
      </c>
      <c r="L1207" s="6">
        <v>492765</v>
      </c>
      <c r="M1207" s="1">
        <v>79.099999999999994</v>
      </c>
      <c r="N1207" s="1">
        <v>9</v>
      </c>
      <c r="O1207" s="1">
        <v>13</v>
      </c>
      <c r="P1207" s="1">
        <v>25.3</v>
      </c>
      <c r="Q1207" s="11">
        <f>'Table H'!$J$100</f>
        <v>0.80484246455951591</v>
      </c>
      <c r="R1207" s="11">
        <f t="shared" si="37"/>
        <v>396598.19704866986</v>
      </c>
      <c r="S1207" s="11" t="str">
        <f t="shared" si="38"/>
        <v>Dartford RD</v>
      </c>
      <c r="T1207" s="11" t="s">
        <v>5310</v>
      </c>
      <c r="V1207" s="11" t="str">
        <f>INDEX('Lookup 1961'!$A$2:$A$1300, MATCH(S1207, 'Lookup 1961'!$B$2:$B$1300,0))</f>
        <v>J04000384</v>
      </c>
      <c r="W1207" s="11" t="str">
        <f>INDEX('Lookup 1961'!$F$2:$F$1300, MATCH(S1207, 'Lookup 1961'!$B$2:$B$1300,0))</f>
        <v>e190545</v>
      </c>
      <c r="X1207" s="11" t="str">
        <f>INDEX('Lookup 1961'!$C$2:$C$1300, MATCH(V1207, 'Lookup 1961'!$A$2:$A$1300,0))</f>
        <v>Kent</v>
      </c>
    </row>
    <row r="1208" spans="1:24" ht="25.05" customHeight="1" x14ac:dyDescent="0.3">
      <c r="A1208" s="4" t="s">
        <v>429</v>
      </c>
      <c r="B1208" s="4" t="s">
        <v>429</v>
      </c>
      <c r="C1208" s="1">
        <v>21</v>
      </c>
      <c r="D1208" s="1">
        <v>5</v>
      </c>
      <c r="E1208" s="1">
        <v>15</v>
      </c>
      <c r="F1208" s="1">
        <v>3</v>
      </c>
      <c r="G1208" s="1">
        <v>15</v>
      </c>
      <c r="H1208" s="1">
        <v>6</v>
      </c>
      <c r="I1208" s="1">
        <v>15</v>
      </c>
      <c r="J1208" s="1">
        <v>3</v>
      </c>
      <c r="K1208" s="6">
        <v>559</v>
      </c>
      <c r="L1208" s="6">
        <v>141448</v>
      </c>
      <c r="M1208" s="1">
        <v>56.2</v>
      </c>
      <c r="N1208" s="1">
        <v>8</v>
      </c>
      <c r="O1208" s="1">
        <v>3</v>
      </c>
      <c r="P1208" s="1">
        <v>11.8</v>
      </c>
      <c r="Q1208" s="11">
        <f>'Table H'!$J$100</f>
        <v>0.80484246455951591</v>
      </c>
      <c r="R1208" s="11">
        <f t="shared" si="37"/>
        <v>113843.35692701441</v>
      </c>
      <c r="S1208" s="11" t="str">
        <f t="shared" ref="S1208" si="39">_xlfn.CONCAT(B1208," ",T1208)</f>
        <v>Dover RD</v>
      </c>
      <c r="T1208" s="11" t="s">
        <v>5310</v>
      </c>
      <c r="V1208" s="11" t="str">
        <f>INDEX('Lookup 1961'!$A$2:$A$1300, MATCH(S1208, 'Lookup 1961'!$B$2:$B$1300,0))</f>
        <v>J04000422</v>
      </c>
      <c r="W1208" s="11" t="str">
        <f>INDEX('Lookup 1961'!$F$2:$F$1300, MATCH(S1208, 'Lookup 1961'!$B$2:$B$1300,0))</f>
        <v>e190546</v>
      </c>
      <c r="X1208" s="11" t="str">
        <f>INDEX('Lookup 1961'!$C$2:$C$1300, MATCH(V1208, 'Lookup 1961'!$A$2:$A$1300,0))</f>
        <v>Kent</v>
      </c>
    </row>
    <row r="1209" spans="1:24" ht="25.05" customHeight="1" x14ac:dyDescent="0.3">
      <c r="A1209" s="4" t="s">
        <v>1046</v>
      </c>
      <c r="B1209" s="4" t="s">
        <v>1046</v>
      </c>
      <c r="C1209" s="1">
        <v>22</v>
      </c>
      <c r="D1209" s="1">
        <v>10</v>
      </c>
      <c r="E1209" s="1">
        <v>16</v>
      </c>
      <c r="F1209" s="1">
        <v>1</v>
      </c>
      <c r="G1209" s="1">
        <v>16</v>
      </c>
      <c r="H1209" s="1">
        <v>3</v>
      </c>
      <c r="I1209" s="1">
        <v>16</v>
      </c>
      <c r="J1209" s="1">
        <v>1</v>
      </c>
      <c r="K1209" s="1">
        <v>382</v>
      </c>
      <c r="L1209" s="6">
        <v>97456</v>
      </c>
      <c r="M1209" s="1">
        <v>97.2</v>
      </c>
      <c r="N1209" s="1">
        <v>7</v>
      </c>
      <c r="O1209" s="1">
        <v>1</v>
      </c>
      <c r="P1209" s="1">
        <v>38.6</v>
      </c>
      <c r="Q1209" s="11">
        <f>'Table H'!$J$100</f>
        <v>0.80484246455951591</v>
      </c>
      <c r="R1209" s="11">
        <f t="shared" si="37"/>
        <v>78436.727226112183</v>
      </c>
      <c r="S1209" s="11" t="str">
        <f t="shared" si="38"/>
        <v>East Ashford RD</v>
      </c>
      <c r="T1209" s="11" t="s">
        <v>5310</v>
      </c>
      <c r="V1209" s="11" t="str">
        <f>INDEX('Lookup 1961'!$A$2:$A$1300, MATCH(S1209, 'Lookup 1961'!$B$2:$B$1300,0))</f>
        <v>J04000445</v>
      </c>
      <c r="W1209" s="11" t="str">
        <f>INDEX('Lookup 1961'!$F$2:$F$1300, MATCH(S1209, 'Lookup 1961'!$B$2:$B$1300,0))</f>
        <v>e190547</v>
      </c>
      <c r="X1209" s="11" t="str">
        <f>INDEX('Lookup 1961'!$C$2:$C$1300, MATCH(V1209, 'Lookup 1961'!$A$2:$A$1300,0))</f>
        <v>Kent</v>
      </c>
    </row>
    <row r="1210" spans="1:24" ht="25.05" customHeight="1" x14ac:dyDescent="0.3">
      <c r="A1210" s="4" t="s">
        <v>1047</v>
      </c>
      <c r="B1210" s="4" t="s">
        <v>1047</v>
      </c>
      <c r="C1210" s="1">
        <v>22</v>
      </c>
      <c r="D1210" s="1">
        <v>9</v>
      </c>
      <c r="E1210" s="1">
        <v>17</v>
      </c>
      <c r="F1210" s="1">
        <v>3</v>
      </c>
      <c r="G1210" s="1">
        <v>17</v>
      </c>
      <c r="H1210" s="1">
        <v>10</v>
      </c>
      <c r="I1210" s="1">
        <v>17</v>
      </c>
      <c r="J1210" s="1">
        <v>3</v>
      </c>
      <c r="K1210" s="1">
        <v>803</v>
      </c>
      <c r="L1210" s="6">
        <v>208759</v>
      </c>
      <c r="M1210" s="1">
        <v>83.8</v>
      </c>
      <c r="N1210" s="1">
        <v>6</v>
      </c>
      <c r="O1210" s="1">
        <v>17</v>
      </c>
      <c r="P1210" s="1">
        <v>35</v>
      </c>
      <c r="Q1210" s="11">
        <f>'Table H'!$J$100</f>
        <v>0.80484246455951591</v>
      </c>
      <c r="R1210" s="11">
        <f t="shared" si="37"/>
        <v>168018.10805898</v>
      </c>
      <c r="S1210" s="11" t="str">
        <f t="shared" si="38"/>
        <v>Eastry RD</v>
      </c>
      <c r="T1210" s="11" t="s">
        <v>5310</v>
      </c>
      <c r="V1210" s="11" t="str">
        <f>INDEX('Lookup 1961'!$A$2:$A$1300, MATCH(S1210, 'Lookup 1961'!$B$2:$B$1300,0))</f>
        <v>J04000458</v>
      </c>
      <c r="W1210" s="11" t="str">
        <f>INDEX('Lookup 1961'!$F$2:$F$1300, MATCH(S1210, 'Lookup 1961'!$B$2:$B$1300,0))</f>
        <v>e190548</v>
      </c>
      <c r="X1210" s="11" t="str">
        <f>INDEX('Lookup 1961'!$C$2:$C$1300, MATCH(V1210, 'Lookup 1961'!$A$2:$A$1300,0))</f>
        <v>Kent</v>
      </c>
    </row>
    <row r="1211" spans="1:24" ht="25.05" customHeight="1" x14ac:dyDescent="0.3">
      <c r="A1211" s="4" t="s">
        <v>1048</v>
      </c>
      <c r="B1211" s="4" t="s">
        <v>1048</v>
      </c>
      <c r="C1211" s="1">
        <v>22</v>
      </c>
      <c r="D1211" s="1">
        <v>3</v>
      </c>
      <c r="E1211" s="1">
        <v>16</v>
      </c>
      <c r="F1211" s="1">
        <v>4</v>
      </c>
      <c r="G1211" s="1">
        <v>16</v>
      </c>
      <c r="H1211" s="1">
        <v>9</v>
      </c>
      <c r="I1211" s="1">
        <v>16</v>
      </c>
      <c r="J1211" s="1">
        <v>1</v>
      </c>
      <c r="K1211" s="1">
        <v>404</v>
      </c>
      <c r="L1211" s="6">
        <v>100172</v>
      </c>
      <c r="M1211" s="1">
        <v>67.8</v>
      </c>
      <c r="N1211" s="1">
        <v>8</v>
      </c>
      <c r="O1211" s="1">
        <v>8</v>
      </c>
      <c r="P1211" s="1">
        <v>23.7</v>
      </c>
      <c r="Q1211" s="11">
        <f>'Table H'!$J$100</f>
        <v>0.80484246455951591</v>
      </c>
      <c r="R1211" s="11">
        <f t="shared" si="37"/>
        <v>80622.679359855829</v>
      </c>
      <c r="S1211" s="11" t="str">
        <f t="shared" si="38"/>
        <v>Elham RD</v>
      </c>
      <c r="T1211" s="11" t="s">
        <v>5310</v>
      </c>
      <c r="V1211" s="11" t="str">
        <f>INDEX('Lookup 1961'!$A$2:$A$1300, MATCH(S1211, 'Lookup 1961'!$B$2:$B$1300,0))</f>
        <v>J04000465</v>
      </c>
      <c r="W1211" s="11" t="str">
        <f>INDEX('Lookup 1961'!$F$2:$F$1300, MATCH(S1211, 'Lookup 1961'!$B$2:$B$1300,0))</f>
        <v>e190549</v>
      </c>
      <c r="X1211" s="11" t="str">
        <f>INDEX('Lookup 1961'!$C$2:$C$1300, MATCH(V1211, 'Lookup 1961'!$A$2:$A$1300,0))</f>
        <v>Kent</v>
      </c>
    </row>
    <row r="1212" spans="1:24" ht="25.05" customHeight="1" x14ac:dyDescent="0.3">
      <c r="A1212" s="4" t="s">
        <v>1049</v>
      </c>
      <c r="B1212" s="4" t="s">
        <v>1049</v>
      </c>
      <c r="C1212" s="1">
        <v>22</v>
      </c>
      <c r="D1212" s="1">
        <v>6</v>
      </c>
      <c r="E1212" s="1">
        <v>16</v>
      </c>
      <c r="F1212" s="1">
        <v>10</v>
      </c>
      <c r="G1212" s="1">
        <v>17</v>
      </c>
      <c r="H1212" s="1">
        <v>4</v>
      </c>
      <c r="I1212" s="1">
        <v>16</v>
      </c>
      <c r="J1212" s="1">
        <v>10</v>
      </c>
      <c r="K1212" s="1">
        <v>670</v>
      </c>
      <c r="L1212" s="6">
        <v>171913</v>
      </c>
      <c r="M1212" s="1">
        <v>87.7</v>
      </c>
      <c r="N1212" s="1">
        <v>8</v>
      </c>
      <c r="O1212" s="1">
        <v>10</v>
      </c>
      <c r="P1212" s="1">
        <v>42</v>
      </c>
      <c r="Q1212" s="11">
        <f>'Table H'!$J$100</f>
        <v>0.80484246455951591</v>
      </c>
      <c r="R1212" s="11">
        <f t="shared" si="37"/>
        <v>138362.88260982005</v>
      </c>
      <c r="S1212" s="11" t="str">
        <f t="shared" si="38"/>
        <v>Hollingbourn RD</v>
      </c>
      <c r="T1212" s="11" t="s">
        <v>5310</v>
      </c>
      <c r="V1212" s="11" t="str">
        <f>INDEX('Lookup 1961'!$A$2:$A$1300, MATCH(S1212, 'Lookup 1961'!$B$2:$B$1300,0))</f>
        <v>J04000632</v>
      </c>
      <c r="W1212" s="11" t="str">
        <f>INDEX('Lookup 1961'!$F$2:$F$1300, MATCH(S1212, 'Lookup 1961'!$B$2:$B$1300,0))</f>
        <v>e190550</v>
      </c>
      <c r="X1212" s="11" t="str">
        <f>INDEX('Lookup 1961'!$C$2:$C$1300, MATCH(V1212, 'Lookup 1961'!$A$2:$A$1300,0))</f>
        <v>Kent</v>
      </c>
    </row>
    <row r="1213" spans="1:24" ht="25.05" customHeight="1" x14ac:dyDescent="0.3">
      <c r="A1213" s="4" t="s">
        <v>437</v>
      </c>
      <c r="B1213" s="4" t="s">
        <v>437</v>
      </c>
      <c r="C1213" s="1">
        <v>23</v>
      </c>
      <c r="D1213" s="1">
        <v>0</v>
      </c>
      <c r="E1213" s="1">
        <v>16</v>
      </c>
      <c r="F1213" s="1">
        <v>6</v>
      </c>
      <c r="G1213" s="1">
        <v>16</v>
      </c>
      <c r="H1213" s="1">
        <v>9</v>
      </c>
      <c r="I1213" s="1">
        <v>16</v>
      </c>
      <c r="J1213" s="1">
        <v>6</v>
      </c>
      <c r="K1213" s="1">
        <v>735</v>
      </c>
      <c r="L1213" s="6">
        <v>188674</v>
      </c>
      <c r="M1213" s="1">
        <v>72.900000000000006</v>
      </c>
      <c r="N1213" s="1">
        <v>7</v>
      </c>
      <c r="O1213" s="1">
        <v>18</v>
      </c>
      <c r="P1213" s="1">
        <v>23</v>
      </c>
      <c r="Q1213" s="11">
        <f>'Table H'!$J$100</f>
        <v>0.80484246455951591</v>
      </c>
      <c r="R1213" s="11">
        <f t="shared" si="37"/>
        <v>151852.84715830212</v>
      </c>
      <c r="S1213" s="11" t="str">
        <f t="shared" si="38"/>
        <v>Maidstone RD</v>
      </c>
      <c r="T1213" s="11" t="s">
        <v>5310</v>
      </c>
      <c r="V1213" s="11" t="str">
        <f>INDEX('Lookup 1961'!$A$2:$A$1300, MATCH(S1213, 'Lookup 1961'!$B$2:$B$1300,0))</f>
        <v>J04000810</v>
      </c>
      <c r="W1213" s="11" t="str">
        <f>INDEX('Lookup 1961'!$F$2:$F$1300, MATCH(S1213, 'Lookup 1961'!$B$2:$B$1300,0))</f>
        <v>e190551</v>
      </c>
      <c r="X1213" s="11" t="str">
        <f>INDEX('Lookup 1961'!$C$2:$C$1300, MATCH(V1213, 'Lookup 1961'!$A$2:$A$1300,0))</f>
        <v>Kent</v>
      </c>
    </row>
    <row r="1214" spans="1:24" ht="25.05" customHeight="1" x14ac:dyDescent="0.3">
      <c r="A1214" s="4" t="s">
        <v>5381</v>
      </c>
      <c r="B1214" s="4" t="s">
        <v>5381</v>
      </c>
      <c r="C1214" s="1">
        <v>22</v>
      </c>
      <c r="D1214" s="1">
        <v>1</v>
      </c>
      <c r="E1214" s="1">
        <v>16</v>
      </c>
      <c r="F1214" s="1">
        <v>0</v>
      </c>
      <c r="G1214" s="1">
        <v>17</v>
      </c>
      <c r="H1214" s="1">
        <v>0</v>
      </c>
      <c r="I1214" s="1">
        <v>16</v>
      </c>
      <c r="J1214" s="1">
        <v>0</v>
      </c>
      <c r="K1214" s="6">
        <v>1754</v>
      </c>
      <c r="L1214" s="6">
        <v>449515</v>
      </c>
      <c r="M1214" s="1">
        <v>90.5</v>
      </c>
      <c r="N1214" s="1">
        <v>9</v>
      </c>
      <c r="O1214" s="1">
        <v>19</v>
      </c>
      <c r="P1214" s="1">
        <v>39.799999999999997</v>
      </c>
      <c r="Q1214" s="11">
        <f>'Table H'!$J$100</f>
        <v>0.80484246455951591</v>
      </c>
      <c r="R1214" s="11">
        <f t="shared" ref="R1214:R1217" si="40">Q1214*L1214</f>
        <v>361788.76045647077</v>
      </c>
      <c r="S1214" s="11" t="str">
        <f t="shared" si="38"/>
        <v>Malling RD</v>
      </c>
      <c r="T1214" s="11" t="s">
        <v>5310</v>
      </c>
      <c r="V1214" s="11" t="str">
        <f>INDEX('Lookup 1961'!$A$2:$A$1300, MATCH(S1214, 'Lookup 1961'!$B$2:$B$1300,0))</f>
        <v>J04000814</v>
      </c>
      <c r="W1214" s="11" t="str">
        <f>INDEX('Lookup 1961'!$F$2:$F$1300, MATCH(S1214, 'Lookup 1961'!$B$2:$B$1300,0))</f>
        <v>e190552</v>
      </c>
      <c r="X1214" s="11" t="str">
        <f>INDEX('Lookup 1961'!$C$2:$C$1300, MATCH(V1214, 'Lookup 1961'!$A$2:$A$1300,0))</f>
        <v>Kent</v>
      </c>
    </row>
    <row r="1215" spans="1:24" ht="25.05" customHeight="1" x14ac:dyDescent="0.3">
      <c r="A1215" s="4" t="s">
        <v>1050</v>
      </c>
      <c r="B1215" s="4" t="s">
        <v>1050</v>
      </c>
      <c r="C1215" s="1">
        <v>23</v>
      </c>
      <c r="D1215" s="1">
        <v>0</v>
      </c>
      <c r="E1215" s="1">
        <v>16</v>
      </c>
      <c r="F1215" s="1">
        <v>0</v>
      </c>
      <c r="G1215" s="1">
        <v>16</v>
      </c>
      <c r="H1215" s="1">
        <v>2</v>
      </c>
      <c r="I1215" s="1">
        <v>15</v>
      </c>
      <c r="J1215" s="1">
        <v>10</v>
      </c>
      <c r="K1215" s="1">
        <v>230</v>
      </c>
      <c r="L1215" s="1">
        <v>58625</v>
      </c>
      <c r="M1215" s="1">
        <v>104.7</v>
      </c>
      <c r="N1215" s="1">
        <v>10</v>
      </c>
      <c r="O1215" s="1">
        <v>2</v>
      </c>
      <c r="P1215" s="1">
        <v>42.2</v>
      </c>
      <c r="Q1215" s="11">
        <f>'Table H'!$J$100</f>
        <v>0.80484246455951591</v>
      </c>
      <c r="R1215" s="11">
        <f t="shared" si="40"/>
        <v>47183.889484801621</v>
      </c>
      <c r="S1215" s="11" t="str">
        <f t="shared" si="38"/>
        <v>Romney Marsh RD</v>
      </c>
      <c r="T1215" s="11" t="s">
        <v>5310</v>
      </c>
      <c r="V1215" s="11" t="str">
        <f>INDEX('Lookup 1961'!$A$2:$A$1300, MATCH(S1215, 'Lookup 1961'!$B$2:$B$1300,0))</f>
        <v>J04001061</v>
      </c>
      <c r="W1215" s="11" t="str">
        <f>INDEX('Lookup 1961'!$F$2:$F$1300, MATCH(S1215, 'Lookup 1961'!$B$2:$B$1300,0))</f>
        <v>e190553</v>
      </c>
      <c r="X1215" s="11" t="str">
        <f>INDEX('Lookup 1961'!$C$2:$C$1300, MATCH(V1215, 'Lookup 1961'!$A$2:$A$1300,0))</f>
        <v>Kent</v>
      </c>
    </row>
    <row r="1216" spans="1:24" ht="25.05" customHeight="1" x14ac:dyDescent="0.3">
      <c r="A1216" s="4" t="s">
        <v>454</v>
      </c>
      <c r="B1216" s="4" t="s">
        <v>454</v>
      </c>
      <c r="C1216" s="1">
        <v>22</v>
      </c>
      <c r="D1216" s="1">
        <v>5</v>
      </c>
      <c r="E1216" s="1">
        <v>16</v>
      </c>
      <c r="F1216" s="1">
        <v>2</v>
      </c>
      <c r="G1216" s="1">
        <v>16</v>
      </c>
      <c r="H1216" s="1">
        <v>11</v>
      </c>
      <c r="I1216" s="1">
        <v>16</v>
      </c>
      <c r="J1216" s="1">
        <v>2</v>
      </c>
      <c r="K1216" s="6">
        <v>1685</v>
      </c>
      <c r="L1216" s="6">
        <v>425046</v>
      </c>
      <c r="M1216" s="1">
        <v>73.3</v>
      </c>
      <c r="N1216" s="1">
        <v>9</v>
      </c>
      <c r="O1216" s="1">
        <v>13</v>
      </c>
      <c r="P1216" s="1">
        <v>19.2</v>
      </c>
      <c r="Q1216" s="11">
        <f>'Table H'!$J$100</f>
        <v>0.80484246455951591</v>
      </c>
      <c r="R1216" s="11">
        <f t="shared" si="40"/>
        <v>342095.07019116398</v>
      </c>
      <c r="S1216" s="11" t="str">
        <f t="shared" si="38"/>
        <v>Sevenoaks RD</v>
      </c>
      <c r="T1216" s="11" t="s">
        <v>5310</v>
      </c>
      <c r="V1216" s="11" t="str">
        <f>INDEX('Lookup 1961'!$A$2:$A$1300, MATCH(S1216, 'Lookup 1961'!$B$2:$B$1300,0))</f>
        <v>J04001121</v>
      </c>
      <c r="W1216" s="11" t="str">
        <f>INDEX('Lookup 1961'!$F$2:$F$1300, MATCH(S1216, 'Lookup 1961'!$B$2:$B$1300,0))</f>
        <v>e190554</v>
      </c>
      <c r="X1216" s="11" t="str">
        <f>INDEX('Lookup 1961'!$C$2:$C$1300, MATCH(V1216, 'Lookup 1961'!$A$2:$A$1300,0))</f>
        <v>Kent</v>
      </c>
    </row>
    <row r="1217" spans="1:24" ht="25.05" customHeight="1" x14ac:dyDescent="0.3">
      <c r="A1217" s="4" t="s">
        <v>1051</v>
      </c>
      <c r="B1217" s="4" t="s">
        <v>1051</v>
      </c>
      <c r="C1217" s="1">
        <v>23</v>
      </c>
      <c r="D1217" s="1">
        <v>8</v>
      </c>
      <c r="E1217" s="1">
        <v>17</v>
      </c>
      <c r="F1217" s="1">
        <v>2</v>
      </c>
      <c r="G1217" s="1">
        <v>17</v>
      </c>
      <c r="H1217" s="1">
        <v>7</v>
      </c>
      <c r="I1217" s="1">
        <v>17</v>
      </c>
      <c r="J1217" s="1">
        <v>2</v>
      </c>
      <c r="K1217" s="1">
        <v>452</v>
      </c>
      <c r="L1217" s="6">
        <v>118002</v>
      </c>
      <c r="M1217" s="1">
        <v>101.6</v>
      </c>
      <c r="N1217" s="1">
        <v>10</v>
      </c>
      <c r="O1217" s="1">
        <v>10</v>
      </c>
      <c r="P1217" s="1">
        <v>46.1</v>
      </c>
      <c r="Q1217" s="11">
        <f>'Table H'!$J$100</f>
        <v>0.80484246455951591</v>
      </c>
      <c r="R1217" s="11">
        <f t="shared" si="40"/>
        <v>94973.020502952</v>
      </c>
      <c r="S1217" s="11" t="str">
        <f t="shared" si="38"/>
        <v>Sheppey RD</v>
      </c>
      <c r="T1217" s="11" t="s">
        <v>5310</v>
      </c>
      <c r="V1217" s="11" t="str">
        <f>INDEX('Lookup 1961'!$A$2:$A$1300, MATCH(S1217, 'Lookup 1961'!$B$2:$B$1300,0))</f>
        <v>J04001127</v>
      </c>
      <c r="W1217" s="11" t="str">
        <f>INDEX('Lookup 1961'!$F$2:$F$1300, MATCH(S1217, 'Lookup 1961'!$B$2:$B$1300,0))</f>
        <v>e190531</v>
      </c>
      <c r="X1217" s="11" t="str">
        <f>INDEX('Lookup 1961'!$C$2:$C$1300, MATCH(V1217, 'Lookup 1961'!$A$2:$A$1300,0))</f>
        <v>Kent</v>
      </c>
    </row>
    <row r="1218" spans="1:24" ht="25.05" customHeight="1" x14ac:dyDescent="0.3">
      <c r="A1218" s="4" t="s">
        <v>1052</v>
      </c>
      <c r="B1218" s="4" t="s">
        <v>1052</v>
      </c>
      <c r="C1218" s="1">
        <v>22</v>
      </c>
      <c r="D1218" s="1">
        <v>1</v>
      </c>
      <c r="E1218" s="1">
        <v>15</v>
      </c>
      <c r="F1218" s="1">
        <v>6</v>
      </c>
      <c r="G1218" s="1">
        <v>16</v>
      </c>
      <c r="H1218" s="1">
        <v>2</v>
      </c>
      <c r="I1218" s="1">
        <v>15</v>
      </c>
      <c r="J1218" s="1">
        <v>7</v>
      </c>
      <c r="K1218" s="6">
        <v>1392</v>
      </c>
      <c r="L1218" s="6">
        <v>650323</v>
      </c>
      <c r="M1218" s="1">
        <v>283.60000000000002</v>
      </c>
      <c r="N1218" s="1">
        <v>14</v>
      </c>
      <c r="O1218" s="1">
        <v>2</v>
      </c>
      <c r="P1218" s="1">
        <v>69.3</v>
      </c>
      <c r="Q1218" s="11">
        <f>'Table H'!$J$100</f>
        <v>0.80484246455951591</v>
      </c>
      <c r="R1218" s="11">
        <f t="shared" si="37"/>
        <v>523407.56607973808</v>
      </c>
      <c r="S1218" s="11" t="str">
        <f t="shared" si="38"/>
        <v>Strood RD</v>
      </c>
      <c r="T1218" s="11" t="s">
        <v>5310</v>
      </c>
      <c r="V1218" s="11" t="str">
        <f>INDEX('Lookup 1961'!$A$2:$A$1300, MATCH(S1218, 'Lookup 1961'!$B$2:$B$1300,0))</f>
        <v>J04001225</v>
      </c>
      <c r="W1218" s="11" t="str">
        <f>INDEX('Lookup 1961'!$F$2:$F$1300, MATCH(S1218, 'Lookup 1961'!$B$2:$B$1300,0))</f>
        <v>e190555</v>
      </c>
      <c r="X1218" s="11" t="str">
        <f>INDEX('Lookup 1961'!$C$2:$C$1300, MATCH(V1218, 'Lookup 1961'!$A$2:$A$1300,0))</f>
        <v>Kent</v>
      </c>
    </row>
    <row r="1219" spans="1:24" ht="25.05" customHeight="1" x14ac:dyDescent="0.3">
      <c r="A1219" s="4" t="s">
        <v>1053</v>
      </c>
      <c r="B1219" s="4" t="s">
        <v>1053</v>
      </c>
      <c r="C1219" s="1">
        <v>25</v>
      </c>
      <c r="D1219" s="1">
        <v>2</v>
      </c>
      <c r="E1219" s="1">
        <v>17</v>
      </c>
      <c r="F1219" s="1">
        <v>3</v>
      </c>
      <c r="G1219" s="1">
        <v>18</v>
      </c>
      <c r="H1219" s="1">
        <v>0</v>
      </c>
      <c r="I1219" s="1">
        <v>17</v>
      </c>
      <c r="J1219" s="1">
        <v>3</v>
      </c>
      <c r="K1219" s="6">
        <v>645</v>
      </c>
      <c r="L1219" s="6">
        <v>162750</v>
      </c>
      <c r="M1219" s="1">
        <v>101.2</v>
      </c>
      <c r="N1219" s="1">
        <v>7</v>
      </c>
      <c r="O1219" s="1">
        <v>0</v>
      </c>
      <c r="P1219" s="1">
        <v>41.1</v>
      </c>
      <c r="Q1219" s="11">
        <f>'Table H'!$J$100</f>
        <v>0.80484246455951591</v>
      </c>
      <c r="R1219" s="11">
        <f t="shared" si="37"/>
        <v>130988.11110706121</v>
      </c>
      <c r="S1219" s="11" t="str">
        <f t="shared" si="38"/>
        <v>Swale RD</v>
      </c>
      <c r="T1219" s="11" t="s">
        <v>5310</v>
      </c>
      <c r="V1219" s="11" t="str">
        <f>INDEX('Lookup 1961'!$A$2:$A$1300, MATCH(S1219, 'Lookup 1961'!$B$2:$B$1300,0))</f>
        <v>J04001240</v>
      </c>
      <c r="W1219" s="11" t="str">
        <f>INDEX('Lookup 1961'!$F$2:$F$1300, MATCH(S1219, 'Lookup 1961'!$B$2:$B$1300,0))</f>
        <v>e190556</v>
      </c>
      <c r="X1219" s="11" t="str">
        <f>INDEX('Lookup 1961'!$C$2:$C$1300, MATCH(V1219, 'Lookup 1961'!$A$2:$A$1300,0))</f>
        <v>Kent</v>
      </c>
    </row>
    <row r="1220" spans="1:24" ht="25.05" customHeight="1" x14ac:dyDescent="0.3">
      <c r="A1220" s="4" t="s">
        <v>444</v>
      </c>
      <c r="B1220" s="4" t="s">
        <v>444</v>
      </c>
      <c r="C1220" s="1">
        <v>22</v>
      </c>
      <c r="D1220" s="1">
        <v>2</v>
      </c>
      <c r="E1220" s="1">
        <v>15</v>
      </c>
      <c r="F1220" s="1">
        <v>8</v>
      </c>
      <c r="G1220" s="1">
        <v>16</v>
      </c>
      <c r="H1220" s="1">
        <v>1</v>
      </c>
      <c r="I1220" s="1">
        <v>15</v>
      </c>
      <c r="J1220" s="1">
        <v>8</v>
      </c>
      <c r="K1220" s="6">
        <v>265</v>
      </c>
      <c r="L1220" s="6">
        <v>65382</v>
      </c>
      <c r="M1220" s="1">
        <v>80.900000000000006</v>
      </c>
      <c r="N1220" s="1">
        <v>6</v>
      </c>
      <c r="O1220" s="1">
        <v>17</v>
      </c>
      <c r="P1220" s="1">
        <v>26.5</v>
      </c>
      <c r="Q1220" s="11">
        <f>'Table H'!$J$100</f>
        <v>0.80484246455951591</v>
      </c>
      <c r="R1220" s="11">
        <f t="shared" si="37"/>
        <v>52622.210017830272</v>
      </c>
      <c r="S1220" s="11" t="str">
        <f t="shared" si="38"/>
        <v>Tenterden RD</v>
      </c>
      <c r="T1220" s="11" t="s">
        <v>5310</v>
      </c>
      <c r="V1220" s="11" t="str">
        <f>INDEX('Lookup 1961'!$A$2:$A$1300, MATCH(S1220, 'Lookup 1961'!$B$2:$B$1300,0))</f>
        <v>J04001261</v>
      </c>
      <c r="W1220" s="11" t="str">
        <f>INDEX('Lookup 1961'!$F$2:$F$1300, MATCH(S1220, 'Lookup 1961'!$B$2:$B$1300,0))</f>
        <v>e190557</v>
      </c>
      <c r="X1220" s="11" t="str">
        <f>INDEX('Lookup 1961'!$C$2:$C$1300, MATCH(V1220, 'Lookup 1961'!$A$2:$A$1300,0))</f>
        <v>Kent</v>
      </c>
    </row>
    <row r="1221" spans="1:24" ht="25.05" customHeight="1" x14ac:dyDescent="0.3">
      <c r="A1221" s="4" t="s">
        <v>459</v>
      </c>
      <c r="B1221" s="4" t="s">
        <v>459</v>
      </c>
      <c r="C1221" s="1">
        <v>22</v>
      </c>
      <c r="D1221" s="1">
        <v>10</v>
      </c>
      <c r="E1221" s="1">
        <v>16</v>
      </c>
      <c r="F1221" s="1">
        <v>4</v>
      </c>
      <c r="G1221" s="1">
        <v>17</v>
      </c>
      <c r="H1221" s="1">
        <v>4</v>
      </c>
      <c r="I1221" s="1">
        <v>16</v>
      </c>
      <c r="J1221" s="1">
        <v>4</v>
      </c>
      <c r="K1221" s="6">
        <v>1028</v>
      </c>
      <c r="L1221" s="6">
        <v>262401</v>
      </c>
      <c r="M1221" s="1">
        <v>51.5</v>
      </c>
      <c r="N1221" s="1">
        <v>9</v>
      </c>
      <c r="O1221" s="1">
        <v>6</v>
      </c>
      <c r="P1221" s="1">
        <v>9.1</v>
      </c>
      <c r="Q1221" s="11">
        <f>'Table H'!$J$100</f>
        <v>0.80484246455951591</v>
      </c>
      <c r="R1221" s="11">
        <f t="shared" si="37"/>
        <v>211191.46754288152</v>
      </c>
      <c r="S1221" s="11" t="str">
        <f t="shared" si="38"/>
        <v>Tonbridge RD</v>
      </c>
      <c r="T1221" s="11" t="s">
        <v>5310</v>
      </c>
      <c r="V1221" s="11" t="str">
        <f>INDEX('Lookup 1961'!$A$2:$A$1300, MATCH(S1221, 'Lookup 1961'!$B$2:$B$1300,0))</f>
        <v>J04001282</v>
      </c>
      <c r="W1221" s="11" t="str">
        <f>INDEX('Lookup 1961'!$F$2:$F$1300, MATCH(S1221, 'Lookup 1961'!$B$2:$B$1300,0))</f>
        <v>e190558</v>
      </c>
      <c r="X1221" s="11" t="str">
        <f>INDEX('Lookup 1961'!$C$2:$C$1300, MATCH(V1221, 'Lookup 1961'!$A$2:$A$1300,0))</f>
        <v>Kent</v>
      </c>
    </row>
    <row r="1222" spans="1:24" ht="25.05" customHeight="1" x14ac:dyDescent="0.3">
      <c r="A1222" s="4" t="s">
        <v>1054</v>
      </c>
      <c r="B1222" s="4" t="s">
        <v>1054</v>
      </c>
      <c r="C1222" s="1">
        <v>23</v>
      </c>
      <c r="D1222" s="1">
        <v>3</v>
      </c>
      <c r="E1222" s="1">
        <v>15</v>
      </c>
      <c r="F1222" s="1">
        <v>6</v>
      </c>
      <c r="G1222" s="1">
        <v>15</v>
      </c>
      <c r="H1222" s="1">
        <v>10</v>
      </c>
      <c r="I1222" s="1">
        <v>15</v>
      </c>
      <c r="J1222" s="1">
        <v>6</v>
      </c>
      <c r="K1222" s="6">
        <v>380</v>
      </c>
      <c r="L1222" s="6">
        <v>96741</v>
      </c>
      <c r="M1222" s="1">
        <v>97.2</v>
      </c>
      <c r="N1222" s="1">
        <v>7</v>
      </c>
      <c r="O1222" s="1">
        <v>3</v>
      </c>
      <c r="P1222" s="1">
        <v>32.9</v>
      </c>
      <c r="Q1222" s="11">
        <f>'Table H'!$J$100</f>
        <v>0.80484246455951591</v>
      </c>
      <c r="R1222" s="11">
        <f t="shared" ref="R1222:R1285" si="41">Q1222*L1222</f>
        <v>77861.264863952136</v>
      </c>
      <c r="S1222" s="11" t="str">
        <f t="shared" si="38"/>
        <v>West Ashford RD</v>
      </c>
      <c r="T1222" s="11" t="s">
        <v>5310</v>
      </c>
      <c r="V1222" s="11" t="str">
        <f>INDEX('Lookup 1961'!$A$2:$A$1300, MATCH(S1222, 'Lookup 1961'!$B$2:$B$1300,0))</f>
        <v>J04001379</v>
      </c>
      <c r="W1222" s="11" t="str">
        <f>INDEX('Lookup 1961'!$F$2:$F$1300, MATCH(S1222, 'Lookup 1961'!$B$2:$B$1300,0))</f>
        <v>e190559</v>
      </c>
      <c r="X1222" s="11" t="str">
        <f>INDEX('Lookup 1961'!$C$2:$C$1300, MATCH(V1222, 'Lookup 1961'!$A$2:$A$1300,0))</f>
        <v>Kent</v>
      </c>
    </row>
    <row r="1223" spans="1:24" ht="25.05" customHeight="1" x14ac:dyDescent="0.3">
      <c r="A1223" s="4" t="s">
        <v>461</v>
      </c>
      <c r="B1223" s="4" t="s">
        <v>461</v>
      </c>
      <c r="S1223" s="11" t="str">
        <f t="shared" si="38"/>
        <v>LANCASTER: RD</v>
      </c>
      <c r="T1223" s="11" t="s">
        <v>5310</v>
      </c>
      <c r="V1223" s="11" t="e">
        <f>INDEX('Lookup 1961'!$A$2:$A$1300, MATCH(S1223, 'Lookup 1961'!$B$2:$B$1300,0))</f>
        <v>#N/A</v>
      </c>
      <c r="W1223" s="11" t="e">
        <f>INDEX('Lookup 1961'!$F$2:$F$1300, MATCH(S1223, 'Lookup 1961'!$B$2:$B$1300,0))</f>
        <v>#N/A</v>
      </c>
      <c r="X1223" s="11" t="e">
        <f>INDEX('Lookup 1961'!$C$2:$C$1300, MATCH(V1223, 'Lookup 1961'!$A$2:$A$1300,0))</f>
        <v>#N/A</v>
      </c>
    </row>
    <row r="1224" spans="1:24" ht="25.05" customHeight="1" x14ac:dyDescent="0.3">
      <c r="A1224" s="4" t="s">
        <v>71</v>
      </c>
      <c r="B1224" s="4" t="s">
        <v>71</v>
      </c>
      <c r="C1224" s="1">
        <v>18</v>
      </c>
      <c r="D1224" s="1">
        <v>9</v>
      </c>
      <c r="E1224" s="1">
        <v>14</v>
      </c>
      <c r="F1224" s="1">
        <v>0</v>
      </c>
      <c r="G1224" s="1">
        <v>14</v>
      </c>
      <c r="H1224" s="1">
        <v>9</v>
      </c>
      <c r="I1224" s="1">
        <v>14</v>
      </c>
      <c r="J1224" s="1">
        <v>0</v>
      </c>
      <c r="K1224" s="6">
        <v>476</v>
      </c>
      <c r="L1224" s="6">
        <v>120661</v>
      </c>
      <c r="M1224" s="1">
        <v>39.299999999999997</v>
      </c>
      <c r="N1224" s="1">
        <v>6</v>
      </c>
      <c r="O1224" s="1">
        <v>3</v>
      </c>
      <c r="P1224" s="1">
        <v>3.4</v>
      </c>
      <c r="Q1224" s="11">
        <f>'Table H'!$J$105</f>
        <v>0.83832861231118294</v>
      </c>
      <c r="R1224" s="11">
        <f t="shared" si="41"/>
        <v>101153.56869007964</v>
      </c>
      <c r="S1224" s="11" t="str">
        <f t="shared" si="38"/>
        <v>Blackburn RD</v>
      </c>
      <c r="T1224" s="11" t="s">
        <v>5310</v>
      </c>
      <c r="V1224" s="11" t="str">
        <f>INDEX('Lookup 1961'!$A$2:$A$1300, MATCH(S1224, 'Lookup 1961'!$B$2:$B$1300,0))</f>
        <v>J04000156</v>
      </c>
      <c r="W1224" s="11" t="str">
        <f>INDEX('Lookup 1961'!$F$2:$F$1300, MATCH(S1224, 'Lookup 1961'!$B$2:$B$1300,0))</f>
        <v>e200681</v>
      </c>
      <c r="X1224" s="11" t="str">
        <f>INDEX('Lookup 1961'!$C$2:$C$1300, MATCH(V1224, 'Lookup 1961'!$A$2:$A$1300,0))</f>
        <v>Lancashire</v>
      </c>
    </row>
    <row r="1225" spans="1:24" ht="25.05" customHeight="1" x14ac:dyDescent="0.3">
      <c r="A1225" s="4" t="s">
        <v>79</v>
      </c>
      <c r="B1225" s="4" t="s">
        <v>79</v>
      </c>
      <c r="C1225" s="1">
        <v>19</v>
      </c>
      <c r="D1225" s="1">
        <v>5</v>
      </c>
      <c r="E1225" s="1">
        <v>13</v>
      </c>
      <c r="F1225" s="1">
        <v>10</v>
      </c>
      <c r="G1225" s="1">
        <v>14</v>
      </c>
      <c r="H1225" s="1">
        <v>11</v>
      </c>
      <c r="I1225" s="1">
        <v>13</v>
      </c>
      <c r="J1225" s="1">
        <v>11</v>
      </c>
      <c r="K1225" s="6">
        <v>763</v>
      </c>
      <c r="L1225" s="6">
        <v>192606</v>
      </c>
      <c r="M1225" s="1">
        <v>55</v>
      </c>
      <c r="N1225" s="1">
        <v>8</v>
      </c>
      <c r="O1225" s="1">
        <v>8</v>
      </c>
      <c r="P1225" s="1">
        <v>9.6999999999999993</v>
      </c>
      <c r="Q1225" s="11">
        <f>'Table H'!$J$105</f>
        <v>0.83832861231118294</v>
      </c>
      <c r="R1225" s="11">
        <f t="shared" si="41"/>
        <v>161467.1207028077</v>
      </c>
      <c r="S1225" s="11" t="str">
        <f t="shared" si="38"/>
        <v>Burnley RD</v>
      </c>
      <c r="T1225" s="11" t="s">
        <v>5310</v>
      </c>
      <c r="V1225" s="11" t="str">
        <f>INDEX('Lookup 1961'!$A$2:$A$1300, MATCH(S1225, 'Lookup 1961'!$B$2:$B$1300,0))</f>
        <v>J04000240</v>
      </c>
      <c r="W1225" s="11" t="str">
        <f>INDEX('Lookup 1961'!$F$2:$F$1300, MATCH(S1225, 'Lookup 1961'!$B$2:$B$1300,0))</f>
        <v>e200682</v>
      </c>
      <c r="X1225" s="11" t="str">
        <f>INDEX('Lookup 1961'!$C$2:$C$1300, MATCH(V1225, 'Lookup 1961'!$A$2:$A$1300,0))</f>
        <v>Lancashire</v>
      </c>
    </row>
    <row r="1226" spans="1:24" ht="25.05" customHeight="1" x14ac:dyDescent="0.3">
      <c r="A1226" s="4" t="s">
        <v>465</v>
      </c>
      <c r="B1226" s="4" t="s">
        <v>465</v>
      </c>
      <c r="C1226" s="1">
        <v>19</v>
      </c>
      <c r="D1226" s="1">
        <v>3</v>
      </c>
      <c r="E1226" s="1">
        <v>14</v>
      </c>
      <c r="F1226" s="1">
        <v>6</v>
      </c>
      <c r="G1226" s="1">
        <v>15</v>
      </c>
      <c r="H1226" s="1">
        <v>6</v>
      </c>
      <c r="I1226" s="1">
        <v>14</v>
      </c>
      <c r="J1226" s="1">
        <v>6</v>
      </c>
      <c r="K1226" s="6">
        <v>1049</v>
      </c>
      <c r="L1226" s="6">
        <v>264354</v>
      </c>
      <c r="M1226" s="1">
        <v>39.4</v>
      </c>
      <c r="N1226" s="1">
        <v>7</v>
      </c>
      <c r="O1226" s="1">
        <v>0</v>
      </c>
      <c r="P1226" s="1">
        <v>5.8</v>
      </c>
      <c r="Q1226" s="11">
        <f>'Table H'!$J$105</f>
        <v>0.83832861231118294</v>
      </c>
      <c r="R1226" s="11">
        <f t="shared" si="41"/>
        <v>221615.52197891046</v>
      </c>
      <c r="S1226" s="11" t="str">
        <f t="shared" ref="S1226:S1290" si="42">_xlfn.CONCAT(B1226," ",T1226)</f>
        <v>Chorley RD</v>
      </c>
      <c r="T1226" s="11" t="s">
        <v>5310</v>
      </c>
      <c r="V1226" s="11" t="str">
        <f>INDEX('Lookup 1961'!$A$2:$A$1300, MATCH(S1226, 'Lookup 1961'!$B$2:$B$1300,0))</f>
        <v>J04000314</v>
      </c>
      <c r="W1226" s="11" t="str">
        <f>INDEX('Lookup 1961'!$F$2:$F$1300, MATCH(S1226, 'Lookup 1961'!$B$2:$B$1300,0))</f>
        <v>e200683</v>
      </c>
      <c r="X1226" s="11" t="str">
        <f>INDEX('Lookup 1961'!$C$2:$C$1300, MATCH(V1226, 'Lookup 1961'!$A$2:$A$1300,0))</f>
        <v>Lancashire</v>
      </c>
    </row>
    <row r="1227" spans="1:24" ht="25.05" customHeight="1" x14ac:dyDescent="0.3">
      <c r="A1227" s="4" t="s">
        <v>466</v>
      </c>
      <c r="B1227" s="4" t="s">
        <v>466</v>
      </c>
      <c r="C1227" s="1">
        <v>20</v>
      </c>
      <c r="D1227" s="1">
        <v>0</v>
      </c>
      <c r="E1227" s="1">
        <v>15</v>
      </c>
      <c r="F1227" s="1">
        <v>9</v>
      </c>
      <c r="G1227" s="1">
        <v>16</v>
      </c>
      <c r="H1227" s="1">
        <v>8</v>
      </c>
      <c r="I1227" s="1">
        <v>15</v>
      </c>
      <c r="J1227" s="1">
        <v>9</v>
      </c>
      <c r="K1227" s="6">
        <v>300</v>
      </c>
      <c r="L1227" s="6">
        <v>84261</v>
      </c>
      <c r="M1227" s="1">
        <v>41.4</v>
      </c>
      <c r="N1227" s="1">
        <v>7</v>
      </c>
      <c r="O1227" s="1">
        <v>0</v>
      </c>
      <c r="P1227" s="1">
        <v>7.5</v>
      </c>
      <c r="Q1227" s="11">
        <f>'Table H'!$J$105</f>
        <v>0.83832861231118294</v>
      </c>
      <c r="R1227" s="11">
        <f t="shared" si="41"/>
        <v>70638.407201952592</v>
      </c>
      <c r="S1227" s="11" t="str">
        <f t="shared" si="42"/>
        <v>Clitheroe RD</v>
      </c>
      <c r="T1227" s="11" t="s">
        <v>5310</v>
      </c>
      <c r="V1227" s="11" t="str">
        <f>INDEX('Lookup 1961'!$A$2:$A$1300, MATCH(S1227, 'Lookup 1961'!$B$2:$B$1300,0))</f>
        <v>J04000329</v>
      </c>
      <c r="W1227" s="11" t="str">
        <f>INDEX('Lookup 1961'!$F$2:$F$1300, MATCH(S1227, 'Lookup 1961'!$B$2:$B$1300,0))</f>
        <v>e200685</v>
      </c>
      <c r="X1227" s="11" t="str">
        <f>INDEX('Lookup 1961'!$C$2:$C$1300, MATCH(V1227, 'Lookup 1961'!$A$2:$A$1300,0))</f>
        <v>Lancashire</v>
      </c>
    </row>
    <row r="1228" spans="1:24" ht="25.05" customHeight="1" x14ac:dyDescent="0.3">
      <c r="A1228" s="4" t="s">
        <v>1055</v>
      </c>
      <c r="B1228" s="4" t="s">
        <v>1055</v>
      </c>
      <c r="C1228" s="1">
        <v>19</v>
      </c>
      <c r="D1228" s="1">
        <v>9</v>
      </c>
      <c r="E1228" s="1">
        <v>14</v>
      </c>
      <c r="F1228" s="1">
        <v>4</v>
      </c>
      <c r="G1228" s="1">
        <v>15</v>
      </c>
      <c r="H1228" s="1">
        <v>1</v>
      </c>
      <c r="I1228" s="1">
        <v>14</v>
      </c>
      <c r="J1228" s="1">
        <v>4</v>
      </c>
      <c r="K1228" s="6">
        <v>596</v>
      </c>
      <c r="L1228" s="6">
        <v>148081</v>
      </c>
      <c r="M1228" s="1">
        <v>39.6</v>
      </c>
      <c r="N1228" s="1">
        <v>6</v>
      </c>
      <c r="O1228" s="1">
        <v>12</v>
      </c>
      <c r="P1228" s="1">
        <v>2.9</v>
      </c>
      <c r="Q1228" s="11">
        <f>'Table H'!$J$105</f>
        <v>0.83832861231118294</v>
      </c>
      <c r="R1228" s="11">
        <f t="shared" si="41"/>
        <v>124140.53923965228</v>
      </c>
      <c r="S1228" s="11" t="str">
        <f t="shared" si="42"/>
        <v>Fylde RD</v>
      </c>
      <c r="T1228" s="11" t="s">
        <v>5310</v>
      </c>
      <c r="V1228" s="11" t="str">
        <f>INDEX('Lookup 1961'!$A$2:$A$1300, MATCH(S1228, 'Lookup 1961'!$B$2:$B$1300,0))</f>
        <v>J04000523</v>
      </c>
      <c r="W1228" s="11" t="str">
        <f>INDEX('Lookup 1961'!$F$2:$F$1300, MATCH(S1228, 'Lookup 1961'!$B$2:$B$1300,0))</f>
        <v>e200686</v>
      </c>
      <c r="X1228" s="11" t="str">
        <f>INDEX('Lookup 1961'!$C$2:$C$1300, MATCH(V1228, 'Lookup 1961'!$A$2:$A$1300,0))</f>
        <v>Lancashire</v>
      </c>
    </row>
    <row r="1229" spans="1:24" ht="25.05" customHeight="1" x14ac:dyDescent="0.3">
      <c r="A1229" s="4" t="s">
        <v>1056</v>
      </c>
      <c r="B1229" s="4" t="s">
        <v>1056</v>
      </c>
      <c r="C1229" s="1">
        <v>20</v>
      </c>
      <c r="D1229" s="1">
        <v>6</v>
      </c>
      <c r="E1229" s="1">
        <v>14</v>
      </c>
      <c r="F1229" s="1">
        <v>6</v>
      </c>
      <c r="G1229" s="1">
        <v>14</v>
      </c>
      <c r="H1229" s="1">
        <v>8</v>
      </c>
      <c r="I1229" s="1">
        <v>14</v>
      </c>
      <c r="J1229" s="1">
        <v>6</v>
      </c>
      <c r="K1229" s="6">
        <v>527</v>
      </c>
      <c r="L1229" s="6">
        <v>138194</v>
      </c>
      <c r="M1229" s="1">
        <v>69</v>
      </c>
      <c r="N1229" s="1">
        <v>7</v>
      </c>
      <c r="O1229" s="1">
        <v>0</v>
      </c>
      <c r="P1229" s="1">
        <v>9.9</v>
      </c>
      <c r="Q1229" s="11">
        <f>'Table H'!$J$105</f>
        <v>0.83832861231118294</v>
      </c>
      <c r="R1229" s="11">
        <f t="shared" si="41"/>
        <v>115851.98424973161</v>
      </c>
      <c r="S1229" s="11" t="str">
        <f t="shared" si="42"/>
        <v>Garstang RD</v>
      </c>
      <c r="T1229" s="11" t="s">
        <v>5310</v>
      </c>
      <c r="V1229" s="11" t="str">
        <f>INDEX('Lookup 1961'!$A$2:$A$1300, MATCH(S1229, 'Lookup 1961'!$B$2:$B$1300,0))</f>
        <v>J04000527</v>
      </c>
      <c r="W1229" s="11" t="str">
        <f>INDEX('Lookup 1961'!$F$2:$F$1300, MATCH(S1229, 'Lookup 1961'!$B$2:$B$1300,0))</f>
        <v>e200687</v>
      </c>
      <c r="X1229" s="11" t="str">
        <f>INDEX('Lookup 1961'!$C$2:$C$1300, MATCH(V1229, 'Lookup 1961'!$A$2:$A$1300,0))</f>
        <v>Lancashire</v>
      </c>
    </row>
    <row r="1230" spans="1:24" ht="25.05" customHeight="1" x14ac:dyDescent="0.3">
      <c r="A1230" s="4" t="s">
        <v>475</v>
      </c>
      <c r="B1230" s="4" t="s">
        <v>475</v>
      </c>
      <c r="C1230" s="1">
        <v>20</v>
      </c>
      <c r="D1230" s="1">
        <v>1</v>
      </c>
      <c r="E1230" s="1">
        <v>14</v>
      </c>
      <c r="F1230" s="1">
        <v>0</v>
      </c>
      <c r="G1230" s="1">
        <v>14</v>
      </c>
      <c r="H1230" s="1">
        <v>7</v>
      </c>
      <c r="I1230" s="1">
        <v>13</v>
      </c>
      <c r="J1230" s="1">
        <v>10</v>
      </c>
      <c r="K1230" s="6">
        <v>679</v>
      </c>
      <c r="L1230" s="6">
        <v>173811</v>
      </c>
      <c r="M1230" s="1">
        <v>81</v>
      </c>
      <c r="N1230" s="1">
        <v>9</v>
      </c>
      <c r="O1230" s="1">
        <v>4</v>
      </c>
      <c r="P1230" s="1">
        <v>16.8</v>
      </c>
      <c r="Q1230" s="11">
        <f>'Table H'!$J$105</f>
        <v>0.83832861231118294</v>
      </c>
      <c r="R1230" s="11">
        <f t="shared" si="41"/>
        <v>145710.73443441902</v>
      </c>
      <c r="S1230" s="11" t="str">
        <f t="shared" si="42"/>
        <v>Lancaster RD</v>
      </c>
      <c r="T1230" s="11" t="s">
        <v>5310</v>
      </c>
      <c r="V1230" s="11" t="str">
        <f>INDEX('Lookup 1961'!$A$2:$A$1300, MATCH(S1230, 'Lookup 1961'!$B$2:$B$1300,0))</f>
        <v>J04000718</v>
      </c>
      <c r="W1230" s="11" t="str">
        <f>INDEX('Lookup 1961'!$F$2:$F$1300, MATCH(S1230, 'Lookup 1961'!$B$2:$B$1300,0))</f>
        <v>e200688</v>
      </c>
      <c r="X1230" s="11" t="str">
        <f>INDEX('Lookup 1961'!$C$2:$C$1300, MATCH(V1230, 'Lookup 1961'!$A$2:$A$1300,0))</f>
        <v>Lancashire</v>
      </c>
    </row>
    <row r="1231" spans="1:24" ht="25.05" customHeight="1" x14ac:dyDescent="0.3">
      <c r="A1231" s="4" t="s">
        <v>1057</v>
      </c>
      <c r="B1231" s="4" t="s">
        <v>1057</v>
      </c>
      <c r="C1231" s="1">
        <v>20</v>
      </c>
      <c r="D1231" s="1">
        <v>5</v>
      </c>
      <c r="E1231" s="1">
        <v>14</v>
      </c>
      <c r="F1231" s="1">
        <v>11</v>
      </c>
      <c r="G1231" s="1">
        <v>15</v>
      </c>
      <c r="H1231" s="1">
        <v>2</v>
      </c>
      <c r="I1231" s="1">
        <v>14</v>
      </c>
      <c r="J1231" s="1">
        <v>11</v>
      </c>
      <c r="K1231" s="6">
        <v>330</v>
      </c>
      <c r="L1231" s="6">
        <v>91091</v>
      </c>
      <c r="M1231" s="1">
        <v>97.4</v>
      </c>
      <c r="N1231" s="1">
        <v>8</v>
      </c>
      <c r="O1231" s="1">
        <v>1</v>
      </c>
      <c r="P1231" s="1">
        <v>27.1</v>
      </c>
      <c r="Q1231" s="11">
        <f>'Table H'!$J$105</f>
        <v>0.83832861231118294</v>
      </c>
      <c r="R1231" s="11">
        <f t="shared" si="41"/>
        <v>76364.191624037965</v>
      </c>
      <c r="S1231" s="11" t="str">
        <f t="shared" si="42"/>
        <v>Lunesdale RD</v>
      </c>
      <c r="T1231" s="11" t="s">
        <v>5310</v>
      </c>
      <c r="V1231" s="11" t="str">
        <f>INDEX('Lookup 1961'!$A$2:$A$1300, MATCH(S1231, 'Lookup 1961'!$B$2:$B$1300,0))</f>
        <v>J04000789</v>
      </c>
      <c r="W1231" s="11" t="str">
        <f>INDEX('Lookup 1961'!$F$2:$F$1300, MATCH(S1231, 'Lookup 1961'!$B$2:$B$1300,0))</f>
        <v>e200689</v>
      </c>
      <c r="X1231" s="11" t="str">
        <f>INDEX('Lookup 1961'!$C$2:$C$1300, MATCH(V1231, 'Lookup 1961'!$A$2:$A$1300,0))</f>
        <v>Lancashire</v>
      </c>
    </row>
    <row r="1232" spans="1:24" ht="25.05" customHeight="1" x14ac:dyDescent="0.3">
      <c r="A1232" s="4" t="s">
        <v>118</v>
      </c>
      <c r="B1232" s="4" t="s">
        <v>118</v>
      </c>
      <c r="C1232" s="1">
        <v>17</v>
      </c>
      <c r="D1232" s="1">
        <v>11</v>
      </c>
      <c r="E1232" s="1">
        <v>12</v>
      </c>
      <c r="F1232" s="1">
        <v>9</v>
      </c>
      <c r="G1232" s="1">
        <v>14</v>
      </c>
      <c r="H1232" s="1">
        <v>2</v>
      </c>
      <c r="I1232" s="1">
        <v>12</v>
      </c>
      <c r="J1232" s="1">
        <v>9</v>
      </c>
      <c r="K1232" s="6">
        <v>1500</v>
      </c>
      <c r="L1232" s="6">
        <v>386410</v>
      </c>
      <c r="M1232" s="1">
        <v>56.9</v>
      </c>
      <c r="N1232" s="1">
        <v>6</v>
      </c>
      <c r="O1232" s="1">
        <v>3</v>
      </c>
      <c r="P1232" s="1">
        <v>7.4</v>
      </c>
      <c r="Q1232" s="11">
        <f>'Table H'!$J$105</f>
        <v>0.83832861231118294</v>
      </c>
      <c r="R1232" s="11">
        <f t="shared" si="41"/>
        <v>323938.5590831642</v>
      </c>
      <c r="S1232" s="11" t="str">
        <f t="shared" si="42"/>
        <v>Preston RD</v>
      </c>
      <c r="T1232" s="11" t="s">
        <v>5310</v>
      </c>
      <c r="V1232" s="11" t="str">
        <f>INDEX('Lookup 1961'!$A$2:$A$1300, MATCH(S1232, 'Lookup 1961'!$B$2:$B$1300,0))</f>
        <v>J04001020</v>
      </c>
      <c r="W1232" s="11" t="str">
        <f>INDEX('Lookup 1961'!$F$2:$F$1300, MATCH(S1232, 'Lookup 1961'!$B$2:$B$1300,0))</f>
        <v>e200691</v>
      </c>
      <c r="X1232" s="11" t="str">
        <f>INDEX('Lookup 1961'!$C$2:$C$1300, MATCH(V1232, 'Lookup 1961'!$A$2:$A$1300,0))</f>
        <v>Lancashire</v>
      </c>
    </row>
    <row r="1233" spans="1:24" ht="25.05" customHeight="1" x14ac:dyDescent="0.3">
      <c r="A1233" s="4" t="s">
        <v>546</v>
      </c>
      <c r="B1233" s="16" t="s">
        <v>5319</v>
      </c>
      <c r="C1233" s="1">
        <v>21</v>
      </c>
      <c r="D1233" s="1">
        <v>0</v>
      </c>
      <c r="E1233" s="1">
        <v>15</v>
      </c>
      <c r="F1233" s="1">
        <v>0</v>
      </c>
      <c r="G1233" s="1">
        <v>15</v>
      </c>
      <c r="H1233" s="1">
        <v>6</v>
      </c>
      <c r="I1233" s="1">
        <v>14</v>
      </c>
      <c r="J1233" s="1">
        <v>8</v>
      </c>
      <c r="K1233" s="6">
        <v>509</v>
      </c>
      <c r="L1233" s="6">
        <v>138243</v>
      </c>
      <c r="M1233" s="1">
        <v>59.4</v>
      </c>
      <c r="N1233" s="1">
        <v>6</v>
      </c>
      <c r="O1233" s="1">
        <v>6</v>
      </c>
      <c r="P1233" s="1">
        <v>14.5</v>
      </c>
      <c r="Q1233" s="11">
        <f>'Table H'!$J$105</f>
        <v>0.83832861231118294</v>
      </c>
      <c r="R1233" s="11">
        <f t="shared" si="41"/>
        <v>115893.06235173486</v>
      </c>
      <c r="S1233" s="11" t="str">
        <f t="shared" si="42"/>
        <v>North Lonsdale RD</v>
      </c>
      <c r="T1233" s="11" t="s">
        <v>5310</v>
      </c>
      <c r="V1233" s="11" t="str">
        <f>INDEX('Lookup 1961'!$A$2:$A$1300, MATCH(S1233, 'Lookup 1961'!$B$2:$B$1300,0))</f>
        <v>J04000925</v>
      </c>
      <c r="W1233" s="11" t="str">
        <f>INDEX('Lookup 1961'!$F$2:$F$1300, MATCH(S1233, 'Lookup 1961'!$B$2:$B$1300,0))</f>
        <v>e200690</v>
      </c>
      <c r="X1233" s="11" t="str">
        <f>INDEX('Lookup 1961'!$C$2:$C$1300, MATCH(V1233, 'Lookup 1961'!$A$2:$A$1300,0))</f>
        <v>Cumbria</v>
      </c>
    </row>
    <row r="1234" spans="1:24" ht="25.05" customHeight="1" x14ac:dyDescent="0.3">
      <c r="A1234" s="4" t="s">
        <v>137</v>
      </c>
      <c r="B1234" s="4" t="s">
        <v>137</v>
      </c>
      <c r="C1234" s="1">
        <v>20</v>
      </c>
      <c r="D1234" s="1">
        <v>0</v>
      </c>
      <c r="E1234" s="1">
        <v>15</v>
      </c>
      <c r="F1234" s="1">
        <v>6</v>
      </c>
      <c r="G1234" s="1">
        <v>15</v>
      </c>
      <c r="H1234" s="1">
        <v>11</v>
      </c>
      <c r="I1234" s="1">
        <v>15</v>
      </c>
      <c r="J1234" s="1">
        <v>6</v>
      </c>
      <c r="K1234" s="6">
        <v>1175</v>
      </c>
      <c r="L1234" s="6">
        <v>296415</v>
      </c>
      <c r="M1234" s="1">
        <v>44.8</v>
      </c>
      <c r="N1234" s="1">
        <v>7</v>
      </c>
      <c r="O1234" s="1">
        <v>4</v>
      </c>
      <c r="P1234" s="1">
        <v>25.4</v>
      </c>
      <c r="Q1234" s="11">
        <f>'Table H'!$J$105</f>
        <v>0.83832861231118294</v>
      </c>
      <c r="R1234" s="11">
        <f t="shared" si="41"/>
        <v>248493.17561821931</v>
      </c>
      <c r="S1234" s="11" t="str">
        <f t="shared" si="42"/>
        <v>Warrington RD</v>
      </c>
      <c r="T1234" s="11" t="s">
        <v>5310</v>
      </c>
      <c r="V1234" s="11" t="str">
        <f>INDEX('Lookup 1961'!$A$2:$A$1300, MATCH(S1234, 'Lookup 1961'!$B$2:$B$1300,0))</f>
        <v>J04001347</v>
      </c>
      <c r="W1234" s="11" t="str">
        <f>INDEX('Lookup 1961'!$F$2:$F$1300, MATCH(S1234, 'Lookup 1961'!$B$2:$B$1300,0))</f>
        <v>e200693</v>
      </c>
      <c r="X1234" s="11" t="str">
        <f>INDEX('Lookup 1961'!$C$2:$C$1300, MATCH(V1234, 'Lookup 1961'!$A$2:$A$1300,0))</f>
        <v>Cheshire</v>
      </c>
    </row>
    <row r="1235" spans="1:24" ht="25.05" customHeight="1" x14ac:dyDescent="0.3">
      <c r="A1235" s="4" t="s">
        <v>1058</v>
      </c>
      <c r="B1235" s="4" t="s">
        <v>1058</v>
      </c>
      <c r="C1235" s="1">
        <v>20</v>
      </c>
      <c r="D1235" s="1">
        <v>8</v>
      </c>
      <c r="E1235" s="1">
        <v>14</v>
      </c>
      <c r="F1235" s="1">
        <v>0</v>
      </c>
      <c r="G1235" s="1">
        <v>14</v>
      </c>
      <c r="H1235" s="1">
        <v>6</v>
      </c>
      <c r="I1235" s="1">
        <v>14</v>
      </c>
      <c r="J1235" s="1">
        <v>0</v>
      </c>
      <c r="K1235" s="6">
        <v>1958</v>
      </c>
      <c r="L1235" s="6">
        <v>494733</v>
      </c>
      <c r="M1235" s="1">
        <v>70.099999999999994</v>
      </c>
      <c r="N1235" s="1">
        <v>7</v>
      </c>
      <c r="O1235" s="1">
        <v>13</v>
      </c>
      <c r="P1235" s="1">
        <v>8.5</v>
      </c>
      <c r="Q1235" s="11">
        <f>'Table H'!$J$105</f>
        <v>0.83832861231118294</v>
      </c>
      <c r="R1235" s="11">
        <f t="shared" si="41"/>
        <v>414748.82935454848</v>
      </c>
      <c r="S1235" s="11" t="str">
        <f t="shared" si="42"/>
        <v>West Lancashire RD</v>
      </c>
      <c r="T1235" s="11" t="s">
        <v>5310</v>
      </c>
      <c r="V1235" s="11" t="str">
        <f>INDEX('Lookup 1961'!$A$2:$A$1300, MATCH(S1235, 'Lookup 1961'!$B$2:$B$1300,0))</f>
        <v>J04001386</v>
      </c>
      <c r="W1235" s="11" t="str">
        <f>INDEX('Lookup 1961'!$F$2:$F$1300, MATCH(S1235, 'Lookup 1961'!$B$2:$B$1300,0))</f>
        <v>e200695</v>
      </c>
      <c r="X1235" s="11" t="str">
        <f>INDEX('Lookup 1961'!$C$2:$C$1300, MATCH(V1235, 'Lookup 1961'!$A$2:$A$1300,0))</f>
        <v>Lancashire</v>
      </c>
    </row>
    <row r="1236" spans="1:24" ht="25.05" customHeight="1" x14ac:dyDescent="0.3">
      <c r="A1236" s="4" t="s">
        <v>1059</v>
      </c>
      <c r="B1236" s="4" t="s">
        <v>1059</v>
      </c>
      <c r="C1236" s="1">
        <v>22</v>
      </c>
      <c r="D1236" s="1">
        <v>5</v>
      </c>
      <c r="E1236" s="1">
        <v>16</v>
      </c>
      <c r="F1236" s="1">
        <v>2</v>
      </c>
      <c r="G1236" s="1">
        <v>18</v>
      </c>
      <c r="H1236" s="1">
        <v>6</v>
      </c>
      <c r="I1236" s="1">
        <v>16</v>
      </c>
      <c r="J1236" s="1">
        <v>2</v>
      </c>
      <c r="K1236" s="6">
        <v>2170</v>
      </c>
      <c r="L1236" s="6">
        <v>555261</v>
      </c>
      <c r="M1236" s="1">
        <v>83.7</v>
      </c>
      <c r="N1236" s="1">
        <v>7</v>
      </c>
      <c r="O1236" s="1">
        <v>7</v>
      </c>
      <c r="P1236" s="1">
        <v>16</v>
      </c>
      <c r="Q1236" s="11">
        <f>'Table H'!$J$105</f>
        <v>0.83832861231118294</v>
      </c>
      <c r="R1236" s="11">
        <f t="shared" si="41"/>
        <v>465491.18360051973</v>
      </c>
      <c r="S1236" s="11" t="str">
        <f t="shared" si="42"/>
        <v>Whiston RD</v>
      </c>
      <c r="T1236" s="11" t="s">
        <v>5310</v>
      </c>
      <c r="V1236" s="11" t="str">
        <f>INDEX('Lookup 1961'!$A$2:$A$1300, MATCH(S1236, 'Lookup 1961'!$B$2:$B$1300,0))</f>
        <v>J04001398</v>
      </c>
      <c r="W1236" s="11" t="str">
        <f>INDEX('Lookup 1961'!$F$2:$F$1300, MATCH(S1236, 'Lookup 1961'!$B$2:$B$1300,0))</f>
        <v>e200698</v>
      </c>
      <c r="X1236" s="11" t="str">
        <f>INDEX('Lookup 1961'!$C$2:$C$1300, MATCH(V1236, 'Lookup 1961'!$A$2:$A$1300,0))</f>
        <v>Merseyside</v>
      </c>
    </row>
    <row r="1237" spans="1:24" ht="25.05" customHeight="1" x14ac:dyDescent="0.3">
      <c r="A1237" s="4" t="s">
        <v>141</v>
      </c>
      <c r="B1237" s="4" t="s">
        <v>141</v>
      </c>
      <c r="C1237" s="1">
        <v>21</v>
      </c>
      <c r="D1237" s="1">
        <v>10</v>
      </c>
      <c r="E1237" s="1">
        <v>15</v>
      </c>
      <c r="F1237" s="1">
        <v>11</v>
      </c>
      <c r="G1237" s="1">
        <v>16</v>
      </c>
      <c r="H1237" s="1">
        <v>0</v>
      </c>
      <c r="I1237" s="1">
        <v>16</v>
      </c>
      <c r="J1237" s="1">
        <v>0</v>
      </c>
      <c r="K1237" s="6">
        <v>276</v>
      </c>
      <c r="L1237" s="6">
        <v>69857</v>
      </c>
      <c r="M1237" s="1">
        <v>42.1</v>
      </c>
      <c r="N1237" s="1">
        <v>6</v>
      </c>
      <c r="O1237" s="1">
        <v>14</v>
      </c>
      <c r="P1237" s="1">
        <v>4.5</v>
      </c>
      <c r="Q1237" s="11">
        <f>'Table H'!$J$105</f>
        <v>0.83832861231118294</v>
      </c>
      <c r="R1237" s="11">
        <f t="shared" si="41"/>
        <v>58563.121870222305</v>
      </c>
      <c r="S1237" s="11" t="str">
        <f t="shared" si="42"/>
        <v>Wigan RD</v>
      </c>
      <c r="T1237" s="11" t="s">
        <v>5310</v>
      </c>
      <c r="V1237" s="11" t="str">
        <f>INDEX('Lookup 1961'!$A$2:$A$1300, MATCH(S1237, 'Lookup 1961'!$B$2:$B$1300,0))</f>
        <v>J04001410</v>
      </c>
      <c r="W1237" s="11" t="str">
        <f>INDEX('Lookup 1961'!$F$2:$F$1300, MATCH(S1237, 'Lookup 1961'!$B$2:$B$1300,0))</f>
        <v>e200701</v>
      </c>
      <c r="X1237" s="11" t="str">
        <f>INDEX('Lookup 1961'!$C$2:$C$1300, MATCH(V1237, 'Lookup 1961'!$A$2:$A$1300,0))</f>
        <v>Lancashire</v>
      </c>
    </row>
    <row r="1238" spans="1:24" ht="25.05" customHeight="1" x14ac:dyDescent="0.3">
      <c r="A1238" s="4" t="s">
        <v>556</v>
      </c>
      <c r="B1238" s="4" t="s">
        <v>556</v>
      </c>
      <c r="S1238" s="11" t="str">
        <f t="shared" si="42"/>
        <v>LEICESTER: RD</v>
      </c>
      <c r="T1238" s="11" t="s">
        <v>5310</v>
      </c>
      <c r="V1238" s="11" t="e">
        <f>INDEX('Lookup 1961'!$A$2:$A$1300, MATCH(S1238, 'Lookup 1961'!$B$2:$B$1300,0))</f>
        <v>#N/A</v>
      </c>
      <c r="W1238" s="11" t="e">
        <f>INDEX('Lookup 1961'!$F$2:$F$1300, MATCH(S1238, 'Lookup 1961'!$B$2:$B$1300,0))</f>
        <v>#N/A</v>
      </c>
      <c r="X1238" s="11" t="e">
        <f>INDEX('Lookup 1961'!$C$2:$C$1300, MATCH(V1238, 'Lookup 1961'!$A$2:$A$1300,0))</f>
        <v>#N/A</v>
      </c>
    </row>
    <row r="1239" spans="1:24" ht="25.05" customHeight="1" x14ac:dyDescent="0.3">
      <c r="A1239" s="4" t="s">
        <v>558</v>
      </c>
      <c r="B1239" s="4" t="s">
        <v>5270</v>
      </c>
      <c r="C1239" s="1">
        <v>20</v>
      </c>
      <c r="D1239" s="1">
        <v>9</v>
      </c>
      <c r="E1239" s="1">
        <v>15</v>
      </c>
      <c r="F1239" s="1">
        <v>6</v>
      </c>
      <c r="G1239" s="1">
        <v>16</v>
      </c>
      <c r="H1239" s="1">
        <v>3</v>
      </c>
      <c r="I1239" s="1">
        <v>15</v>
      </c>
      <c r="J1239" s="1">
        <v>6</v>
      </c>
      <c r="K1239" s="6">
        <v>478</v>
      </c>
      <c r="L1239" s="6">
        <v>116967</v>
      </c>
      <c r="M1239" s="1">
        <v>99</v>
      </c>
      <c r="N1239" s="1">
        <v>6</v>
      </c>
      <c r="O1239" s="1">
        <v>11</v>
      </c>
      <c r="P1239" s="1">
        <v>47.7</v>
      </c>
      <c r="Q1239" s="11">
        <f>'Table H'!$J$110</f>
        <v>0.87882934596368967</v>
      </c>
      <c r="R1239" s="11">
        <f t="shared" si="41"/>
        <v>102794.03210933489</v>
      </c>
      <c r="S1239" s="11" t="str">
        <f t="shared" si="42"/>
        <v>Ashby de la Zouch RD</v>
      </c>
      <c r="T1239" s="11" t="s">
        <v>5310</v>
      </c>
      <c r="V1239" s="11" t="str">
        <f>INDEX('Lookup 1961'!$A$2:$A$1300, MATCH(S1239, 'Lookup 1961'!$B$2:$B$1300,0))</f>
        <v>J04000051</v>
      </c>
      <c r="W1239" s="11" t="str">
        <f>INDEX('Lookup 1961'!$F$2:$F$1300, MATCH(S1239, 'Lookup 1961'!$B$2:$B$1300,0))</f>
        <v>e210713</v>
      </c>
      <c r="X1239" s="11" t="str">
        <f>INDEX('Lookup 1961'!$C$2:$C$1300, MATCH(V1239, 'Lookup 1961'!$A$2:$A$1300,0))</f>
        <v>Leicestershire</v>
      </c>
    </row>
    <row r="1240" spans="1:24" ht="25.05" customHeight="1" x14ac:dyDescent="0.3">
      <c r="A1240" s="4" t="s">
        <v>1060</v>
      </c>
      <c r="B1240" s="4" t="s">
        <v>5313</v>
      </c>
      <c r="C1240" s="1">
        <v>19</v>
      </c>
      <c r="D1240" s="1">
        <v>6</v>
      </c>
      <c r="E1240" s="1">
        <v>14</v>
      </c>
      <c r="F1240" s="1">
        <v>0</v>
      </c>
      <c r="G1240" s="1">
        <v>15</v>
      </c>
      <c r="H1240" s="1">
        <v>0</v>
      </c>
      <c r="I1240" s="1">
        <v>14</v>
      </c>
      <c r="J1240" s="1">
        <v>0</v>
      </c>
      <c r="K1240" s="6">
        <v>1952</v>
      </c>
      <c r="L1240" s="6">
        <v>494998</v>
      </c>
      <c r="M1240" s="1">
        <v>90.6</v>
      </c>
      <c r="N1240" s="1">
        <v>7</v>
      </c>
      <c r="O1240" s="1">
        <v>2</v>
      </c>
      <c r="P1240" s="1">
        <v>33.700000000000003</v>
      </c>
      <c r="Q1240" s="11">
        <f>'Table H'!$J$110</f>
        <v>0.87882934596368967</v>
      </c>
      <c r="R1240" s="11">
        <f t="shared" si="41"/>
        <v>435018.76859333448</v>
      </c>
      <c r="S1240" s="11" t="str">
        <f t="shared" si="42"/>
        <v>Barrow upon Soar RD</v>
      </c>
      <c r="T1240" s="11" t="s">
        <v>5310</v>
      </c>
      <c r="V1240" s="11" t="str">
        <f>INDEX('Lookup 1961'!$A$2:$A$1300, MATCH(S1240, 'Lookup 1961'!$B$2:$B$1300,0))</f>
        <v>J04000090</v>
      </c>
      <c r="W1240" s="11" t="str">
        <f>INDEX('Lookup 1961'!$F$2:$F$1300, MATCH(S1240, 'Lookup 1961'!$B$2:$B$1300,0))</f>
        <v>e210714</v>
      </c>
      <c r="X1240" s="11" t="str">
        <f>INDEX('Lookup 1961'!$C$2:$C$1300, MATCH(V1240, 'Lookup 1961'!$A$2:$A$1300,0))</f>
        <v>Leicestershire</v>
      </c>
    </row>
    <row r="1241" spans="1:24" ht="25.05" customHeight="1" x14ac:dyDescent="0.3">
      <c r="A1241" s="4" t="s">
        <v>1061</v>
      </c>
      <c r="B1241" s="4" t="s">
        <v>1061</v>
      </c>
      <c r="C1241" s="1">
        <v>22</v>
      </c>
      <c r="D1241" s="1">
        <v>6</v>
      </c>
      <c r="E1241" s="1">
        <v>16</v>
      </c>
      <c r="F1241" s="1">
        <v>0</v>
      </c>
      <c r="G1241" s="1">
        <v>17</v>
      </c>
      <c r="H1241" s="1">
        <v>10</v>
      </c>
      <c r="I1241" s="1">
        <v>10</v>
      </c>
      <c r="J1241" s="1">
        <v>0</v>
      </c>
      <c r="K1241" s="6">
        <v>393</v>
      </c>
      <c r="L1241" s="6">
        <v>99643</v>
      </c>
      <c r="M1241" s="1">
        <v>137.4</v>
      </c>
      <c r="N1241" s="1">
        <v>6</v>
      </c>
      <c r="O1241" s="1">
        <v>10</v>
      </c>
      <c r="P1241" s="1">
        <v>24.8</v>
      </c>
      <c r="Q1241" s="11">
        <f>'Table H'!$J$110</f>
        <v>0.87882934596368967</v>
      </c>
      <c r="R1241" s="11">
        <f t="shared" si="41"/>
        <v>87569.192519859935</v>
      </c>
      <c r="S1241" s="11" t="str">
        <f t="shared" si="42"/>
        <v>Billesdon RD</v>
      </c>
      <c r="T1241" s="11" t="s">
        <v>5310</v>
      </c>
      <c r="V1241" s="11" t="str">
        <f>INDEX('Lookup 1961'!$A$2:$A$1300, MATCH(S1241, 'Lookup 1961'!$B$2:$B$1300,0))</f>
        <v>J04000143</v>
      </c>
      <c r="W1241" s="11" t="str">
        <f>INDEX('Lookup 1961'!$F$2:$F$1300, MATCH(S1241, 'Lookup 1961'!$B$2:$B$1300,0))</f>
        <v>e210702</v>
      </c>
      <c r="X1241" s="11" t="str">
        <f>INDEX('Lookup 1961'!$C$2:$C$1300, MATCH(V1241, 'Lookup 1961'!$A$2:$A$1300,0))</f>
        <v>Leicestershire</v>
      </c>
    </row>
    <row r="1242" spans="1:24" ht="25.05" customHeight="1" x14ac:dyDescent="0.3">
      <c r="A1242" s="4" t="s">
        <v>1062</v>
      </c>
      <c r="B1242" s="4" t="s">
        <v>1062</v>
      </c>
      <c r="C1242" s="1">
        <v>21</v>
      </c>
      <c r="D1242" s="1">
        <v>10</v>
      </c>
      <c r="E1242" s="1">
        <v>16</v>
      </c>
      <c r="F1242" s="1">
        <v>0</v>
      </c>
      <c r="G1242" s="1">
        <v>17</v>
      </c>
      <c r="H1242" s="1">
        <v>4</v>
      </c>
      <c r="I1242" s="1">
        <v>16</v>
      </c>
      <c r="J1242" s="1">
        <v>0</v>
      </c>
      <c r="K1242" s="6">
        <v>1420</v>
      </c>
      <c r="L1242" s="6">
        <v>377764</v>
      </c>
      <c r="M1242" s="1">
        <v>95.8</v>
      </c>
      <c r="N1242" s="1">
        <v>7</v>
      </c>
      <c r="O1242" s="1">
        <v>3</v>
      </c>
      <c r="P1242" s="1">
        <v>36.6</v>
      </c>
      <c r="Q1242" s="11">
        <f>'Table H'!$J$110</f>
        <v>0.87882934596368967</v>
      </c>
      <c r="R1242" s="11">
        <f t="shared" si="41"/>
        <v>331990.08904862724</v>
      </c>
      <c r="S1242" s="11" t="str">
        <f t="shared" si="42"/>
        <v>Blaby RD</v>
      </c>
      <c r="T1242" s="11" t="s">
        <v>5310</v>
      </c>
      <c r="V1242" s="11" t="str">
        <f>INDEX('Lookup 1961'!$A$2:$A$1300, MATCH(S1242, 'Lookup 1961'!$B$2:$B$1300,0))</f>
        <v>J04000154</v>
      </c>
      <c r="W1242" s="11" t="str">
        <f>INDEX('Lookup 1961'!$F$2:$F$1300, MATCH(S1242, 'Lookup 1961'!$B$2:$B$1300,0))</f>
        <v>e210716</v>
      </c>
      <c r="X1242" s="11" t="str">
        <f>INDEX('Lookup 1961'!$C$2:$C$1300, MATCH(V1242, 'Lookup 1961'!$A$2:$A$1300,0))</f>
        <v>Leicestershire</v>
      </c>
    </row>
    <row r="1243" spans="1:24" ht="25.05" customHeight="1" x14ac:dyDescent="0.3">
      <c r="A1243" s="4" t="s">
        <v>1063</v>
      </c>
      <c r="B1243" s="4" t="s">
        <v>1063</v>
      </c>
      <c r="C1243" s="1">
        <v>23</v>
      </c>
      <c r="D1243" s="1">
        <v>0</v>
      </c>
      <c r="E1243" s="1">
        <v>17</v>
      </c>
      <c r="F1243" s="1">
        <v>3</v>
      </c>
      <c r="G1243" s="1">
        <v>18</v>
      </c>
      <c r="H1243" s="1">
        <v>3</v>
      </c>
      <c r="I1243" s="1">
        <v>17</v>
      </c>
      <c r="J1243" s="1">
        <v>3</v>
      </c>
      <c r="K1243" s="6">
        <v>302</v>
      </c>
      <c r="L1243" s="6">
        <v>83885</v>
      </c>
      <c r="M1243" s="1">
        <v>98</v>
      </c>
      <c r="N1243" s="1">
        <v>7</v>
      </c>
      <c r="O1243" s="1">
        <v>2</v>
      </c>
      <c r="P1243" s="1">
        <v>51.1</v>
      </c>
      <c r="Q1243" s="11">
        <f>'Table H'!$J$110</f>
        <v>0.87882934596368967</v>
      </c>
      <c r="R1243" s="11">
        <f t="shared" si="41"/>
        <v>73720.599686164103</v>
      </c>
      <c r="S1243" s="11" t="str">
        <f t="shared" si="42"/>
        <v>Castle Donington RD</v>
      </c>
      <c r="T1243" s="11" t="s">
        <v>5310</v>
      </c>
      <c r="V1243" s="11" t="str">
        <f>INDEX('Lookup 1961'!$A$2:$A$1300, MATCH(S1243, 'Lookup 1961'!$B$2:$B$1300,0))</f>
        <v>J04000271</v>
      </c>
      <c r="W1243" s="11" t="str">
        <f>INDEX('Lookup 1961'!$F$2:$F$1300, MATCH(S1243, 'Lookup 1961'!$B$2:$B$1300,0))</f>
        <v>e210717</v>
      </c>
      <c r="X1243" s="11" t="str">
        <f>INDEX('Lookup 1961'!$C$2:$C$1300, MATCH(V1243, 'Lookup 1961'!$A$2:$A$1300,0))</f>
        <v>Leicestershire</v>
      </c>
    </row>
    <row r="1244" spans="1:24" ht="25.05" customHeight="1" x14ac:dyDescent="0.3">
      <c r="A1244" s="4" t="s">
        <v>1064</v>
      </c>
      <c r="B1244" s="4" t="s">
        <v>1064</v>
      </c>
      <c r="C1244" s="1">
        <v>20</v>
      </c>
      <c r="D1244" s="1">
        <v>6</v>
      </c>
      <c r="E1244" s="1">
        <v>16</v>
      </c>
      <c r="F1244" s="1">
        <v>0</v>
      </c>
      <c r="G1244" s="1">
        <v>17</v>
      </c>
      <c r="H1244" s="1">
        <v>8</v>
      </c>
      <c r="I1244" s="1">
        <v>16</v>
      </c>
      <c r="J1244" s="1">
        <v>0</v>
      </c>
      <c r="K1244" s="6">
        <v>346</v>
      </c>
      <c r="L1244" s="6">
        <v>92113</v>
      </c>
      <c r="M1244" s="1">
        <v>64.8</v>
      </c>
      <c r="N1244" s="1">
        <v>5</v>
      </c>
      <c r="O1244" s="1">
        <v>19</v>
      </c>
      <c r="P1244" s="1">
        <v>28.2</v>
      </c>
      <c r="Q1244" s="11">
        <f>'Table H'!$J$110</f>
        <v>0.87882934596368967</v>
      </c>
      <c r="R1244" s="11">
        <f t="shared" si="41"/>
        <v>80951.607544753351</v>
      </c>
      <c r="S1244" s="11" t="str">
        <f t="shared" si="42"/>
        <v>Lutterworth RD</v>
      </c>
      <c r="T1244" s="11" t="s">
        <v>5310</v>
      </c>
      <c r="V1244" s="11" t="str">
        <f>INDEX('Lookup 1961'!$A$2:$A$1300, MATCH(S1244, 'Lookup 1961'!$B$2:$B$1300,0))</f>
        <v>J04000792</v>
      </c>
      <c r="W1244" s="11" t="str">
        <f>INDEX('Lookup 1961'!$F$2:$F$1300, MATCH(S1244, 'Lookup 1961'!$B$2:$B$1300,0))</f>
        <v>e210718</v>
      </c>
      <c r="X1244" s="11" t="str">
        <f>INDEX('Lookup 1961'!$C$2:$C$1300, MATCH(V1244, 'Lookup 1961'!$A$2:$A$1300,0))</f>
        <v>Leicestershire</v>
      </c>
    </row>
    <row r="1245" spans="1:24" ht="25.05" customHeight="1" x14ac:dyDescent="0.3">
      <c r="A1245" s="4" t="s">
        <v>1065</v>
      </c>
      <c r="B1245" s="4" t="s">
        <v>1065</v>
      </c>
      <c r="C1245" s="1">
        <v>20</v>
      </c>
      <c r="D1245" s="1">
        <v>6</v>
      </c>
      <c r="E1245" s="1">
        <v>15</v>
      </c>
      <c r="F1245" s="1">
        <v>0</v>
      </c>
      <c r="G1245" s="1">
        <v>16</v>
      </c>
      <c r="H1245" s="1">
        <v>4</v>
      </c>
      <c r="I1245" s="1">
        <v>15</v>
      </c>
      <c r="J1245" s="1">
        <v>0</v>
      </c>
      <c r="K1245" s="6">
        <v>864</v>
      </c>
      <c r="L1245" s="6">
        <v>233848</v>
      </c>
      <c r="M1245" s="1">
        <v>96.4</v>
      </c>
      <c r="N1245" s="1">
        <v>6</v>
      </c>
      <c r="O1245" s="1">
        <v>7</v>
      </c>
      <c r="P1245" s="1">
        <v>43.9</v>
      </c>
      <c r="Q1245" s="11">
        <f>'Table H'!$J$110</f>
        <v>0.87882934596368967</v>
      </c>
      <c r="R1245" s="11">
        <f t="shared" si="41"/>
        <v>205512.48489491691</v>
      </c>
      <c r="S1245" s="11" t="str">
        <f t="shared" si="42"/>
        <v>Market Bosworth RD</v>
      </c>
      <c r="T1245" s="11" t="s">
        <v>5310</v>
      </c>
      <c r="V1245" s="11" t="str">
        <f>INDEX('Lookup 1961'!$A$2:$A$1300, MATCH(S1245, 'Lookup 1961'!$B$2:$B$1300,0))</f>
        <v>J04000827</v>
      </c>
      <c r="W1245" s="11" t="str">
        <f>INDEX('Lookup 1961'!$F$2:$F$1300, MATCH(S1245, 'Lookup 1961'!$B$2:$B$1300,0))</f>
        <v>e210719</v>
      </c>
      <c r="X1245" s="11" t="str">
        <f>INDEX('Lookup 1961'!$C$2:$C$1300, MATCH(V1245, 'Lookup 1961'!$A$2:$A$1300,0))</f>
        <v>Leicestershire</v>
      </c>
    </row>
    <row r="1246" spans="1:24" ht="25.05" customHeight="1" x14ac:dyDescent="0.3">
      <c r="A1246" s="4" t="s">
        <v>562</v>
      </c>
      <c r="B1246" s="4" t="s">
        <v>562</v>
      </c>
      <c r="C1246" s="1">
        <v>22</v>
      </c>
      <c r="D1246" s="1">
        <v>2</v>
      </c>
      <c r="E1246" s="1">
        <v>17</v>
      </c>
      <c r="F1246" s="1">
        <v>3</v>
      </c>
      <c r="G1246" s="1">
        <v>18</v>
      </c>
      <c r="H1246" s="1">
        <v>4</v>
      </c>
      <c r="I1246" s="1">
        <v>17</v>
      </c>
      <c r="J1246" s="1">
        <v>3</v>
      </c>
      <c r="K1246" s="6">
        <v>296</v>
      </c>
      <c r="L1246" s="6">
        <v>76578</v>
      </c>
      <c r="M1246" s="1">
        <v>71.2</v>
      </c>
      <c r="N1246" s="1">
        <v>6</v>
      </c>
      <c r="O1246" s="1">
        <v>14</v>
      </c>
      <c r="P1246" s="1">
        <v>27.2</v>
      </c>
      <c r="Q1246" s="11">
        <f>'Table H'!$J$110</f>
        <v>0.87882934596368967</v>
      </c>
      <c r="R1246" s="11">
        <f t="shared" si="41"/>
        <v>67298.993655207421</v>
      </c>
      <c r="S1246" s="11" t="str">
        <f t="shared" si="42"/>
        <v>Market Harborough RD</v>
      </c>
      <c r="T1246" s="11" t="s">
        <v>5310</v>
      </c>
      <c r="V1246" s="11" t="str">
        <f>INDEX('Lookup 1961'!$A$2:$A$1300, MATCH(S1246, 'Lookup 1961'!$B$2:$B$1300,0))</f>
        <v>J04000829</v>
      </c>
      <c r="W1246" s="11" t="str">
        <f>INDEX('Lookup 1961'!$F$2:$F$1300, MATCH(S1246, 'Lookup 1961'!$B$2:$B$1300,0))</f>
        <v>e210720</v>
      </c>
      <c r="X1246" s="11" t="str">
        <f>INDEX('Lookup 1961'!$C$2:$C$1300, MATCH(V1246, 'Lookup 1961'!$A$2:$A$1300,0))</f>
        <v>Leicestershire</v>
      </c>
    </row>
    <row r="1247" spans="1:24" ht="25.05" customHeight="1" x14ac:dyDescent="0.3">
      <c r="A1247" s="4" t="s">
        <v>1066</v>
      </c>
      <c r="B1247" s="4" t="s">
        <v>1066</v>
      </c>
      <c r="C1247" s="1">
        <v>25</v>
      </c>
      <c r="D1247" s="1">
        <v>0</v>
      </c>
      <c r="E1247" s="1">
        <v>16</v>
      </c>
      <c r="F1247" s="1">
        <v>8</v>
      </c>
      <c r="G1247" s="1">
        <v>18</v>
      </c>
      <c r="H1247" s="1">
        <v>0</v>
      </c>
      <c r="I1247" s="1">
        <v>16</v>
      </c>
      <c r="J1247" s="1">
        <v>8</v>
      </c>
      <c r="K1247" s="6">
        <v>595</v>
      </c>
      <c r="L1247" s="6">
        <v>157594</v>
      </c>
      <c r="M1247" s="1">
        <v>82.9</v>
      </c>
      <c r="N1247" s="1">
        <v>6</v>
      </c>
      <c r="O1247" s="1">
        <v>16</v>
      </c>
      <c r="P1247" s="1">
        <v>13.8</v>
      </c>
      <c r="Q1247" s="11">
        <f>'Table H'!$J$110</f>
        <v>0.87882934596368967</v>
      </c>
      <c r="R1247" s="11">
        <f t="shared" si="41"/>
        <v>138498.23194780172</v>
      </c>
      <c r="S1247" s="11" t="str">
        <f t="shared" si="42"/>
        <v>Melton and Belvoir RD</v>
      </c>
      <c r="T1247" s="11" t="s">
        <v>5310</v>
      </c>
      <c r="V1247" s="11" t="str">
        <f>INDEX('Lookup 1961'!$A$2:$A$1300, MATCH(S1247, 'Lookup 1961'!$B$2:$B$1300,0))</f>
        <v>J04000844</v>
      </c>
      <c r="W1247" s="11" t="str">
        <f>INDEX('Lookup 1961'!$F$2:$F$1300, MATCH(S1247, 'Lookup 1961'!$B$2:$B$1300,0))</f>
        <v>e210721</v>
      </c>
      <c r="X1247" s="11" t="str">
        <f>INDEX('Lookup 1961'!$C$2:$C$1300, MATCH(V1247, 'Lookup 1961'!$A$2:$A$1300,0))</f>
        <v>Leicestershire</v>
      </c>
    </row>
    <row r="1248" spans="1:24" ht="25.05" customHeight="1" x14ac:dyDescent="0.3">
      <c r="A1248" s="4" t="s">
        <v>567</v>
      </c>
      <c r="B1248" s="4" t="s">
        <v>567</v>
      </c>
      <c r="S1248" s="11" t="str">
        <f t="shared" si="42"/>
        <v>LINCOLN, PARTS OF HOLLAND: RD</v>
      </c>
      <c r="T1248" s="11" t="s">
        <v>5310</v>
      </c>
      <c r="V1248" s="11" t="e">
        <f>INDEX('Lookup 1961'!$A$2:$A$1300, MATCH(S1248, 'Lookup 1961'!$B$2:$B$1300,0))</f>
        <v>#N/A</v>
      </c>
      <c r="W1248" s="11" t="e">
        <f>INDEX('Lookup 1961'!$F$2:$F$1300, MATCH(S1248, 'Lookup 1961'!$B$2:$B$1300,0))</f>
        <v>#N/A</v>
      </c>
      <c r="X1248" s="11" t="e">
        <f>INDEX('Lookup 1961'!$C$2:$C$1300, MATCH(V1248, 'Lookup 1961'!$A$2:$A$1300,0))</f>
        <v>#N/A</v>
      </c>
    </row>
    <row r="1249" spans="1:24" ht="25.05" customHeight="1" x14ac:dyDescent="0.3">
      <c r="A1249" s="4" t="s">
        <v>568</v>
      </c>
      <c r="B1249" s="4" t="s">
        <v>568</v>
      </c>
      <c r="C1249" s="1">
        <v>24</v>
      </c>
      <c r="D1249" s="1">
        <v>10</v>
      </c>
      <c r="E1249" s="1">
        <v>15</v>
      </c>
      <c r="F1249" s="1">
        <v>4</v>
      </c>
      <c r="G1249" s="1">
        <v>16</v>
      </c>
      <c r="H1249" s="1">
        <v>0</v>
      </c>
      <c r="I1249" s="1">
        <v>15</v>
      </c>
      <c r="J1249" s="1">
        <v>4</v>
      </c>
      <c r="K1249" s="6">
        <v>500</v>
      </c>
      <c r="L1249" s="6">
        <v>131532</v>
      </c>
      <c r="M1249" s="1">
        <v>100.1</v>
      </c>
      <c r="N1249" s="1">
        <v>4</v>
      </c>
      <c r="O1249" s="1">
        <v>9</v>
      </c>
      <c r="P1249" s="1">
        <v>21.5</v>
      </c>
      <c r="Q1249" s="11">
        <f>'Table H'!$J$115</f>
        <v>0.97548840558535621</v>
      </c>
      <c r="R1249" s="11">
        <f t="shared" si="41"/>
        <v>128307.94096345307</v>
      </c>
      <c r="S1249" s="11" t="str">
        <f t="shared" si="42"/>
        <v>Boston RD</v>
      </c>
      <c r="T1249" s="11" t="s">
        <v>5310</v>
      </c>
      <c r="V1249" s="11" t="str">
        <f>INDEX('Lookup 1961'!$A$2:$A$1300, MATCH(S1249, 'Lookup 1961'!$B$2:$B$1300,0))</f>
        <v>J04000177</v>
      </c>
      <c r="W1249" s="11" t="str">
        <f>INDEX('Lookup 1961'!$F$2:$F$1300, MATCH(S1249, 'Lookup 1961'!$B$2:$B$1300,0))</f>
        <v>e220724</v>
      </c>
      <c r="X1249" s="11" t="str">
        <f>INDEX('Lookup 1961'!$C$2:$C$1300, MATCH(V1249, 'Lookup 1961'!$A$2:$A$1300,0))</f>
        <v>Lincolnshire</v>
      </c>
    </row>
    <row r="1250" spans="1:24" ht="25.05" customHeight="1" x14ac:dyDescent="0.3">
      <c r="A1250" s="4" t="s">
        <v>1067</v>
      </c>
      <c r="B1250" s="4" t="s">
        <v>1067</v>
      </c>
      <c r="C1250" s="1">
        <v>23</v>
      </c>
      <c r="D1250" s="1">
        <v>4</v>
      </c>
      <c r="E1250" s="1">
        <v>13</v>
      </c>
      <c r="F1250" s="1">
        <v>10</v>
      </c>
      <c r="G1250" s="1">
        <v>14</v>
      </c>
      <c r="H1250" s="1">
        <v>6</v>
      </c>
      <c r="I1250" s="1">
        <v>13</v>
      </c>
      <c r="J1250" s="1">
        <v>0</v>
      </c>
      <c r="K1250" s="6">
        <v>569</v>
      </c>
      <c r="L1250" s="6">
        <v>145713</v>
      </c>
      <c r="M1250" s="1">
        <v>95.9</v>
      </c>
      <c r="N1250" s="1">
        <v>4</v>
      </c>
      <c r="O1250" s="1">
        <v>4</v>
      </c>
      <c r="P1250" s="1">
        <v>19.600000000000001</v>
      </c>
      <c r="Q1250" s="11">
        <f>'Table H'!$J$115</f>
        <v>0.97548840558535621</v>
      </c>
      <c r="R1250" s="11">
        <f t="shared" si="41"/>
        <v>142141.342043059</v>
      </c>
      <c r="S1250" s="11" t="str">
        <f t="shared" si="42"/>
        <v>East Elloe RD</v>
      </c>
      <c r="T1250" s="11" t="s">
        <v>5310</v>
      </c>
      <c r="V1250" s="11" t="str">
        <f>INDEX('Lookup 1961'!$A$2:$A$1300, MATCH(S1250, 'Lookup 1961'!$B$2:$B$1300,0))</f>
        <v>J04000449</v>
      </c>
      <c r="W1250" s="11" t="str">
        <f>INDEX('Lookup 1961'!$F$2:$F$1300, MATCH(S1250, 'Lookup 1961'!$B$2:$B$1300,0))</f>
        <v>e220725</v>
      </c>
      <c r="X1250" s="11" t="str">
        <f>INDEX('Lookup 1961'!$C$2:$C$1300, MATCH(V1250, 'Lookup 1961'!$A$2:$A$1300,0))</f>
        <v>Lincolnshire</v>
      </c>
    </row>
    <row r="1251" spans="1:24" ht="25.05" customHeight="1" x14ac:dyDescent="0.3">
      <c r="A1251" s="4" t="s">
        <v>569</v>
      </c>
      <c r="B1251" s="4" t="s">
        <v>569</v>
      </c>
      <c r="C1251" s="1">
        <v>26</v>
      </c>
      <c r="D1251" s="1">
        <v>6</v>
      </c>
      <c r="E1251" s="1">
        <v>15</v>
      </c>
      <c r="F1251" s="1">
        <v>0</v>
      </c>
      <c r="G1251" s="1">
        <v>15</v>
      </c>
      <c r="H1251" s="1">
        <v>8</v>
      </c>
      <c r="I1251" s="1">
        <v>15</v>
      </c>
      <c r="J1251" s="1">
        <v>0</v>
      </c>
      <c r="K1251" s="6">
        <v>395</v>
      </c>
      <c r="L1251" s="6">
        <v>106043</v>
      </c>
      <c r="M1251" s="1">
        <v>100.3</v>
      </c>
      <c r="N1251" s="1">
        <v>3</v>
      </c>
      <c r="O1251" s="1">
        <v>19</v>
      </c>
      <c r="P1251" s="1">
        <v>12.3</v>
      </c>
      <c r="Q1251" s="11">
        <f>'Table H'!$J$115</f>
        <v>0.97548840558535621</v>
      </c>
      <c r="R1251" s="11">
        <f t="shared" si="41"/>
        <v>103443.71699348793</v>
      </c>
      <c r="S1251" s="11" t="str">
        <f t="shared" si="42"/>
        <v>Spalding RD</v>
      </c>
      <c r="T1251" s="11" t="s">
        <v>5310</v>
      </c>
      <c r="V1251" s="11" t="str">
        <f>INDEX('Lookup 1961'!$A$2:$A$1300, MATCH(S1251, 'Lookup 1961'!$B$2:$B$1300,0))</f>
        <v>J04001174</v>
      </c>
      <c r="W1251" s="11" t="str">
        <f>INDEX('Lookup 1961'!$F$2:$F$1300, MATCH(S1251, 'Lookup 1961'!$B$2:$B$1300,0))</f>
        <v>e220726</v>
      </c>
      <c r="X1251" s="11" t="str">
        <f>INDEX('Lookup 1961'!$C$2:$C$1300, MATCH(V1251, 'Lookup 1961'!$A$2:$A$1300,0))</f>
        <v>Lincolnshire</v>
      </c>
    </row>
    <row r="1252" spans="1:24" ht="25.05" customHeight="1" x14ac:dyDescent="0.3">
      <c r="A1252" s="4" t="s">
        <v>1068</v>
      </c>
      <c r="B1252" s="4" t="s">
        <v>1068</v>
      </c>
      <c r="S1252" s="11" t="str">
        <f t="shared" si="42"/>
        <v xml:space="preserve"> LINCOLN, PARTS OF KESTEVEN: RD</v>
      </c>
      <c r="T1252" s="11" t="s">
        <v>5310</v>
      </c>
      <c r="V1252" s="11" t="e">
        <f>INDEX('Lookup 1961'!$A$2:$A$1300, MATCH(S1252, 'Lookup 1961'!$B$2:$B$1300,0))</f>
        <v>#N/A</v>
      </c>
      <c r="W1252" s="11" t="e">
        <f>INDEX('Lookup 1961'!$F$2:$F$1300, MATCH(S1252, 'Lookup 1961'!$B$2:$B$1300,0))</f>
        <v>#N/A</v>
      </c>
      <c r="X1252" s="11" t="e">
        <f>INDEX('Lookup 1961'!$C$2:$C$1300, MATCH(V1252, 'Lookup 1961'!$A$2:$A$1300,0))</f>
        <v>#N/A</v>
      </c>
    </row>
    <row r="1253" spans="1:24" ht="25.05" customHeight="1" x14ac:dyDescent="0.3">
      <c r="A1253" s="9" t="s">
        <v>1069</v>
      </c>
      <c r="B1253" s="9" t="s">
        <v>1069</v>
      </c>
      <c r="C1253" s="1">
        <v>26</v>
      </c>
      <c r="D1253" s="1">
        <v>0</v>
      </c>
      <c r="E1253" s="1">
        <v>16</v>
      </c>
      <c r="F1253" s="1">
        <v>0</v>
      </c>
      <c r="G1253" s="1">
        <v>16</v>
      </c>
      <c r="H1253" s="1">
        <v>6</v>
      </c>
      <c r="I1253" s="1">
        <v>15</v>
      </c>
      <c r="J1253" s="1">
        <v>8</v>
      </c>
      <c r="K1253" s="6">
        <v>563</v>
      </c>
      <c r="L1253" s="6">
        <v>130540</v>
      </c>
      <c r="M1253" s="1">
        <v>69.5</v>
      </c>
      <c r="N1253" s="1">
        <v>5</v>
      </c>
      <c r="O1253" s="1">
        <v>10</v>
      </c>
      <c r="P1253" s="1">
        <v>14</v>
      </c>
      <c r="Q1253" s="11">
        <f>'Table H'!$J$120</f>
        <v>0.77222315039617229</v>
      </c>
      <c r="R1253" s="11">
        <f t="shared" si="41"/>
        <v>100806.01005271633</v>
      </c>
      <c r="S1253" s="11" t="str">
        <f t="shared" si="42"/>
        <v>East Kesteven RD</v>
      </c>
      <c r="T1253" s="11" t="s">
        <v>5310</v>
      </c>
      <c r="V1253" s="11" t="str">
        <f>INDEX('Lookup 1961'!$A$2:$A$1300, MATCH(S1253, 'Lookup 1961'!$B$2:$B$1300,0))</f>
        <v>J04000452</v>
      </c>
      <c r="W1253" s="11" t="str">
        <f>INDEX('Lookup 1961'!$F$2:$F$1300, MATCH(S1253, 'Lookup 1961'!$B$2:$B$1300,0))</f>
        <v>e230732</v>
      </c>
      <c r="X1253" s="11" t="str">
        <f>INDEX('Lookup 1961'!$C$2:$C$1300, MATCH(V1253, 'Lookup 1961'!$A$2:$A$1300,0))</f>
        <v>Lincolnshire</v>
      </c>
    </row>
    <row r="1254" spans="1:24" ht="25.05" customHeight="1" x14ac:dyDescent="0.3">
      <c r="A1254" s="4" t="s">
        <v>1070</v>
      </c>
      <c r="B1254" s="4" t="s">
        <v>1070</v>
      </c>
      <c r="C1254" s="1">
        <v>22</v>
      </c>
      <c r="D1254" s="1">
        <v>8</v>
      </c>
      <c r="E1254" s="1">
        <v>14</v>
      </c>
      <c r="F1254" s="1">
        <v>10</v>
      </c>
      <c r="G1254" s="1">
        <v>15</v>
      </c>
      <c r="H1254" s="1">
        <v>7</v>
      </c>
      <c r="I1254" s="1">
        <v>14</v>
      </c>
      <c r="J1254" s="1">
        <v>6</v>
      </c>
      <c r="K1254" s="6">
        <v>893</v>
      </c>
      <c r="L1254" s="6">
        <v>215209</v>
      </c>
      <c r="M1254" s="1">
        <v>72.2</v>
      </c>
      <c r="N1254" s="1">
        <v>5</v>
      </c>
      <c r="O1254" s="1">
        <v>11</v>
      </c>
      <c r="P1254" s="1">
        <v>13.6</v>
      </c>
      <c r="Q1254" s="11">
        <f>'Table H'!$J$120</f>
        <v>0.77222315039617229</v>
      </c>
      <c r="R1254" s="11">
        <f t="shared" si="41"/>
        <v>166189.37197360984</v>
      </c>
      <c r="S1254" s="11" t="str">
        <f t="shared" si="42"/>
        <v>North Kesteven RD</v>
      </c>
      <c r="T1254" s="11" t="s">
        <v>5310</v>
      </c>
      <c r="V1254" s="11" t="str">
        <f>INDEX('Lookup 1961'!$A$2:$A$1300, MATCH(S1254, 'Lookup 1961'!$B$2:$B$1300,0))</f>
        <v>J04000924</v>
      </c>
      <c r="W1254" s="11" t="str">
        <f>INDEX('Lookup 1961'!$F$2:$F$1300, MATCH(S1254, 'Lookup 1961'!$B$2:$B$1300,0))</f>
        <v>e230733</v>
      </c>
      <c r="X1254" s="11" t="str">
        <f>INDEX('Lookup 1961'!$C$2:$C$1300, MATCH(V1254, 'Lookup 1961'!$A$2:$A$1300,0))</f>
        <v>Lincolnshire</v>
      </c>
    </row>
    <row r="1255" spans="1:24" ht="25.05" customHeight="1" x14ac:dyDescent="0.3">
      <c r="A1255" s="4" t="s">
        <v>1071</v>
      </c>
      <c r="B1255" s="4" t="s">
        <v>1071</v>
      </c>
      <c r="C1255" s="1">
        <v>30</v>
      </c>
      <c r="D1255" s="1">
        <v>0</v>
      </c>
      <c r="E1255" s="1">
        <v>19</v>
      </c>
      <c r="F1255" s="1">
        <v>6</v>
      </c>
      <c r="G1255" s="1">
        <v>20</v>
      </c>
      <c r="H1255" s="1">
        <v>6</v>
      </c>
      <c r="I1255" s="1">
        <v>19</v>
      </c>
      <c r="J1255" s="1">
        <v>2</v>
      </c>
      <c r="K1255" s="6">
        <v>350</v>
      </c>
      <c r="L1255" s="6">
        <v>90933</v>
      </c>
      <c r="M1255" s="1">
        <v>83</v>
      </c>
      <c r="N1255" s="1">
        <v>5</v>
      </c>
      <c r="O1255" s="1">
        <v>12</v>
      </c>
      <c r="P1255" s="1">
        <v>17.100000000000001</v>
      </c>
      <c r="Q1255" s="11">
        <f>'Table H'!$J$120</f>
        <v>0.77222315039617229</v>
      </c>
      <c r="R1255" s="11">
        <f t="shared" si="41"/>
        <v>70220.567734975135</v>
      </c>
      <c r="S1255" s="11" t="str">
        <f t="shared" si="42"/>
        <v>South Kesteven RD</v>
      </c>
      <c r="T1255" s="11" t="s">
        <v>5310</v>
      </c>
      <c r="V1255" s="11" t="str">
        <f>INDEX('Lookup 1961'!$A$2:$A$1300, MATCH(S1255, 'Lookup 1961'!$B$2:$B$1300,0))</f>
        <v>J04001157</v>
      </c>
      <c r="W1255" s="11" t="str">
        <f>INDEX('Lookup 1961'!$F$2:$F$1300, MATCH(S1255, 'Lookup 1961'!$B$2:$B$1300,0))</f>
        <v>e230734</v>
      </c>
      <c r="X1255" s="11" t="str">
        <f>INDEX('Lookup 1961'!$C$2:$C$1300, MATCH(V1255, 'Lookup 1961'!$A$2:$A$1300,0))</f>
        <v>Lincolnshire</v>
      </c>
    </row>
    <row r="1256" spans="1:24" ht="25.05" customHeight="1" x14ac:dyDescent="0.3">
      <c r="A1256" s="4" t="s">
        <v>1072</v>
      </c>
      <c r="B1256" s="4" t="s">
        <v>1072</v>
      </c>
      <c r="C1256" s="1">
        <v>24</v>
      </c>
      <c r="D1256" s="1">
        <v>6</v>
      </c>
      <c r="E1256" s="1">
        <v>16</v>
      </c>
      <c r="F1256" s="1">
        <v>8</v>
      </c>
      <c r="G1256" s="1">
        <v>17</v>
      </c>
      <c r="H1256" s="1">
        <v>6</v>
      </c>
      <c r="I1256" s="1">
        <v>16</v>
      </c>
      <c r="J1256" s="1">
        <v>6</v>
      </c>
      <c r="K1256" s="6">
        <v>485</v>
      </c>
      <c r="L1256" s="6">
        <v>125952</v>
      </c>
      <c r="M1256" s="1">
        <v>72.3</v>
      </c>
      <c r="N1256" s="1">
        <v>5</v>
      </c>
      <c r="O1256" s="1">
        <v>10</v>
      </c>
      <c r="P1256" s="1">
        <v>18.5</v>
      </c>
      <c r="Q1256" s="11">
        <f>'Table H'!$J$120</f>
        <v>0.77222315039617229</v>
      </c>
      <c r="R1256" s="11">
        <f t="shared" si="41"/>
        <v>97263.050238698692</v>
      </c>
      <c r="S1256" s="11" t="str">
        <f t="shared" si="42"/>
        <v>West Kesteven RD</v>
      </c>
      <c r="T1256" s="11" t="s">
        <v>5310</v>
      </c>
      <c r="V1256" s="11" t="str">
        <f>INDEX('Lookup 1961'!$A$2:$A$1300, MATCH(S1256, 'Lookup 1961'!$B$2:$B$1300,0))</f>
        <v>J04001385</v>
      </c>
      <c r="W1256" s="11" t="str">
        <f>INDEX('Lookup 1961'!$F$2:$F$1300, MATCH(S1256, 'Lookup 1961'!$B$2:$B$1300,0))</f>
        <v>e230735</v>
      </c>
      <c r="X1256" s="11" t="str">
        <f>INDEX('Lookup 1961'!$C$2:$C$1300, MATCH(V1256, 'Lookup 1961'!$A$2:$A$1300,0))</f>
        <v>Lincolnshire</v>
      </c>
    </row>
    <row r="1257" spans="1:24" ht="25.05" customHeight="1" x14ac:dyDescent="0.3">
      <c r="A1257" s="4" t="s">
        <v>1073</v>
      </c>
      <c r="B1257" s="4" t="s">
        <v>1073</v>
      </c>
      <c r="S1257" s="11" t="str">
        <f t="shared" si="42"/>
        <v>LICOLN, PARTS OF LINDSEY: RD</v>
      </c>
      <c r="T1257" s="11" t="s">
        <v>5310</v>
      </c>
      <c r="V1257" s="11" t="e">
        <f>INDEX('Lookup 1961'!$A$2:$A$1300, MATCH(S1257, 'Lookup 1961'!$B$2:$B$1300,0))</f>
        <v>#N/A</v>
      </c>
      <c r="W1257" s="11" t="e">
        <f>INDEX('Lookup 1961'!$F$2:$F$1300, MATCH(S1257, 'Lookup 1961'!$B$2:$B$1300,0))</f>
        <v>#N/A</v>
      </c>
      <c r="X1257" s="11" t="e">
        <f>INDEX('Lookup 1961'!$C$2:$C$1300, MATCH(V1257, 'Lookup 1961'!$A$2:$A$1300,0))</f>
        <v>#N/A</v>
      </c>
    </row>
    <row r="1258" spans="1:24" ht="25.05" customHeight="1" x14ac:dyDescent="0.3">
      <c r="A1258" s="4" t="s">
        <v>1074</v>
      </c>
      <c r="B1258" s="4" t="s">
        <v>1074</v>
      </c>
      <c r="C1258" s="1">
        <v>23</v>
      </c>
      <c r="D1258" s="1">
        <v>6</v>
      </c>
      <c r="E1258" s="1">
        <v>16</v>
      </c>
      <c r="F1258" s="1">
        <v>0</v>
      </c>
      <c r="G1258" s="1">
        <v>16</v>
      </c>
      <c r="H1258" s="1">
        <v>8</v>
      </c>
      <c r="I1258" s="1">
        <v>15</v>
      </c>
      <c r="J1258" s="1">
        <v>10</v>
      </c>
      <c r="K1258" s="6">
        <v>317</v>
      </c>
      <c r="L1258" s="6">
        <v>85197</v>
      </c>
      <c r="M1258" s="1">
        <v>76.5</v>
      </c>
      <c r="N1258" s="1">
        <v>4</v>
      </c>
      <c r="O1258" s="1">
        <v>13</v>
      </c>
      <c r="P1258" s="1">
        <v>18.3</v>
      </c>
      <c r="Q1258" s="11">
        <f>'Table H'!$J$125</f>
        <v>0.81384094840205479</v>
      </c>
      <c r="R1258" s="11">
        <f t="shared" si="41"/>
        <v>69336.807281009867</v>
      </c>
      <c r="S1258" s="11" t="str">
        <f t="shared" si="42"/>
        <v>Caistor RD</v>
      </c>
      <c r="T1258" s="11" t="s">
        <v>5310</v>
      </c>
      <c r="V1258" s="11" t="str">
        <f>INDEX('Lookup 1961'!$A$2:$A$1300, MATCH(S1258, 'Lookup 1961'!$B$2:$B$1300,0))</f>
        <v>J04000251</v>
      </c>
      <c r="W1258" s="11" t="str">
        <f>INDEX('Lookup 1961'!$F$2:$F$1300, MATCH(S1258, 'Lookup 1961'!$B$2:$B$1300,0))</f>
        <v>e240749</v>
      </c>
      <c r="X1258" s="11" t="str">
        <f>INDEX('Lookup 1961'!$C$2:$C$1300, MATCH(V1258, 'Lookup 1961'!$A$2:$A$1300,0))</f>
        <v>Lincolnshire</v>
      </c>
    </row>
    <row r="1259" spans="1:24" ht="25.05" customHeight="1" x14ac:dyDescent="0.3">
      <c r="A1259" s="4" t="s">
        <v>582</v>
      </c>
      <c r="B1259" s="4" t="s">
        <v>582</v>
      </c>
      <c r="C1259" s="1">
        <v>21</v>
      </c>
      <c r="D1259" s="1">
        <v>2</v>
      </c>
      <c r="E1259" s="1">
        <v>13</v>
      </c>
      <c r="F1259" s="1">
        <v>8</v>
      </c>
      <c r="G1259" s="1">
        <v>14</v>
      </c>
      <c r="H1259" s="1">
        <v>8</v>
      </c>
      <c r="I1259" s="1">
        <v>13</v>
      </c>
      <c r="J1259" s="1">
        <v>8</v>
      </c>
      <c r="K1259" s="6">
        <v>353</v>
      </c>
      <c r="L1259" s="6">
        <v>86306</v>
      </c>
      <c r="M1259" s="1">
        <v>79.900000000000006</v>
      </c>
      <c r="N1259" s="1">
        <v>4</v>
      </c>
      <c r="O1259" s="1">
        <v>9</v>
      </c>
      <c r="P1259" s="1">
        <v>26.4</v>
      </c>
      <c r="Q1259" s="11">
        <f>'Table H'!$J$125</f>
        <v>0.81384094840205479</v>
      </c>
      <c r="R1259" s="11">
        <f t="shared" si="41"/>
        <v>70239.356892787735</v>
      </c>
      <c r="S1259" s="11" t="str">
        <f t="shared" si="42"/>
        <v>Gainsborough RD</v>
      </c>
      <c r="T1259" s="11" t="s">
        <v>5310</v>
      </c>
      <c r="V1259" s="11" t="str">
        <f>INDEX('Lookup 1961'!$A$2:$A$1300, MATCH(S1259, 'Lookup 1961'!$B$2:$B$1300,0))</f>
        <v>J04000524</v>
      </c>
      <c r="W1259" s="11" t="str">
        <f>INDEX('Lookup 1961'!$F$2:$F$1300, MATCH(S1259, 'Lookup 1961'!$B$2:$B$1300,0))</f>
        <v>e240750</v>
      </c>
      <c r="X1259" s="11" t="str">
        <f>INDEX('Lookup 1961'!$C$2:$C$1300, MATCH(V1259, 'Lookup 1961'!$A$2:$A$1300,0))</f>
        <v>Lincolnshire</v>
      </c>
    </row>
    <row r="1260" spans="1:24" ht="25.05" customHeight="1" x14ac:dyDescent="0.3">
      <c r="A1260" s="4" t="s">
        <v>1075</v>
      </c>
      <c r="B1260" s="4" t="s">
        <v>1075</v>
      </c>
      <c r="C1260" s="1">
        <v>20</v>
      </c>
      <c r="D1260" s="1">
        <v>7</v>
      </c>
      <c r="E1260" s="1">
        <v>14</v>
      </c>
      <c r="F1260" s="1">
        <v>6</v>
      </c>
      <c r="G1260" s="1">
        <v>15</v>
      </c>
      <c r="H1260" s="1">
        <v>4</v>
      </c>
      <c r="I1260" s="1">
        <v>14</v>
      </c>
      <c r="J1260" s="1">
        <v>6</v>
      </c>
      <c r="K1260" s="6">
        <v>1050</v>
      </c>
      <c r="L1260" s="6">
        <v>268615</v>
      </c>
      <c r="M1260" s="1">
        <v>81.599999999999994</v>
      </c>
      <c r="N1260" s="1">
        <v>6</v>
      </c>
      <c r="O1260" s="1">
        <v>1</v>
      </c>
      <c r="P1260" s="1">
        <v>25.8</v>
      </c>
      <c r="Q1260" s="11">
        <f>'Table H'!$J$125</f>
        <v>0.81384094840205479</v>
      </c>
      <c r="R1260" s="11">
        <f t="shared" si="41"/>
        <v>218609.88635501795</v>
      </c>
      <c r="S1260" s="11" t="str">
        <f t="shared" si="42"/>
        <v>Glanford Brigg RD</v>
      </c>
      <c r="T1260" s="11" t="s">
        <v>5310</v>
      </c>
      <c r="V1260" s="11" t="str">
        <f>INDEX('Lookup 1961'!$A$2:$A$1300, MATCH(S1260, 'Lookup 1961'!$B$2:$B$1300,0))</f>
        <v>J04000532</v>
      </c>
      <c r="W1260" s="11" t="str">
        <f>INDEX('Lookup 1961'!$F$2:$F$1300, MATCH(S1260, 'Lookup 1961'!$B$2:$B$1300,0))</f>
        <v>e240751</v>
      </c>
      <c r="X1260" s="11" t="str">
        <f>INDEX('Lookup 1961'!$C$2:$C$1300, MATCH(V1260, 'Lookup 1961'!$A$2:$A$1300,0))</f>
        <v>Humberside</v>
      </c>
    </row>
    <row r="1261" spans="1:24" ht="25.05" customHeight="1" x14ac:dyDescent="0.3">
      <c r="A1261" s="4" t="s">
        <v>98</v>
      </c>
      <c r="B1261" s="4" t="s">
        <v>98</v>
      </c>
      <c r="C1261" s="1">
        <v>23</v>
      </c>
      <c r="D1261" s="1">
        <v>6</v>
      </c>
      <c r="E1261" s="1">
        <v>15</v>
      </c>
      <c r="F1261" s="1">
        <v>0</v>
      </c>
      <c r="G1261" s="1">
        <v>15</v>
      </c>
      <c r="H1261" s="1">
        <v>4</v>
      </c>
      <c r="I1261" s="1">
        <v>14</v>
      </c>
      <c r="J1261" s="1">
        <v>10</v>
      </c>
      <c r="K1261" s="6">
        <v>788</v>
      </c>
      <c r="L1261" s="6">
        <v>198430</v>
      </c>
      <c r="M1261" s="1">
        <v>192.9</v>
      </c>
      <c r="N1261" s="1">
        <v>9</v>
      </c>
      <c r="O1261" s="1">
        <v>17</v>
      </c>
      <c r="P1261" s="1">
        <v>62.3</v>
      </c>
      <c r="Q1261" s="11">
        <f>'Table H'!$J$125</f>
        <v>0.81384094840205479</v>
      </c>
      <c r="R1261" s="11">
        <f t="shared" si="41"/>
        <v>161490.45939141972</v>
      </c>
      <c r="S1261" s="11" t="str">
        <f t="shared" si="42"/>
        <v>Grimsby RD</v>
      </c>
      <c r="T1261" s="11" t="s">
        <v>5310</v>
      </c>
      <c r="V1261" s="11" t="str">
        <f>INDEX('Lookup 1961'!$A$2:$A$1300, MATCH(S1261, 'Lookup 1961'!$B$2:$B$1300,0))</f>
        <v>J04000555</v>
      </c>
      <c r="W1261" s="11" t="str">
        <f>INDEX('Lookup 1961'!$F$2:$F$1300, MATCH(S1261, 'Lookup 1961'!$B$2:$B$1300,0))</f>
        <v>e240752</v>
      </c>
      <c r="X1261" s="11" t="str">
        <f>INDEX('Lookup 1961'!$C$2:$C$1300, MATCH(V1261, 'Lookup 1961'!$A$2:$A$1300,0))</f>
        <v>Humberside</v>
      </c>
    </row>
    <row r="1262" spans="1:24" ht="25.05" customHeight="1" x14ac:dyDescent="0.3">
      <c r="A1262" s="4" t="s">
        <v>583</v>
      </c>
      <c r="B1262" s="4" t="s">
        <v>583</v>
      </c>
      <c r="C1262" s="1">
        <v>19</v>
      </c>
      <c r="D1262" s="1">
        <v>0</v>
      </c>
      <c r="E1262" s="1">
        <v>14</v>
      </c>
      <c r="F1262" s="1">
        <v>6</v>
      </c>
      <c r="G1262" s="1">
        <v>15</v>
      </c>
      <c r="H1262" s="1">
        <v>9</v>
      </c>
      <c r="I1262" s="1">
        <v>14</v>
      </c>
      <c r="J1262" s="1">
        <v>0</v>
      </c>
      <c r="K1262" s="6">
        <v>284</v>
      </c>
      <c r="L1262" s="6">
        <v>73079</v>
      </c>
      <c r="M1262" s="1">
        <v>77.2</v>
      </c>
      <c r="N1262" s="1">
        <v>4</v>
      </c>
      <c r="O1262" s="1">
        <v>4</v>
      </c>
      <c r="P1262" s="1">
        <v>36.5</v>
      </c>
      <c r="Q1262" s="11">
        <f>'Table H'!$J$125</f>
        <v>0.81384094840205479</v>
      </c>
      <c r="R1262" s="11">
        <f t="shared" si="41"/>
        <v>59474.682668273759</v>
      </c>
      <c r="S1262" s="11" t="str">
        <f t="shared" si="42"/>
        <v>Horncastle RD</v>
      </c>
      <c r="T1262" s="11" t="s">
        <v>5310</v>
      </c>
      <c r="V1262" s="11" t="str">
        <f>INDEX('Lookup 1961'!$A$2:$A$1300, MATCH(S1262, 'Lookup 1961'!$B$2:$B$1300,0))</f>
        <v>J04000642</v>
      </c>
      <c r="W1262" s="11" t="str">
        <f>INDEX('Lookup 1961'!$F$2:$F$1300, MATCH(S1262, 'Lookup 1961'!$B$2:$B$1300,0))</f>
        <v>e240753</v>
      </c>
      <c r="X1262" s="11" t="str">
        <f>INDEX('Lookup 1961'!$C$2:$C$1300, MATCH(V1262, 'Lookup 1961'!$A$2:$A$1300,0))</f>
        <v>Lincolnshire</v>
      </c>
    </row>
    <row r="1263" spans="1:24" ht="25.05" customHeight="1" x14ac:dyDescent="0.3">
      <c r="A1263" s="4" t="s">
        <v>1076</v>
      </c>
      <c r="B1263" s="4" t="s">
        <v>1076</v>
      </c>
      <c r="C1263" s="1">
        <v>24</v>
      </c>
      <c r="D1263" s="1">
        <v>8</v>
      </c>
      <c r="E1263" s="1">
        <v>14</v>
      </c>
      <c r="F1263" s="1">
        <v>8</v>
      </c>
      <c r="G1263" s="1">
        <v>15</v>
      </c>
      <c r="H1263" s="1">
        <v>4</v>
      </c>
      <c r="I1263" s="1">
        <v>14</v>
      </c>
      <c r="J1263" s="1">
        <v>8</v>
      </c>
      <c r="K1263" s="6">
        <v>340</v>
      </c>
      <c r="L1263" s="6">
        <v>88616</v>
      </c>
      <c r="M1263" s="1">
        <v>115</v>
      </c>
      <c r="N1263" s="1">
        <v>4</v>
      </c>
      <c r="O1263" s="1">
        <v>7</v>
      </c>
      <c r="P1263" s="1">
        <v>28.2</v>
      </c>
      <c r="Q1263" s="11">
        <f>'Table H'!$J$125</f>
        <v>0.81384094840205479</v>
      </c>
      <c r="R1263" s="11">
        <f t="shared" si="41"/>
        <v>72119.329483596492</v>
      </c>
      <c r="S1263" s="11" t="str">
        <f t="shared" si="42"/>
        <v>Isle of Axholme RD</v>
      </c>
      <c r="T1263" s="11" t="s">
        <v>5310</v>
      </c>
      <c r="V1263" s="11" t="str">
        <f>INDEX('Lookup 1961'!$A$2:$A$1300, MATCH(S1263, 'Lookup 1961'!$B$2:$B$1300,0))</f>
        <v>J04000674</v>
      </c>
      <c r="W1263" s="11" t="str">
        <f>INDEX('Lookup 1961'!$F$2:$F$1300, MATCH(S1263, 'Lookup 1961'!$B$2:$B$1300,0))</f>
        <v>e240754</v>
      </c>
      <c r="X1263" s="11" t="str">
        <f>INDEX('Lookup 1961'!$C$2:$C$1300, MATCH(V1263, 'Lookup 1961'!$A$2:$A$1300,0))</f>
        <v>Humberside</v>
      </c>
    </row>
    <row r="1264" spans="1:24" ht="25.05" customHeight="1" x14ac:dyDescent="0.3">
      <c r="A1264" s="4" t="s">
        <v>577</v>
      </c>
      <c r="B1264" s="4" t="s">
        <v>577</v>
      </c>
      <c r="C1264" s="1">
        <v>23</v>
      </c>
      <c r="D1264" s="1">
        <v>8</v>
      </c>
      <c r="E1264" s="1">
        <v>16</v>
      </c>
      <c r="F1264" s="1">
        <v>0</v>
      </c>
      <c r="G1264" s="1">
        <v>17</v>
      </c>
      <c r="H1264" s="1">
        <v>2</v>
      </c>
      <c r="I1264" s="1">
        <v>15</v>
      </c>
      <c r="J1264" s="1">
        <v>8</v>
      </c>
      <c r="K1264" s="6">
        <v>455</v>
      </c>
      <c r="L1264" s="6">
        <v>113207</v>
      </c>
      <c r="M1264" s="1">
        <v>77.3</v>
      </c>
      <c r="N1264" s="1">
        <v>4</v>
      </c>
      <c r="O1264" s="1">
        <v>15</v>
      </c>
      <c r="P1264" s="1">
        <v>21.3</v>
      </c>
      <c r="Q1264" s="11">
        <f>'Table H'!$J$125</f>
        <v>0.81384094840205479</v>
      </c>
      <c r="R1264" s="11">
        <f t="shared" si="41"/>
        <v>92132.492245751419</v>
      </c>
      <c r="S1264" s="11" t="str">
        <f t="shared" si="42"/>
        <v>Louth RD</v>
      </c>
      <c r="T1264" s="11" t="s">
        <v>5310</v>
      </c>
      <c r="V1264" s="11" t="str">
        <f>INDEX('Lookup 1961'!$A$2:$A$1300, MATCH(S1264, 'Lookup 1961'!$B$2:$B$1300,0))</f>
        <v>J04000785</v>
      </c>
      <c r="W1264" s="11" t="str">
        <f>INDEX('Lookup 1961'!$F$2:$F$1300, MATCH(S1264, 'Lookup 1961'!$B$2:$B$1300,0))</f>
        <v>e240755</v>
      </c>
      <c r="X1264" s="11" t="str">
        <f>INDEX('Lookup 1961'!$C$2:$C$1300, MATCH(V1264, 'Lookup 1961'!$A$2:$A$1300,0))</f>
        <v>Lincolnshire</v>
      </c>
    </row>
    <row r="1265" spans="1:24" ht="25.05" customHeight="1" x14ac:dyDescent="0.3">
      <c r="A1265" s="4" t="s">
        <v>1077</v>
      </c>
      <c r="B1265" s="4" t="s">
        <v>1077</v>
      </c>
      <c r="C1265" s="1">
        <v>20</v>
      </c>
      <c r="D1265" s="1">
        <v>6</v>
      </c>
      <c r="E1265" s="1">
        <v>15</v>
      </c>
      <c r="F1265" s="1">
        <v>0</v>
      </c>
      <c r="G1265" s="1">
        <v>16</v>
      </c>
      <c r="H1265" s="1">
        <v>6</v>
      </c>
      <c r="I1265" s="1">
        <v>14</v>
      </c>
      <c r="J1265" s="1">
        <v>8</v>
      </c>
      <c r="K1265" s="6">
        <v>840</v>
      </c>
      <c r="L1265" s="6">
        <v>206282</v>
      </c>
      <c r="M1265" s="1">
        <v>95.2</v>
      </c>
      <c r="N1265" s="1">
        <v>6</v>
      </c>
      <c r="O1265" s="1">
        <v>11</v>
      </c>
      <c r="P1265" s="1">
        <v>42.5</v>
      </c>
      <c r="Q1265" s="11">
        <f>'Table H'!$J$125</f>
        <v>0.81384094840205479</v>
      </c>
      <c r="R1265" s="11">
        <f t="shared" si="41"/>
        <v>167880.73851827267</v>
      </c>
      <c r="S1265" s="11" t="str">
        <f t="shared" si="42"/>
        <v>Spilsby RD</v>
      </c>
      <c r="T1265" s="11" t="s">
        <v>5310</v>
      </c>
      <c r="V1265" s="11" t="str">
        <f>INDEX('Lookup 1961'!$A$2:$A$1300, MATCH(S1265, 'Lookup 1961'!$B$2:$B$1300,0))</f>
        <v>J04001178</v>
      </c>
      <c r="W1265" s="11" t="str">
        <f>INDEX('Lookup 1961'!$F$2:$F$1300, MATCH(S1265, 'Lookup 1961'!$B$2:$B$1300,0))</f>
        <v>e240756</v>
      </c>
      <c r="X1265" s="11" t="str">
        <f>INDEX('Lookup 1961'!$C$2:$C$1300, MATCH(V1265, 'Lookup 1961'!$A$2:$A$1300,0))</f>
        <v>Lincolnshire</v>
      </c>
    </row>
    <row r="1266" spans="1:24" ht="25.05" customHeight="1" x14ac:dyDescent="0.3">
      <c r="A1266" s="4" t="s">
        <v>1078</v>
      </c>
      <c r="B1266" s="4" t="s">
        <v>1078</v>
      </c>
      <c r="C1266" s="1">
        <v>20</v>
      </c>
      <c r="D1266" s="1">
        <v>6</v>
      </c>
      <c r="E1266" s="1">
        <v>15</v>
      </c>
      <c r="F1266" s="1">
        <v>0</v>
      </c>
      <c r="G1266" s="1">
        <v>15</v>
      </c>
      <c r="H1266" s="1">
        <v>7</v>
      </c>
      <c r="I1266" s="1">
        <v>14</v>
      </c>
      <c r="J1266" s="1">
        <v>6</v>
      </c>
      <c r="K1266" s="6">
        <v>426</v>
      </c>
      <c r="L1266" s="6">
        <v>106499</v>
      </c>
      <c r="M1266" s="1">
        <v>66</v>
      </c>
      <c r="N1266" s="1">
        <v>4</v>
      </c>
      <c r="O1266" s="1">
        <v>18</v>
      </c>
      <c r="P1266" s="1">
        <v>15.7</v>
      </c>
      <c r="Q1266" s="11">
        <f>'Table H'!$J$125</f>
        <v>0.81384094840205479</v>
      </c>
      <c r="R1266" s="11">
        <f t="shared" si="41"/>
        <v>86673.24716387043</v>
      </c>
      <c r="S1266" s="11" t="str">
        <f t="shared" si="42"/>
        <v>Welton RD</v>
      </c>
      <c r="T1266" s="11" t="s">
        <v>5310</v>
      </c>
      <c r="V1266" s="11" t="str">
        <f>INDEX('Lookup 1961'!$A$2:$A$1300, MATCH(S1266, 'Lookup 1961'!$B$2:$B$1300,0))</f>
        <v>J04001371</v>
      </c>
      <c r="W1266" s="11" t="str">
        <f>INDEX('Lookup 1961'!$F$2:$F$1300, MATCH(S1266, 'Lookup 1961'!$B$2:$B$1300,0))</f>
        <v>e240757</v>
      </c>
      <c r="X1266" s="11" t="str">
        <f>INDEX('Lookup 1961'!$C$2:$C$1300, MATCH(V1266, 'Lookup 1961'!$A$2:$A$1300,0))</f>
        <v>Lincolnshire</v>
      </c>
    </row>
    <row r="1267" spans="1:24" ht="25.05" customHeight="1" x14ac:dyDescent="0.3">
      <c r="A1267" s="4" t="s">
        <v>1079</v>
      </c>
      <c r="B1267" s="4" t="s">
        <v>1079</v>
      </c>
      <c r="S1267" s="11" t="str">
        <f t="shared" si="42"/>
        <v>NORFOLK: RD</v>
      </c>
      <c r="T1267" s="11" t="s">
        <v>5310</v>
      </c>
      <c r="V1267" s="11" t="e">
        <f>INDEX('Lookup 1961'!$A$2:$A$1300, MATCH(S1267, 'Lookup 1961'!$B$2:$B$1300,0))</f>
        <v>#N/A</v>
      </c>
      <c r="W1267" s="11" t="e">
        <f>INDEX('Lookup 1961'!$F$2:$F$1300, MATCH(S1267, 'Lookup 1961'!$B$2:$B$1300,0))</f>
        <v>#N/A</v>
      </c>
      <c r="X1267" s="11" t="e">
        <f>INDEX('Lookup 1961'!$C$2:$C$1300, MATCH(V1267, 'Lookup 1961'!$A$2:$A$1300,0))</f>
        <v>#N/A</v>
      </c>
    </row>
    <row r="1268" spans="1:24" ht="25.05" customHeight="1" x14ac:dyDescent="0.3">
      <c r="A1268" s="4" t="s">
        <v>1080</v>
      </c>
      <c r="B1268" s="4" t="s">
        <v>1080</v>
      </c>
      <c r="C1268" s="1">
        <v>21</v>
      </c>
      <c r="D1268" s="1">
        <v>6</v>
      </c>
      <c r="E1268" s="1">
        <v>16</v>
      </c>
      <c r="F1268" s="1">
        <v>5</v>
      </c>
      <c r="G1268" s="1">
        <v>17</v>
      </c>
      <c r="H1268" s="1">
        <v>2</v>
      </c>
      <c r="I1268" s="1">
        <v>16</v>
      </c>
      <c r="J1268" s="1">
        <v>5</v>
      </c>
      <c r="K1268" s="6">
        <v>1115</v>
      </c>
      <c r="L1268" s="6">
        <v>284394</v>
      </c>
      <c r="M1268" s="1">
        <v>94.2</v>
      </c>
      <c r="N1268" s="1">
        <v>7</v>
      </c>
      <c r="O1268" s="1">
        <v>0</v>
      </c>
      <c r="P1268" s="1">
        <v>43.5</v>
      </c>
      <c r="Q1268" s="11">
        <f>'Table H'!$J$136</f>
        <v>0.89875239992372125</v>
      </c>
      <c r="R1268" s="11">
        <f t="shared" si="41"/>
        <v>255599.79002390677</v>
      </c>
      <c r="S1268" s="11" t="str">
        <f t="shared" si="42"/>
        <v>Blofield and Flegg RD</v>
      </c>
      <c r="T1268" s="11" t="s">
        <v>5310</v>
      </c>
      <c r="V1268" s="11" t="str">
        <f>INDEX('Lookup 1961'!$A$2:$A$1300, MATCH(S1268, 'Lookup 1961'!$B$2:$B$1300,0))</f>
        <v>J04000165</v>
      </c>
      <c r="W1268" s="11" t="str">
        <f>INDEX('Lookup 1961'!$F$2:$F$1300, MATCH(S1268, 'Lookup 1961'!$B$2:$B$1300,0))</f>
        <v>e250772</v>
      </c>
      <c r="X1268" s="11" t="str">
        <f>INDEX('Lookup 1961'!$C$2:$C$1300, MATCH(V1268, 'Lookup 1961'!$A$2:$A$1300,0))</f>
        <v>Norfolk</v>
      </c>
    </row>
    <row r="1269" spans="1:24" ht="25.05" customHeight="1" x14ac:dyDescent="0.3">
      <c r="A1269" s="4" t="s">
        <v>1081</v>
      </c>
      <c r="B1269" s="4" t="s">
        <v>1081</v>
      </c>
      <c r="C1269" s="1">
        <v>22</v>
      </c>
      <c r="D1269" s="1">
        <v>10</v>
      </c>
      <c r="E1269" s="1">
        <v>19</v>
      </c>
      <c r="F1269" s="1">
        <v>6</v>
      </c>
      <c r="G1269" s="1">
        <v>21</v>
      </c>
      <c r="H1269" s="1">
        <v>0</v>
      </c>
      <c r="I1269" s="1">
        <v>19</v>
      </c>
      <c r="J1269" s="1">
        <v>6</v>
      </c>
      <c r="K1269" s="6">
        <v>380</v>
      </c>
      <c r="L1269" s="6">
        <v>94501</v>
      </c>
      <c r="M1269" s="1">
        <v>61</v>
      </c>
      <c r="N1269" s="1">
        <v>5</v>
      </c>
      <c r="O1269" s="1">
        <v>0</v>
      </c>
      <c r="P1269" s="1">
        <v>43.5</v>
      </c>
      <c r="Q1269" s="11">
        <f>'Table H'!$J$136</f>
        <v>0.89875239992372125</v>
      </c>
      <c r="R1269" s="11">
        <f t="shared" si="41"/>
        <v>84933.000545191579</v>
      </c>
      <c r="S1269" s="11" t="str">
        <f t="shared" si="42"/>
        <v>Depwade RD</v>
      </c>
      <c r="T1269" s="11" t="s">
        <v>5310</v>
      </c>
      <c r="V1269" s="11" t="str">
        <f>INDEX('Lookup 1961'!$A$2:$A$1300, MATCH(S1269, 'Lookup 1961'!$B$2:$B$1300,0))</f>
        <v>J04000400</v>
      </c>
      <c r="W1269" s="11" t="str">
        <f>INDEX('Lookup 1961'!$F$2:$F$1300, MATCH(S1269, 'Lookup 1961'!$B$2:$B$1300,0))</f>
        <v>e250773</v>
      </c>
      <c r="X1269" s="11" t="str">
        <f>INDEX('Lookup 1961'!$C$2:$C$1300, MATCH(V1269, 'Lookup 1961'!$A$2:$A$1300,0))</f>
        <v>Norfolk</v>
      </c>
    </row>
    <row r="1270" spans="1:24" ht="25.05" customHeight="1" x14ac:dyDescent="0.3">
      <c r="A1270" s="4" t="s">
        <v>1082</v>
      </c>
      <c r="B1270" s="4" t="s">
        <v>1082</v>
      </c>
      <c r="C1270" s="1">
        <v>21</v>
      </c>
      <c r="D1270" s="1">
        <v>0</v>
      </c>
      <c r="E1270" s="1">
        <v>16</v>
      </c>
      <c r="F1270" s="1">
        <v>0</v>
      </c>
      <c r="G1270" s="1">
        <v>16</v>
      </c>
      <c r="H1270" s="1">
        <v>6</v>
      </c>
      <c r="I1270" s="1">
        <v>16</v>
      </c>
      <c r="J1270" s="1">
        <v>0</v>
      </c>
      <c r="K1270" s="6">
        <v>530</v>
      </c>
      <c r="L1270" s="6">
        <v>132903</v>
      </c>
      <c r="M1270" s="1">
        <v>82.1</v>
      </c>
      <c r="N1270" s="1">
        <v>6</v>
      </c>
      <c r="O1270" s="1">
        <v>2</v>
      </c>
      <c r="P1270" s="1">
        <v>33.9</v>
      </c>
      <c r="Q1270" s="11">
        <f>'Table H'!$J$136</f>
        <v>0.89875239992372125</v>
      </c>
      <c r="R1270" s="11">
        <f t="shared" si="41"/>
        <v>119446.89020706233</v>
      </c>
      <c r="S1270" s="11" t="str">
        <f t="shared" si="42"/>
        <v>Docking RD</v>
      </c>
      <c r="T1270" s="11" t="s">
        <v>5310</v>
      </c>
      <c r="V1270" s="11" t="str">
        <f>INDEX('Lookup 1961'!$A$2:$A$1300, MATCH(S1270, 'Lookup 1961'!$B$2:$B$1300,0))</f>
        <v>J04000410</v>
      </c>
      <c r="W1270" s="11" t="str">
        <f>INDEX('Lookup 1961'!$F$2:$F$1300, MATCH(S1270, 'Lookup 1961'!$B$2:$B$1300,0))</f>
        <v>e250774</v>
      </c>
      <c r="X1270" s="11" t="str">
        <f>INDEX('Lookup 1961'!$C$2:$C$1300, MATCH(V1270, 'Lookup 1961'!$A$2:$A$1300,0))</f>
        <v>Norfolk</v>
      </c>
    </row>
    <row r="1271" spans="1:24" ht="25.05" customHeight="1" x14ac:dyDescent="0.3">
      <c r="A1271" s="4" t="s">
        <v>1083</v>
      </c>
      <c r="B1271" s="4" t="s">
        <v>1083</v>
      </c>
      <c r="C1271" s="1">
        <v>19</v>
      </c>
      <c r="D1271" s="1">
        <v>10</v>
      </c>
      <c r="E1271" s="1">
        <v>13</v>
      </c>
      <c r="F1271" s="1">
        <v>4</v>
      </c>
      <c r="G1271" s="1">
        <v>14</v>
      </c>
      <c r="H1271" s="1">
        <v>6</v>
      </c>
      <c r="I1271" s="1">
        <v>13</v>
      </c>
      <c r="J1271" s="1">
        <v>4</v>
      </c>
      <c r="K1271" s="6">
        <v>585</v>
      </c>
      <c r="L1271" s="6">
        <v>146773</v>
      </c>
      <c r="M1271" s="1">
        <v>76.900000000000006</v>
      </c>
      <c r="N1271" s="1">
        <v>8</v>
      </c>
      <c r="O1271" s="1">
        <v>0</v>
      </c>
      <c r="P1271" s="1">
        <v>13</v>
      </c>
      <c r="Q1271" s="11">
        <f>'Table H'!$J$136</f>
        <v>0.89875239992372125</v>
      </c>
      <c r="R1271" s="11">
        <f t="shared" si="41"/>
        <v>131912.58599400433</v>
      </c>
      <c r="S1271" s="11" t="str">
        <f t="shared" si="42"/>
        <v>Downham RD</v>
      </c>
      <c r="T1271" s="11" t="s">
        <v>5310</v>
      </c>
      <c r="V1271" s="11" t="str">
        <f>INDEX('Lookup 1961'!$A$2:$A$1300, MATCH(S1271, 'Lookup 1961'!$B$2:$B$1300,0))</f>
        <v>J04000424</v>
      </c>
      <c r="W1271" s="11" t="str">
        <f>INDEX('Lookup 1961'!$F$2:$F$1300, MATCH(S1271, 'Lookup 1961'!$B$2:$B$1300,0))</f>
        <v>e250775</v>
      </c>
      <c r="X1271" s="11" t="str">
        <f>INDEX('Lookup 1961'!$C$2:$C$1300, MATCH(V1271, 'Lookup 1961'!$A$2:$A$1300,0))</f>
        <v>Norfolk</v>
      </c>
    </row>
    <row r="1272" spans="1:24" ht="25.05" customHeight="1" x14ac:dyDescent="0.3">
      <c r="A1272" s="4" t="s">
        <v>1084</v>
      </c>
      <c r="B1272" s="4" t="s">
        <v>1084</v>
      </c>
      <c r="C1272" s="1">
        <v>21</v>
      </c>
      <c r="D1272" s="1">
        <v>10</v>
      </c>
      <c r="E1272" s="1">
        <v>15</v>
      </c>
      <c r="F1272" s="1">
        <v>4</v>
      </c>
      <c r="G1272" s="1">
        <v>16</v>
      </c>
      <c r="H1272" s="1">
        <v>2</v>
      </c>
      <c r="I1272" s="1">
        <v>15</v>
      </c>
      <c r="J1272" s="1">
        <v>4</v>
      </c>
      <c r="K1272" s="6">
        <v>586</v>
      </c>
      <c r="L1272" s="6">
        <v>150146</v>
      </c>
      <c r="M1272" s="1">
        <v>76.7</v>
      </c>
      <c r="N1272" s="1">
        <v>5</v>
      </c>
      <c r="O1272" s="1">
        <v>13</v>
      </c>
      <c r="P1272" s="1">
        <v>21.8</v>
      </c>
      <c r="Q1272" s="11">
        <f>'Table H'!$J$136</f>
        <v>0.89875239992372125</v>
      </c>
      <c r="R1272" s="11">
        <f t="shared" si="41"/>
        <v>134944.07783894704</v>
      </c>
      <c r="S1272" s="11" t="str">
        <f t="shared" si="42"/>
        <v>Erpingham RD</v>
      </c>
      <c r="T1272" s="11" t="s">
        <v>5310</v>
      </c>
      <c r="V1272" s="11" t="str">
        <f>INDEX('Lookup 1961'!$A$2:$A$1300, MATCH(S1272, 'Lookup 1961'!$B$2:$B$1300,0))</f>
        <v>J04000479</v>
      </c>
      <c r="W1272" s="11" t="str">
        <f>INDEX('Lookup 1961'!$F$2:$F$1300, MATCH(S1272, 'Lookup 1961'!$B$2:$B$1300,0))</f>
        <v>e250776</v>
      </c>
      <c r="X1272" s="11" t="str">
        <f>INDEX('Lookup 1961'!$C$2:$C$1300, MATCH(V1272, 'Lookup 1961'!$A$2:$A$1300,0))</f>
        <v>Norfolk</v>
      </c>
    </row>
    <row r="1273" spans="1:24" ht="25.05" customHeight="1" x14ac:dyDescent="0.3">
      <c r="A1273" s="4" t="s">
        <v>1085</v>
      </c>
      <c r="B1273" s="4" t="s">
        <v>1085</v>
      </c>
      <c r="C1273" s="1">
        <v>25</v>
      </c>
      <c r="D1273" s="1">
        <v>0</v>
      </c>
      <c r="E1273" s="1">
        <v>18</v>
      </c>
      <c r="F1273" s="1">
        <v>6</v>
      </c>
      <c r="G1273" s="1">
        <v>20</v>
      </c>
      <c r="H1273" s="1">
        <v>6</v>
      </c>
      <c r="I1273" s="1">
        <v>17</v>
      </c>
      <c r="J1273" s="1">
        <v>10</v>
      </c>
      <c r="K1273" s="6">
        <v>579</v>
      </c>
      <c r="L1273" s="6">
        <v>156125</v>
      </c>
      <c r="M1273" s="1">
        <v>61.3</v>
      </c>
      <c r="N1273" s="1">
        <v>5</v>
      </c>
      <c r="O1273" s="1">
        <v>15</v>
      </c>
      <c r="P1273" s="1">
        <v>12.6</v>
      </c>
      <c r="Q1273" s="11">
        <f>'Table H'!$J$136</f>
        <v>0.89875239992372125</v>
      </c>
      <c r="R1273" s="11">
        <f t="shared" si="41"/>
        <v>140317.71843809099</v>
      </c>
      <c r="S1273" s="11" t="str">
        <f t="shared" si="42"/>
        <v>Forehoe and Henstead RD</v>
      </c>
      <c r="T1273" s="11" t="s">
        <v>5310</v>
      </c>
      <c r="V1273" s="11" t="str">
        <f>INDEX('Lookup 1961'!$A$2:$A$1300, MATCH(S1273, 'Lookup 1961'!$B$2:$B$1300,0))</f>
        <v>J04000512</v>
      </c>
      <c r="W1273" s="11" t="str">
        <f>INDEX('Lookup 1961'!$F$2:$F$1300, MATCH(S1273, 'Lookup 1961'!$B$2:$B$1300,0))</f>
        <v>e250777</v>
      </c>
      <c r="X1273" s="11" t="str">
        <f>INDEX('Lookup 1961'!$C$2:$C$1300, MATCH(V1273, 'Lookup 1961'!$A$2:$A$1300,0))</f>
        <v>Norfolk</v>
      </c>
    </row>
    <row r="1274" spans="1:24" ht="25.05" customHeight="1" x14ac:dyDescent="0.3">
      <c r="A1274" s="4" t="s">
        <v>1086</v>
      </c>
      <c r="B1274" s="4" t="s">
        <v>1086</v>
      </c>
      <c r="C1274" s="1">
        <v>22</v>
      </c>
      <c r="D1274" s="1">
        <v>8</v>
      </c>
      <c r="E1274" s="1">
        <v>16</v>
      </c>
      <c r="F1274" s="1">
        <v>0</v>
      </c>
      <c r="G1274" s="1">
        <v>16</v>
      </c>
      <c r="H1274" s="1">
        <v>6</v>
      </c>
      <c r="I1274" s="1">
        <v>16</v>
      </c>
      <c r="J1274" s="1">
        <v>0</v>
      </c>
      <c r="K1274" s="6">
        <v>310</v>
      </c>
      <c r="L1274" s="6">
        <v>80727</v>
      </c>
      <c r="M1274" s="1">
        <v>102.4</v>
      </c>
      <c r="N1274" s="1">
        <v>5</v>
      </c>
      <c r="O1274" s="1">
        <v>13</v>
      </c>
      <c r="P1274" s="1">
        <v>44.3</v>
      </c>
      <c r="Q1274" s="11">
        <f>'Table H'!$J$136</f>
        <v>0.89875239992372125</v>
      </c>
      <c r="R1274" s="11">
        <f t="shared" si="41"/>
        <v>72553.584988642251</v>
      </c>
      <c r="S1274" s="11" t="str">
        <f t="shared" si="42"/>
        <v>Freebridge Lynn RD</v>
      </c>
      <c r="T1274" s="11" t="s">
        <v>5310</v>
      </c>
      <c r="V1274" s="11" t="str">
        <f>INDEX('Lookup 1961'!$A$2:$A$1300, MATCH(S1274, 'Lookup 1961'!$B$2:$B$1300,0))</f>
        <v>J04000515</v>
      </c>
      <c r="W1274" s="11" t="str">
        <f>INDEX('Lookup 1961'!$F$2:$F$1300, MATCH(S1274, 'Lookup 1961'!$B$2:$B$1300,0))</f>
        <v>e250778</v>
      </c>
      <c r="X1274" s="11" t="str">
        <f>INDEX('Lookup 1961'!$C$2:$C$1300, MATCH(V1274, 'Lookup 1961'!$A$2:$A$1300,0))</f>
        <v>Norfolk</v>
      </c>
    </row>
    <row r="1275" spans="1:24" ht="25.05" customHeight="1" x14ac:dyDescent="0.3">
      <c r="A1275" s="4" t="s">
        <v>1087</v>
      </c>
      <c r="B1275" s="4" t="s">
        <v>1087</v>
      </c>
      <c r="C1275" s="1">
        <v>23</v>
      </c>
      <c r="D1275" s="1">
        <v>10</v>
      </c>
      <c r="E1275" s="1">
        <v>16</v>
      </c>
      <c r="F1275" s="1">
        <v>4</v>
      </c>
      <c r="G1275" s="1">
        <v>18</v>
      </c>
      <c r="H1275" s="1">
        <v>0</v>
      </c>
      <c r="I1275" s="1">
        <v>16</v>
      </c>
      <c r="J1275" s="1">
        <v>4</v>
      </c>
      <c r="K1275" s="6">
        <v>315</v>
      </c>
      <c r="L1275" s="6">
        <v>76696</v>
      </c>
      <c r="M1275" s="1">
        <v>80.900000000000006</v>
      </c>
      <c r="N1275" s="1">
        <v>4</v>
      </c>
      <c r="O1275" s="1">
        <v>18</v>
      </c>
      <c r="P1275" s="1">
        <v>24.5</v>
      </c>
      <c r="Q1275" s="11">
        <f>'Table H'!$J$136</f>
        <v>0.89875239992372125</v>
      </c>
      <c r="R1275" s="11">
        <f t="shared" si="41"/>
        <v>68930.714064549727</v>
      </c>
      <c r="S1275" s="11" t="str">
        <f t="shared" si="42"/>
        <v>Loddon RD</v>
      </c>
      <c r="T1275" s="11" t="s">
        <v>5310</v>
      </c>
      <c r="V1275" s="11" t="str">
        <f>INDEX('Lookup 1961'!$A$2:$A$1300, MATCH(S1275, 'Lookup 1961'!$B$2:$B$1300,0))</f>
        <v>J04000773</v>
      </c>
      <c r="W1275" s="11" t="str">
        <f>INDEX('Lookup 1961'!$F$2:$F$1300, MATCH(S1275, 'Lookup 1961'!$B$2:$B$1300,0))</f>
        <v>e250779</v>
      </c>
      <c r="X1275" s="11" t="str">
        <f>INDEX('Lookup 1961'!$C$2:$C$1300, MATCH(V1275, 'Lookup 1961'!$A$2:$A$1300,0))</f>
        <v>Norfolk</v>
      </c>
    </row>
    <row r="1276" spans="1:24" ht="25.05" customHeight="1" x14ac:dyDescent="0.3">
      <c r="A1276" s="4" t="s">
        <v>1088</v>
      </c>
      <c r="B1276" s="4" t="s">
        <v>1088</v>
      </c>
      <c r="C1276" s="1">
        <v>18</v>
      </c>
      <c r="D1276" s="1">
        <v>8</v>
      </c>
      <c r="E1276" s="1">
        <v>13</v>
      </c>
      <c r="F1276" s="1">
        <v>2</v>
      </c>
      <c r="G1276" s="1">
        <v>13</v>
      </c>
      <c r="H1276" s="1">
        <v>8</v>
      </c>
      <c r="I1276" s="1">
        <v>13</v>
      </c>
      <c r="J1276" s="1">
        <v>2</v>
      </c>
      <c r="K1276" s="6">
        <v>421</v>
      </c>
      <c r="L1276" s="6">
        <v>109641</v>
      </c>
      <c r="M1276" s="1">
        <v>122.9</v>
      </c>
      <c r="N1276" s="1">
        <v>4</v>
      </c>
      <c r="O1276" s="1">
        <v>4</v>
      </c>
      <c r="P1276" s="1">
        <v>49</v>
      </c>
      <c r="Q1276" s="11">
        <f>'Table H'!$J$136</f>
        <v>0.89875239992372125</v>
      </c>
      <c r="R1276" s="11">
        <f t="shared" si="41"/>
        <v>98540.111880036726</v>
      </c>
      <c r="S1276" s="11" t="str">
        <f t="shared" si="42"/>
        <v>Marshland RD</v>
      </c>
      <c r="T1276" s="11" t="s">
        <v>5310</v>
      </c>
      <c r="V1276" s="11" t="str">
        <f>INDEX('Lookup 1961'!$A$2:$A$1300, MATCH(S1276, 'Lookup 1961'!$B$2:$B$1300,0))</f>
        <v>J04000836</v>
      </c>
      <c r="W1276" s="11" t="str">
        <f>INDEX('Lookup 1961'!$F$2:$F$1300, MATCH(S1276, 'Lookup 1961'!$B$2:$B$1300,0))</f>
        <v>e250780</v>
      </c>
      <c r="X1276" s="11" t="str">
        <f>INDEX('Lookup 1961'!$C$2:$C$1300, MATCH(V1276, 'Lookup 1961'!$A$2:$A$1300,0))</f>
        <v>Norfolk</v>
      </c>
    </row>
    <row r="1277" spans="1:24" ht="25.05" customHeight="1" x14ac:dyDescent="0.3">
      <c r="A1277" s="4" t="s">
        <v>1089</v>
      </c>
      <c r="B1277" s="4" t="s">
        <v>1089</v>
      </c>
      <c r="C1277" s="1">
        <v>22</v>
      </c>
      <c r="D1277" s="1">
        <v>6</v>
      </c>
      <c r="E1277" s="1">
        <v>16</v>
      </c>
      <c r="F1277" s="1">
        <v>6</v>
      </c>
      <c r="G1277" s="1">
        <v>17</v>
      </c>
      <c r="H1277" s="1">
        <v>8</v>
      </c>
      <c r="I1277" s="1">
        <v>15</v>
      </c>
      <c r="J1277" s="1">
        <v>6</v>
      </c>
      <c r="K1277" s="6">
        <v>314</v>
      </c>
      <c r="L1277" s="6">
        <v>78890</v>
      </c>
      <c r="M1277" s="1">
        <v>48.8</v>
      </c>
      <c r="N1277" s="1">
        <v>3</v>
      </c>
      <c r="O1277" s="1">
        <v>8</v>
      </c>
      <c r="P1277" s="1">
        <v>12.6</v>
      </c>
      <c r="Q1277" s="11">
        <f>'Table H'!$J$136</f>
        <v>0.89875239992372125</v>
      </c>
      <c r="R1277" s="11">
        <f t="shared" si="41"/>
        <v>70902.576829982369</v>
      </c>
      <c r="S1277" s="11" t="str">
        <f t="shared" si="42"/>
        <v>Mitford and Launditch RD</v>
      </c>
      <c r="T1277" s="11" t="s">
        <v>5310</v>
      </c>
      <c r="V1277" s="11" t="str">
        <f>INDEX('Lookup 1961'!$A$2:$A$1300, MATCH(S1277, 'Lookup 1961'!$B$2:$B$1300,0))</f>
        <v>J04000863</v>
      </c>
      <c r="W1277" s="11" t="str">
        <f>INDEX('Lookup 1961'!$F$2:$F$1300, MATCH(S1277, 'Lookup 1961'!$B$2:$B$1300,0))</f>
        <v>e250781</v>
      </c>
      <c r="X1277" s="11" t="str">
        <f>INDEX('Lookup 1961'!$C$2:$C$1300, MATCH(V1277, 'Lookup 1961'!$A$2:$A$1300,0))</f>
        <v>Norfolk</v>
      </c>
    </row>
    <row r="1278" spans="1:24" ht="25.05" customHeight="1" x14ac:dyDescent="0.3">
      <c r="A1278" s="4" t="s">
        <v>1090</v>
      </c>
      <c r="B1278" s="4" t="s">
        <v>5320</v>
      </c>
      <c r="C1278" s="1">
        <v>20</v>
      </c>
      <c r="D1278" s="1">
        <v>0</v>
      </c>
      <c r="E1278" s="1">
        <v>15</v>
      </c>
      <c r="F1278" s="1">
        <v>2</v>
      </c>
      <c r="G1278" s="1">
        <v>16</v>
      </c>
      <c r="H1278" s="1">
        <v>2</v>
      </c>
      <c r="I1278" s="1">
        <v>15</v>
      </c>
      <c r="J1278" s="1">
        <v>2</v>
      </c>
      <c r="K1278" s="6">
        <v>1160</v>
      </c>
      <c r="L1278" s="6">
        <v>307222</v>
      </c>
      <c r="M1278" s="1">
        <v>71.8</v>
      </c>
      <c r="N1278" s="1">
        <v>5</v>
      </c>
      <c r="O1278" s="1">
        <v>16</v>
      </c>
      <c r="P1278" s="1">
        <v>24.1</v>
      </c>
      <c r="Q1278" s="11">
        <f>'Table H'!$J$136</f>
        <v>0.89875239992372125</v>
      </c>
      <c r="R1278" s="11">
        <f t="shared" si="41"/>
        <v>276116.5098093655</v>
      </c>
      <c r="S1278" s="11" t="str">
        <f t="shared" si="42"/>
        <v>St. Faiths and Aylsham RD</v>
      </c>
      <c r="T1278" s="11" t="s">
        <v>5310</v>
      </c>
      <c r="V1278" s="11" t="str">
        <f>INDEX('Lookup 1961'!$A$2:$A$1300, MATCH(S1278, 'Lookup 1961'!$B$2:$B$1300,0))</f>
        <v>J04001184</v>
      </c>
      <c r="W1278" s="11" t="str">
        <f>INDEX('Lookup 1961'!$F$2:$F$1300, MATCH(S1278, 'Lookup 1961'!$B$2:$B$1300,0))</f>
        <v>e250782</v>
      </c>
      <c r="X1278" s="11" t="str">
        <f>INDEX('Lookup 1961'!$C$2:$C$1300, MATCH(V1278, 'Lookup 1961'!$A$2:$A$1300,0))</f>
        <v>Norfolk</v>
      </c>
    </row>
    <row r="1279" spans="1:24" ht="25.05" customHeight="1" x14ac:dyDescent="0.3">
      <c r="A1279" s="4" t="s">
        <v>1091</v>
      </c>
      <c r="B1279" s="4" t="s">
        <v>1091</v>
      </c>
      <c r="C1279" s="1">
        <v>22</v>
      </c>
      <c r="D1279" s="1">
        <v>10</v>
      </c>
      <c r="E1279" s="1">
        <v>16</v>
      </c>
      <c r="F1279" s="1">
        <v>0</v>
      </c>
      <c r="G1279" s="1">
        <v>16</v>
      </c>
      <c r="H1279" s="1">
        <v>10</v>
      </c>
      <c r="I1279" s="1">
        <v>16</v>
      </c>
      <c r="J1279" s="1">
        <v>0</v>
      </c>
      <c r="K1279" s="6">
        <v>544</v>
      </c>
      <c r="L1279" s="6">
        <v>141015</v>
      </c>
      <c r="M1279" s="1">
        <v>84.5</v>
      </c>
      <c r="N1279" s="1">
        <v>6</v>
      </c>
      <c r="O1279" s="1">
        <v>3</v>
      </c>
      <c r="P1279" s="1">
        <v>36.5</v>
      </c>
      <c r="Q1279" s="11">
        <f>'Table H'!$J$136</f>
        <v>0.89875239992372125</v>
      </c>
      <c r="R1279" s="11">
        <f t="shared" si="41"/>
        <v>126737.56967524355</v>
      </c>
      <c r="S1279" s="11" t="str">
        <f t="shared" si="42"/>
        <v>Smallburgh RD</v>
      </c>
      <c r="T1279" s="11" t="s">
        <v>5310</v>
      </c>
      <c r="V1279" s="11" t="str">
        <f>INDEX('Lookup 1961'!$A$2:$A$1300, MATCH(S1279, 'Lookup 1961'!$B$2:$B$1300,0))</f>
        <v>J04001151</v>
      </c>
      <c r="W1279" s="11" t="str">
        <f>INDEX('Lookup 1961'!$F$2:$F$1300, MATCH(S1279, 'Lookup 1961'!$B$2:$B$1300,0))</f>
        <v>e250783</v>
      </c>
      <c r="X1279" s="11" t="str">
        <f>INDEX('Lookup 1961'!$C$2:$C$1300, MATCH(V1279, 'Lookup 1961'!$A$2:$A$1300,0))</f>
        <v>Norfolk</v>
      </c>
    </row>
    <row r="1280" spans="1:24" ht="25.05" customHeight="1" x14ac:dyDescent="0.3">
      <c r="A1280" s="4" t="s">
        <v>623</v>
      </c>
      <c r="B1280" s="4" t="s">
        <v>623</v>
      </c>
      <c r="C1280" s="1">
        <v>21</v>
      </c>
      <c r="D1280" s="1">
        <v>6</v>
      </c>
      <c r="E1280" s="1">
        <v>15</v>
      </c>
      <c r="F1280" s="1">
        <v>0</v>
      </c>
      <c r="G1280" s="1">
        <v>15</v>
      </c>
      <c r="H1280" s="1">
        <v>8</v>
      </c>
      <c r="I1280" s="1">
        <v>15</v>
      </c>
      <c r="J1280" s="1">
        <v>0</v>
      </c>
      <c r="K1280" s="6">
        <v>205</v>
      </c>
      <c r="L1280" s="6">
        <v>51910</v>
      </c>
      <c r="M1280" s="1">
        <v>81</v>
      </c>
      <c r="N1280" s="1">
        <v>4</v>
      </c>
      <c r="O1280" s="1">
        <v>4</v>
      </c>
      <c r="P1280" s="1">
        <v>26.6</v>
      </c>
      <c r="Q1280" s="11">
        <f>'Table H'!$J$136</f>
        <v>0.89875239992372125</v>
      </c>
      <c r="R1280" s="11">
        <f t="shared" si="41"/>
        <v>46654.237080040373</v>
      </c>
      <c r="S1280" s="11" t="str">
        <f t="shared" si="42"/>
        <v>Swaffham RD</v>
      </c>
      <c r="T1280" s="11" t="s">
        <v>5310</v>
      </c>
      <c r="V1280" s="11" t="str">
        <f>INDEX('Lookup 1961'!$A$2:$A$1300, MATCH(S1280, 'Lookup 1961'!$B$2:$B$1300,0))</f>
        <v>J04001238</v>
      </c>
      <c r="W1280" s="11" t="str">
        <f>INDEX('Lookup 1961'!$F$2:$F$1300, MATCH(S1280, 'Lookup 1961'!$B$2:$B$1300,0))</f>
        <v>e250784</v>
      </c>
      <c r="X1280" s="11" t="str">
        <f>INDEX('Lookup 1961'!$C$2:$C$1300, MATCH(V1280, 'Lookup 1961'!$A$2:$A$1300,0))</f>
        <v>Norfolk</v>
      </c>
    </row>
    <row r="1281" spans="1:24" ht="25.05" customHeight="1" x14ac:dyDescent="0.3">
      <c r="A1281" s="4" t="s">
        <v>1092</v>
      </c>
      <c r="B1281" s="4" t="s">
        <v>1092</v>
      </c>
      <c r="C1281" s="1">
        <v>22</v>
      </c>
      <c r="D1281" s="1">
        <v>0</v>
      </c>
      <c r="E1281" s="1">
        <v>15</v>
      </c>
      <c r="F1281" s="1">
        <v>9</v>
      </c>
      <c r="G1281" s="1">
        <v>16</v>
      </c>
      <c r="H1281" s="1">
        <v>8</v>
      </c>
      <c r="I1281" s="1">
        <v>15</v>
      </c>
      <c r="J1281" s="1">
        <v>9</v>
      </c>
      <c r="K1281" s="6">
        <v>565</v>
      </c>
      <c r="L1281" s="6">
        <v>153337</v>
      </c>
      <c r="M1281" s="1">
        <v>67.2</v>
      </c>
      <c r="N1281" s="1">
        <v>4</v>
      </c>
      <c r="O1281" s="1">
        <v>18</v>
      </c>
      <c r="P1281" s="1">
        <v>23.9</v>
      </c>
      <c r="Q1281" s="11">
        <f>'Table H'!$J$136</f>
        <v>0.89875239992372125</v>
      </c>
      <c r="R1281" s="11">
        <f t="shared" si="41"/>
        <v>137811.99674710364</v>
      </c>
      <c r="S1281" s="11" t="str">
        <f t="shared" si="42"/>
        <v>Walsingham RD</v>
      </c>
      <c r="T1281" s="11" t="s">
        <v>5310</v>
      </c>
      <c r="V1281" s="11" t="str">
        <f>INDEX('Lookup 1961'!$A$2:$A$1300, MATCH(S1281, 'Lookup 1961'!$B$2:$B$1300,0))</f>
        <v>J04001329</v>
      </c>
      <c r="W1281" s="11" t="str">
        <f>INDEX('Lookup 1961'!$F$2:$F$1300, MATCH(S1281, 'Lookup 1961'!$B$2:$B$1300,0))</f>
        <v>e250785</v>
      </c>
      <c r="X1281" s="11" t="str">
        <f>INDEX('Lookup 1961'!$C$2:$C$1300, MATCH(V1281, 'Lookup 1961'!$A$2:$A$1300,0))</f>
        <v>Norfolk</v>
      </c>
    </row>
    <row r="1282" spans="1:24" ht="25.05" customHeight="1" x14ac:dyDescent="0.3">
      <c r="A1282" s="4" t="s">
        <v>1093</v>
      </c>
      <c r="B1282" s="4" t="s">
        <v>1093</v>
      </c>
      <c r="C1282" s="1">
        <v>23</v>
      </c>
      <c r="D1282" s="1">
        <v>2</v>
      </c>
      <c r="E1282" s="1">
        <v>17</v>
      </c>
      <c r="F1282" s="1">
        <v>6</v>
      </c>
      <c r="G1282" s="1">
        <v>18</v>
      </c>
      <c r="H1282" s="1">
        <v>10</v>
      </c>
      <c r="I1282" s="1">
        <v>17</v>
      </c>
      <c r="J1282" s="1">
        <v>6</v>
      </c>
      <c r="K1282" s="6">
        <v>454</v>
      </c>
      <c r="L1282" s="6">
        <v>117557</v>
      </c>
      <c r="M1282" s="1">
        <v>57.7</v>
      </c>
      <c r="N1282" s="1">
        <v>4</v>
      </c>
      <c r="O1282" s="1">
        <v>17</v>
      </c>
      <c r="P1282" s="1">
        <v>15.7</v>
      </c>
      <c r="Q1282" s="11">
        <f>'Table H'!$J$136</f>
        <v>0.89875239992372125</v>
      </c>
      <c r="R1282" s="11">
        <f t="shared" si="41"/>
        <v>105654.6358778329</v>
      </c>
      <c r="S1282" s="11" t="str">
        <f t="shared" si="42"/>
        <v>Wayland RD</v>
      </c>
      <c r="T1282" s="11" t="s">
        <v>5310</v>
      </c>
      <c r="V1282" s="11" t="str">
        <f>INDEX('Lookup 1961'!$A$2:$A$1300, MATCH(S1282, 'Lookup 1961'!$B$2:$B$1300,0))</f>
        <v>J04001357</v>
      </c>
      <c r="W1282" s="11" t="str">
        <f>INDEX('Lookup 1961'!$F$2:$F$1300, MATCH(S1282, 'Lookup 1961'!$B$2:$B$1300,0))</f>
        <v>e250786</v>
      </c>
      <c r="X1282" s="11" t="str">
        <f>INDEX('Lookup 1961'!$C$2:$C$1300, MATCH(V1282, 'Lookup 1961'!$A$2:$A$1300,0))</f>
        <v>Norfolk</v>
      </c>
    </row>
    <row r="1283" spans="1:24" ht="25.05" customHeight="1" x14ac:dyDescent="0.3">
      <c r="A1283" s="4" t="s">
        <v>626</v>
      </c>
      <c r="B1283" s="4" t="s">
        <v>626</v>
      </c>
      <c r="S1283" s="11" t="str">
        <f t="shared" si="42"/>
        <v>NORTHAMPTON: RD</v>
      </c>
      <c r="T1283" s="11" t="s">
        <v>5310</v>
      </c>
      <c r="V1283" s="11" t="e">
        <f>INDEX('Lookup 1961'!$A$2:$A$1300, MATCH(S1283, 'Lookup 1961'!$B$2:$B$1300,0))</f>
        <v>#N/A</v>
      </c>
      <c r="W1283" s="11" t="e">
        <f>INDEX('Lookup 1961'!$F$2:$F$1300, MATCH(S1283, 'Lookup 1961'!$B$2:$B$1300,0))</f>
        <v>#N/A</v>
      </c>
      <c r="X1283" s="11" t="e">
        <f>INDEX('Lookup 1961'!$C$2:$C$1300, MATCH(V1283, 'Lookup 1961'!$A$2:$A$1300,0))</f>
        <v>#N/A</v>
      </c>
    </row>
    <row r="1284" spans="1:24" ht="25.05" customHeight="1" x14ac:dyDescent="0.3">
      <c r="A1284" s="4" t="s">
        <v>627</v>
      </c>
      <c r="B1284" s="4" t="s">
        <v>627</v>
      </c>
      <c r="C1284" s="1">
        <v>25</v>
      </c>
      <c r="D1284" s="1">
        <v>4</v>
      </c>
      <c r="E1284" s="1">
        <v>18</v>
      </c>
      <c r="F1284" s="1">
        <v>9</v>
      </c>
      <c r="G1284" s="1">
        <v>20</v>
      </c>
      <c r="H1284" s="1">
        <v>1</v>
      </c>
      <c r="I1284" s="1">
        <v>16</v>
      </c>
      <c r="J1284" s="1">
        <v>9</v>
      </c>
      <c r="K1284" s="6">
        <v>262</v>
      </c>
      <c r="L1284" s="6">
        <v>73052</v>
      </c>
      <c r="M1284" s="1">
        <v>78.099999999999994</v>
      </c>
      <c r="N1284" s="1">
        <v>6</v>
      </c>
      <c r="O1284" s="1">
        <v>10</v>
      </c>
      <c r="P1284" s="1">
        <v>35.9</v>
      </c>
      <c r="Q1284" s="11">
        <f>'Table H'!$J$141</f>
        <v>0.87345159831328489</v>
      </c>
      <c r="R1284" s="11">
        <f t="shared" si="41"/>
        <v>63807.386159982088</v>
      </c>
      <c r="S1284" s="11" t="str">
        <f t="shared" si="42"/>
        <v>Brackley RD</v>
      </c>
      <c r="T1284" s="11" t="s">
        <v>5310</v>
      </c>
      <c r="V1284" s="11" t="str">
        <f>INDEX('Lookup 1961'!$A$2:$A$1300, MATCH(S1284, 'Lookup 1961'!$B$2:$B$1300,0))</f>
        <v>J04000183</v>
      </c>
      <c r="W1284" s="11" t="str">
        <f>INDEX('Lookup 1961'!$F$2:$F$1300, MATCH(S1284, 'Lookup 1961'!$B$2:$B$1300,0))</f>
        <v>e260803</v>
      </c>
      <c r="X1284" s="11" t="str">
        <f>INDEX('Lookup 1961'!$C$2:$C$1300, MATCH(V1284, 'Lookup 1961'!$A$2:$A$1300,0))</f>
        <v>Northamptonshire</v>
      </c>
    </row>
    <row r="1285" spans="1:24" ht="25.05" customHeight="1" x14ac:dyDescent="0.3">
      <c r="A1285" s="4" t="s">
        <v>1094</v>
      </c>
      <c r="B1285" s="4" t="s">
        <v>1094</v>
      </c>
      <c r="C1285" s="1">
        <v>23</v>
      </c>
      <c r="D1285" s="1">
        <v>0</v>
      </c>
      <c r="E1285" s="1">
        <v>16</v>
      </c>
      <c r="F1285" s="1">
        <v>8</v>
      </c>
      <c r="G1285" s="1">
        <v>18</v>
      </c>
      <c r="H1285" s="1">
        <v>0</v>
      </c>
      <c r="I1285" s="1">
        <v>16</v>
      </c>
      <c r="J1285" s="1">
        <v>0</v>
      </c>
      <c r="K1285" s="6">
        <v>650</v>
      </c>
      <c r="L1285" s="6">
        <v>171689</v>
      </c>
      <c r="M1285" s="1">
        <v>68.400000000000006</v>
      </c>
      <c r="N1285" s="1">
        <v>7</v>
      </c>
      <c r="O1285" s="1">
        <v>14</v>
      </c>
      <c r="P1285" s="1">
        <v>22.1</v>
      </c>
      <c r="Q1285" s="11">
        <f>'Table H'!$J$141</f>
        <v>0.87345159831328489</v>
      </c>
      <c r="R1285" s="11">
        <f t="shared" si="41"/>
        <v>149962.03146280957</v>
      </c>
      <c r="S1285" s="11" t="str">
        <f t="shared" si="42"/>
        <v>Brixworth RD</v>
      </c>
      <c r="T1285" s="11" t="s">
        <v>5310</v>
      </c>
      <c r="V1285" s="11" t="str">
        <f>INDEX('Lookup 1961'!$A$2:$A$1300, MATCH(S1285, 'Lookup 1961'!$B$2:$B$1300,0))</f>
        <v>J04000215</v>
      </c>
      <c r="W1285" s="11" t="str">
        <f>INDEX('Lookup 1961'!$F$2:$F$1300, MATCH(S1285, 'Lookup 1961'!$B$2:$B$1300,0))</f>
        <v>e260804</v>
      </c>
      <c r="X1285" s="11" t="str">
        <f>INDEX('Lookup 1961'!$C$2:$C$1300, MATCH(V1285, 'Lookup 1961'!$A$2:$A$1300,0))</f>
        <v>Northamptonshire</v>
      </c>
    </row>
    <row r="1286" spans="1:24" ht="25.05" customHeight="1" x14ac:dyDescent="0.3">
      <c r="A1286" s="4" t="s">
        <v>628</v>
      </c>
      <c r="B1286" s="4" t="s">
        <v>628</v>
      </c>
      <c r="C1286" s="1">
        <v>23</v>
      </c>
      <c r="D1286" s="1">
        <v>0</v>
      </c>
      <c r="E1286" s="1">
        <v>16</v>
      </c>
      <c r="F1286" s="1">
        <v>0</v>
      </c>
      <c r="G1286" s="1">
        <v>16</v>
      </c>
      <c r="H1286" s="1">
        <v>10</v>
      </c>
      <c r="I1286" s="1">
        <v>15</v>
      </c>
      <c r="J1286" s="1">
        <v>8</v>
      </c>
      <c r="K1286" s="6">
        <v>506</v>
      </c>
      <c r="L1286" s="6">
        <v>130539</v>
      </c>
      <c r="M1286" s="1">
        <v>40.700000000000003</v>
      </c>
      <c r="N1286" s="1">
        <v>6</v>
      </c>
      <c r="O1286" s="1">
        <v>4</v>
      </c>
      <c r="P1286" s="1">
        <v>4.3</v>
      </c>
      <c r="Q1286" s="11">
        <f>'Table H'!$J$141</f>
        <v>0.87345159831328489</v>
      </c>
      <c r="R1286" s="11">
        <f t="shared" ref="R1286:R1350" si="43">Q1286*L1286</f>
        <v>114019.4981922179</v>
      </c>
      <c r="S1286" s="11" t="str">
        <f t="shared" si="42"/>
        <v>Daventry RD</v>
      </c>
      <c r="T1286" s="11" t="s">
        <v>5310</v>
      </c>
      <c r="V1286" s="11" t="str">
        <f>INDEX('Lookup 1961'!$A$2:$A$1300, MATCH(S1286, 'Lookup 1961'!$B$2:$B$1300,0))</f>
        <v>J04000389</v>
      </c>
      <c r="W1286" s="11" t="str">
        <f>INDEX('Lookup 1961'!$F$2:$F$1300, MATCH(S1286, 'Lookup 1961'!$B$2:$B$1300,0))</f>
        <v>e260805</v>
      </c>
      <c r="X1286" s="11" t="str">
        <f>INDEX('Lookup 1961'!$C$2:$C$1300, MATCH(V1286, 'Lookup 1961'!$A$2:$A$1300,0))</f>
        <v>Northamptonshire</v>
      </c>
    </row>
    <row r="1287" spans="1:24" ht="25.05" customHeight="1" x14ac:dyDescent="0.3">
      <c r="A1287" s="4" t="s">
        <v>630</v>
      </c>
      <c r="B1287" s="4" t="s">
        <v>630</v>
      </c>
      <c r="C1287" s="1">
        <v>24</v>
      </c>
      <c r="D1287" s="1">
        <v>6</v>
      </c>
      <c r="E1287" s="1">
        <v>16</v>
      </c>
      <c r="F1287" s="1">
        <v>8</v>
      </c>
      <c r="G1287" s="1">
        <v>17</v>
      </c>
      <c r="H1287" s="1">
        <v>4</v>
      </c>
      <c r="I1287" s="1">
        <v>16</v>
      </c>
      <c r="J1287" s="1">
        <v>8</v>
      </c>
      <c r="K1287" s="6">
        <v>475</v>
      </c>
      <c r="L1287" s="6">
        <v>128517</v>
      </c>
      <c r="M1287" s="1">
        <v>74.8</v>
      </c>
      <c r="N1287" s="1">
        <v>8</v>
      </c>
      <c r="O1287" s="1">
        <v>2</v>
      </c>
      <c r="P1287" s="1">
        <v>10.3</v>
      </c>
      <c r="Q1287" s="11">
        <f>'Table H'!$J$141</f>
        <v>0.87345159831328489</v>
      </c>
      <c r="R1287" s="11">
        <f t="shared" si="43"/>
        <v>112253.37906042843</v>
      </c>
      <c r="S1287" s="11" t="str">
        <f t="shared" si="42"/>
        <v>Kettering RD</v>
      </c>
      <c r="T1287" s="11" t="s">
        <v>5310</v>
      </c>
      <c r="V1287" s="11" t="str">
        <f>INDEX('Lookup 1961'!$A$2:$A$1300, MATCH(S1287, 'Lookup 1961'!$B$2:$B$1300,0))</f>
        <v>J04000688</v>
      </c>
      <c r="W1287" s="11" t="str">
        <f>INDEX('Lookup 1961'!$F$2:$F$1300, MATCH(S1287, 'Lookup 1961'!$B$2:$B$1300,0))</f>
        <v>e260807</v>
      </c>
      <c r="X1287" s="11" t="str">
        <f>INDEX('Lookup 1961'!$C$2:$C$1300, MATCH(V1287, 'Lookup 1961'!$A$2:$A$1300,0))</f>
        <v>Northamptonshire</v>
      </c>
    </row>
    <row r="1288" spans="1:24" ht="25.05" customHeight="1" x14ac:dyDescent="0.3">
      <c r="A1288" s="4" t="s">
        <v>111</v>
      </c>
      <c r="B1288" s="4" t="s">
        <v>111</v>
      </c>
      <c r="C1288" s="1">
        <v>23</v>
      </c>
      <c r="D1288" s="1">
        <v>10</v>
      </c>
      <c r="E1288" s="1">
        <v>16</v>
      </c>
      <c r="F1288" s="1">
        <v>0</v>
      </c>
      <c r="G1288" s="1">
        <v>16</v>
      </c>
      <c r="H1288" s="1">
        <v>11</v>
      </c>
      <c r="I1288" s="1">
        <v>16</v>
      </c>
      <c r="J1288" s="1">
        <v>0</v>
      </c>
      <c r="K1288" s="6">
        <v>948</v>
      </c>
      <c r="L1288" s="6">
        <v>232464</v>
      </c>
      <c r="M1288" s="1">
        <v>95.8</v>
      </c>
      <c r="N1288" s="1">
        <v>8</v>
      </c>
      <c r="O1288" s="1">
        <v>1</v>
      </c>
      <c r="P1288" s="1">
        <v>21.7</v>
      </c>
      <c r="Q1288" s="11">
        <f>'Table H'!$J$141</f>
        <v>0.87345159831328489</v>
      </c>
      <c r="R1288" s="11">
        <f t="shared" si="43"/>
        <v>203046.05235029946</v>
      </c>
      <c r="S1288" s="11" t="str">
        <f t="shared" ref="S1288" si="44">_xlfn.CONCAT(B1288," ",T1288)</f>
        <v>Northampton RD</v>
      </c>
      <c r="T1288" s="11" t="s">
        <v>5310</v>
      </c>
      <c r="V1288" s="11" t="str">
        <f>INDEX('Lookup 1961'!$A$2:$A$1300, MATCH(S1288, 'Lookup 1961'!$B$2:$B$1300,0))</f>
        <v>J04000933</v>
      </c>
      <c r="W1288" s="11" t="str">
        <f>INDEX('Lookup 1961'!$F$2:$F$1300, MATCH(S1288, 'Lookup 1961'!$B$2:$B$1300,0))</f>
        <v>e260787</v>
      </c>
      <c r="X1288" s="11" t="str">
        <f>INDEX('Lookup 1961'!$C$2:$C$1300, MATCH(V1288, 'Lookup 1961'!$A$2:$A$1300,0))</f>
        <v>Northamptonshire</v>
      </c>
    </row>
    <row r="1289" spans="1:24" ht="25.05" customHeight="1" x14ac:dyDescent="0.3">
      <c r="A1289" s="4" t="s">
        <v>5385</v>
      </c>
      <c r="B1289" s="4" t="s">
        <v>5321</v>
      </c>
      <c r="C1289" s="1">
        <v>21</v>
      </c>
      <c r="D1289" s="1">
        <v>8</v>
      </c>
      <c r="E1289" s="1">
        <v>15</v>
      </c>
      <c r="F1289" s="1">
        <v>4</v>
      </c>
      <c r="G1289" s="1">
        <v>16</v>
      </c>
      <c r="H1289" s="1">
        <v>6</v>
      </c>
      <c r="I1289" s="1">
        <v>15</v>
      </c>
      <c r="J1289" s="1">
        <v>2</v>
      </c>
      <c r="K1289" s="6">
        <v>480</v>
      </c>
      <c r="L1289" s="6">
        <v>125247</v>
      </c>
      <c r="M1289" s="1">
        <v>58.9</v>
      </c>
      <c r="N1289" s="1">
        <v>5</v>
      </c>
      <c r="O1289" s="1">
        <v>2</v>
      </c>
      <c r="P1289" s="1">
        <v>12.7</v>
      </c>
      <c r="Q1289" s="11">
        <f>'Table H'!$J$141</f>
        <v>0.87345159831328489</v>
      </c>
      <c r="R1289" s="11">
        <f t="shared" ref="R1289" si="45">Q1289*L1289</f>
        <v>109397.192333944</v>
      </c>
      <c r="S1289" s="11" t="str">
        <f t="shared" ref="S1289" si="46">_xlfn.CONCAT(B1289," ",T1289)</f>
        <v>Oundle and Thrapston RD</v>
      </c>
      <c r="T1289" s="11" t="s">
        <v>5310</v>
      </c>
      <c r="V1289" s="11" t="str">
        <f>INDEX('Lookup 1961'!$A$2:$A$1300, MATCH(S1289, 'Lookup 1961'!$B$2:$B$1300,0))</f>
        <v>J04000965</v>
      </c>
      <c r="W1289" s="11" t="str">
        <f>INDEX('Lookup 1961'!$F$2:$F$1300, MATCH(S1289, 'Lookup 1961'!$B$2:$B$1300,0))</f>
        <v>e260810</v>
      </c>
      <c r="X1289" s="11" t="str">
        <f>INDEX('Lookup 1961'!$C$2:$C$1300, MATCH(V1289, 'Lookup 1961'!$A$2:$A$1300,0))</f>
        <v>Northamptonshire</v>
      </c>
    </row>
    <row r="1290" spans="1:24" ht="25.05" customHeight="1" x14ac:dyDescent="0.3">
      <c r="A1290" s="4" t="s">
        <v>1095</v>
      </c>
      <c r="B1290" s="4" t="s">
        <v>1095</v>
      </c>
      <c r="C1290" s="1">
        <v>25</v>
      </c>
      <c r="D1290" s="1">
        <v>7</v>
      </c>
      <c r="E1290" s="1">
        <v>18</v>
      </c>
      <c r="F1290" s="1">
        <v>7</v>
      </c>
      <c r="G1290" s="1">
        <v>19</v>
      </c>
      <c r="H1290" s="1">
        <v>4</v>
      </c>
      <c r="I1290" s="1">
        <v>14</v>
      </c>
      <c r="J1290" s="1">
        <v>11</v>
      </c>
      <c r="K1290" s="6">
        <v>463</v>
      </c>
      <c r="L1290" s="6">
        <v>115040</v>
      </c>
      <c r="M1290" s="1">
        <v>78.099999999999994</v>
      </c>
      <c r="N1290" s="1">
        <v>7</v>
      </c>
      <c r="O1290" s="1">
        <v>5</v>
      </c>
      <c r="P1290" s="1">
        <v>30.9</v>
      </c>
      <c r="Q1290" s="11">
        <f>'Table H'!$J$141</f>
        <v>0.87345159831328489</v>
      </c>
      <c r="R1290" s="11">
        <f t="shared" si="43"/>
        <v>100481.87186996029</v>
      </c>
      <c r="S1290" s="11" t="str">
        <f t="shared" si="42"/>
        <v>Towcester RD</v>
      </c>
      <c r="T1290" s="11" t="s">
        <v>5310</v>
      </c>
      <c r="V1290" s="11" t="str">
        <f>INDEX('Lookup 1961'!$A$2:$A$1300, MATCH(S1290, 'Lookup 1961'!$B$2:$B$1300,0))</f>
        <v>J04001292</v>
      </c>
      <c r="W1290" s="11" t="str">
        <f>INDEX('Lookup 1961'!$F$2:$F$1300, MATCH(S1290, 'Lookup 1961'!$B$2:$B$1300,0))</f>
        <v>e260811</v>
      </c>
      <c r="X1290" s="11" t="str">
        <f>INDEX('Lookup 1961'!$C$2:$C$1300, MATCH(V1290, 'Lookup 1961'!$A$2:$A$1300,0))</f>
        <v>Northamptonshire</v>
      </c>
    </row>
    <row r="1291" spans="1:24" ht="25.05" customHeight="1" x14ac:dyDescent="0.3">
      <c r="A1291" s="4" t="s">
        <v>639</v>
      </c>
      <c r="B1291" s="4" t="s">
        <v>639</v>
      </c>
      <c r="C1291" s="1">
        <v>24</v>
      </c>
      <c r="D1291" s="1">
        <v>5</v>
      </c>
      <c r="E1291" s="1">
        <v>16</v>
      </c>
      <c r="F1291" s="1">
        <v>3</v>
      </c>
      <c r="G1291" s="1">
        <v>18</v>
      </c>
      <c r="H1291" s="1">
        <v>2</v>
      </c>
      <c r="I1291" s="1">
        <v>16</v>
      </c>
      <c r="J1291" s="1">
        <v>6</v>
      </c>
      <c r="K1291" s="6">
        <v>465</v>
      </c>
      <c r="L1291" s="6">
        <v>117887</v>
      </c>
      <c r="M1291" s="1">
        <v>83.4</v>
      </c>
      <c r="N1291" s="1">
        <v>7</v>
      </c>
      <c r="O1291" s="1">
        <v>5</v>
      </c>
      <c r="P1291" s="1">
        <v>25.3</v>
      </c>
      <c r="Q1291" s="11">
        <f>'Table H'!$J$141</f>
        <v>0.87345159831328489</v>
      </c>
      <c r="R1291" s="11">
        <f t="shared" si="43"/>
        <v>102968.58857035822</v>
      </c>
      <c r="S1291" s="11" t="str">
        <f t="shared" ref="S1291:S1354" si="47">_xlfn.CONCAT(B1291," ",T1291)</f>
        <v>Wellingborough RD</v>
      </c>
      <c r="T1291" s="11" t="s">
        <v>5310</v>
      </c>
      <c r="V1291" s="11" t="str">
        <f>INDEX('Lookup 1961'!$A$2:$A$1300, MATCH(S1291, 'Lookup 1961'!$B$2:$B$1300,0))</f>
        <v>J04001361</v>
      </c>
      <c r="W1291" s="11" t="str">
        <f>INDEX('Lookup 1961'!$F$2:$F$1300, MATCH(S1291, 'Lookup 1961'!$B$2:$B$1300,0))</f>
        <v>e260812</v>
      </c>
      <c r="X1291" s="11" t="str">
        <f>INDEX('Lookup 1961'!$C$2:$C$1300, MATCH(V1291, 'Lookup 1961'!$A$2:$A$1300,0))</f>
        <v>Northamptonshire</v>
      </c>
    </row>
    <row r="1292" spans="1:24" ht="25.05" customHeight="1" x14ac:dyDescent="0.3">
      <c r="A1292" s="4" t="s">
        <v>640</v>
      </c>
      <c r="B1292" s="4" t="s">
        <v>640</v>
      </c>
      <c r="S1292" s="11" t="str">
        <f t="shared" si="47"/>
        <v>NORTHUMBERLAND: RD</v>
      </c>
      <c r="T1292" s="11" t="s">
        <v>5310</v>
      </c>
      <c r="V1292" s="11" t="e">
        <f>INDEX('Lookup 1961'!$A$2:$A$1300, MATCH(S1292, 'Lookup 1961'!$B$2:$B$1300,0))</f>
        <v>#N/A</v>
      </c>
      <c r="W1292" s="11" t="e">
        <f>INDEX('Lookup 1961'!$F$2:$F$1300, MATCH(S1292, 'Lookup 1961'!$B$2:$B$1300,0))</f>
        <v>#N/A</v>
      </c>
      <c r="X1292" s="11" t="e">
        <f>INDEX('Lookup 1961'!$C$2:$C$1300, MATCH(V1292, 'Lookup 1961'!$A$2:$A$1300,0))</f>
        <v>#N/A</v>
      </c>
    </row>
    <row r="1293" spans="1:24" ht="25.05" customHeight="1" x14ac:dyDescent="0.3">
      <c r="A1293" s="4" t="s">
        <v>646</v>
      </c>
      <c r="B1293" s="4" t="s">
        <v>646</v>
      </c>
      <c r="C1293" s="1">
        <v>23</v>
      </c>
      <c r="D1293" s="1">
        <v>10</v>
      </c>
      <c r="E1293" s="1">
        <v>16</v>
      </c>
      <c r="F1293" s="1">
        <v>6</v>
      </c>
      <c r="G1293" s="1">
        <v>18</v>
      </c>
      <c r="H1293" s="1">
        <v>6</v>
      </c>
      <c r="I1293" s="1">
        <v>16</v>
      </c>
      <c r="J1293" s="1">
        <v>6</v>
      </c>
      <c r="K1293" s="6">
        <v>355</v>
      </c>
      <c r="L1293" s="6">
        <v>96088</v>
      </c>
      <c r="M1293" s="1">
        <v>65.900000000000006</v>
      </c>
      <c r="N1293" s="1">
        <v>6</v>
      </c>
      <c r="O1293" s="1">
        <v>1</v>
      </c>
      <c r="P1293" s="1">
        <v>11.5</v>
      </c>
      <c r="Q1293" s="11">
        <f>'Table H'!$J$146</f>
        <v>0.88565504310733034</v>
      </c>
      <c r="R1293" s="11">
        <f t="shared" si="43"/>
        <v>85100.821782097162</v>
      </c>
      <c r="S1293" s="11" t="str">
        <f t="shared" si="47"/>
        <v>Alnwick RD</v>
      </c>
      <c r="T1293" s="11" t="s">
        <v>5310</v>
      </c>
      <c r="V1293" s="11" t="str">
        <f>INDEX('Lookup 1961'!$A$2:$A$1300, MATCH(S1293, 'Lookup 1961'!$B$2:$B$1300,0))</f>
        <v>J04000028</v>
      </c>
      <c r="W1293" s="11" t="str">
        <f>INDEX('Lookup 1961'!$F$2:$F$1300, MATCH(S1293, 'Lookup 1961'!$B$2:$B$1300,0))</f>
        <v>e270832</v>
      </c>
      <c r="X1293" s="11" t="str">
        <f>INDEX('Lookup 1961'!$C$2:$C$1300, MATCH(V1293, 'Lookup 1961'!$A$2:$A$1300,0))</f>
        <v>Northumberland</v>
      </c>
    </row>
    <row r="1294" spans="1:24" ht="25.05" customHeight="1" x14ac:dyDescent="0.3">
      <c r="A1294" s="4" t="s">
        <v>1096</v>
      </c>
      <c r="B1294" s="4" t="s">
        <v>1096</v>
      </c>
      <c r="C1294" s="1">
        <v>17</v>
      </c>
      <c r="D1294" s="1">
        <v>4</v>
      </c>
      <c r="E1294" s="1">
        <v>13</v>
      </c>
      <c r="F1294" s="1">
        <v>8</v>
      </c>
      <c r="G1294" s="1">
        <v>15</v>
      </c>
      <c r="H1294" s="1">
        <v>5</v>
      </c>
      <c r="I1294" s="1">
        <v>13</v>
      </c>
      <c r="J1294" s="1">
        <v>8</v>
      </c>
      <c r="K1294" s="6">
        <v>190</v>
      </c>
      <c r="L1294" s="6">
        <v>51814</v>
      </c>
      <c r="M1294" s="1">
        <v>77.900000000000006</v>
      </c>
      <c r="N1294" s="1">
        <v>7</v>
      </c>
      <c r="O1294" s="1">
        <v>1</v>
      </c>
      <c r="P1294" s="1">
        <v>37.200000000000003</v>
      </c>
      <c r="Q1294" s="11">
        <f>'Table H'!$J$146</f>
        <v>0.88565504310733034</v>
      </c>
      <c r="R1294" s="11">
        <f t="shared" si="43"/>
        <v>45889.330403563217</v>
      </c>
      <c r="S1294" s="11" t="str">
        <f t="shared" si="47"/>
        <v>Belford RD</v>
      </c>
      <c r="T1294" s="11" t="s">
        <v>5310</v>
      </c>
      <c r="V1294" s="11" t="str">
        <f>INDEX('Lookup 1961'!$A$2:$A$1300, MATCH(S1294, 'Lookup 1961'!$B$2:$B$1300,0))</f>
        <v>J04000119</v>
      </c>
      <c r="W1294" s="11" t="str">
        <f>INDEX('Lookup 1961'!$F$2:$F$1300, MATCH(S1294, 'Lookup 1961'!$B$2:$B$1300,0))</f>
        <v>e270833</v>
      </c>
      <c r="X1294" s="11" t="str">
        <f>INDEX('Lookup 1961'!$C$2:$C$1300, MATCH(V1294, 'Lookup 1961'!$A$2:$A$1300,0))</f>
        <v>Northumberland</v>
      </c>
    </row>
    <row r="1295" spans="1:24" ht="25.05" customHeight="1" x14ac:dyDescent="0.3">
      <c r="A1295" s="4" t="s">
        <v>1097</v>
      </c>
      <c r="B1295" s="4" t="s">
        <v>1097</v>
      </c>
      <c r="C1295" s="1">
        <v>19</v>
      </c>
      <c r="D1295" s="1">
        <v>0</v>
      </c>
      <c r="E1295" s="1">
        <v>14</v>
      </c>
      <c r="F1295" s="1">
        <v>6</v>
      </c>
      <c r="G1295" s="1">
        <v>15</v>
      </c>
      <c r="H1295" s="1">
        <v>1</v>
      </c>
      <c r="I1295" s="1">
        <v>14</v>
      </c>
      <c r="J1295" s="1">
        <v>6</v>
      </c>
      <c r="K1295" s="6">
        <v>300</v>
      </c>
      <c r="L1295" s="6">
        <v>75161</v>
      </c>
      <c r="M1295" s="1">
        <v>59.9</v>
      </c>
      <c r="N1295" s="1">
        <v>9</v>
      </c>
      <c r="O1295" s="1">
        <v>6</v>
      </c>
      <c r="P1295" s="1">
        <v>16.8</v>
      </c>
      <c r="Q1295" s="11">
        <f>'Table H'!$J$146</f>
        <v>0.88565504310733034</v>
      </c>
      <c r="R1295" s="11">
        <f t="shared" si="43"/>
        <v>66566.71869499005</v>
      </c>
      <c r="S1295" s="11" t="str">
        <f t="shared" si="47"/>
        <v>Bellingham RD</v>
      </c>
      <c r="T1295" s="11" t="s">
        <v>5310</v>
      </c>
      <c r="V1295" s="11" t="str">
        <f>INDEX('Lookup 1961'!$A$2:$A$1300, MATCH(S1295, 'Lookup 1961'!$B$2:$B$1300,0))</f>
        <v>J04000120</v>
      </c>
      <c r="W1295" s="11" t="str">
        <f>INDEX('Lookup 1961'!$F$2:$F$1300, MATCH(S1295, 'Lookup 1961'!$B$2:$B$1300,0))</f>
        <v>e270834</v>
      </c>
      <c r="X1295" s="11" t="str">
        <f>INDEX('Lookup 1961'!$C$2:$C$1300, MATCH(V1295, 'Lookup 1961'!$A$2:$A$1300,0))</f>
        <v>Northumberland</v>
      </c>
    </row>
    <row r="1296" spans="1:24" ht="25.05" customHeight="1" x14ac:dyDescent="0.3">
      <c r="A1296" s="4" t="s">
        <v>1098</v>
      </c>
      <c r="B1296" s="4" t="s">
        <v>1098</v>
      </c>
      <c r="C1296" s="1">
        <v>22</v>
      </c>
      <c r="D1296" s="1">
        <v>4</v>
      </c>
      <c r="E1296" s="1">
        <v>16</v>
      </c>
      <c r="F1296" s="1">
        <v>0</v>
      </c>
      <c r="G1296" s="1">
        <v>18</v>
      </c>
      <c r="H1296" s="1">
        <v>0</v>
      </c>
      <c r="I1296" s="1">
        <v>16</v>
      </c>
      <c r="J1296" s="1">
        <v>0</v>
      </c>
      <c r="K1296" s="6">
        <v>800</v>
      </c>
      <c r="L1296" s="6">
        <v>210081</v>
      </c>
      <c r="M1296" s="1">
        <v>60.2</v>
      </c>
      <c r="N1296" s="1">
        <v>9</v>
      </c>
      <c r="O1296" s="1">
        <v>5</v>
      </c>
      <c r="P1296" s="1">
        <v>2.1</v>
      </c>
      <c r="Q1296" s="11">
        <f>'Table H'!$J$146</f>
        <v>0.88565504310733034</v>
      </c>
      <c r="R1296" s="11">
        <f t="shared" si="43"/>
        <v>186059.29711103108</v>
      </c>
      <c r="S1296" s="11" t="str">
        <f t="shared" si="47"/>
        <v>Castle Ward RD</v>
      </c>
      <c r="T1296" s="11" t="s">
        <v>5310</v>
      </c>
      <c r="V1296" s="11" t="str">
        <f>INDEX('Lookup 1961'!$A$2:$A$1300, MATCH(S1296, 'Lookup 1961'!$B$2:$B$1300,0))</f>
        <v>J04000272</v>
      </c>
      <c r="W1296" s="11" t="str">
        <f>INDEX('Lookup 1961'!$F$2:$F$1300, MATCH(S1296, 'Lookup 1961'!$B$2:$B$1300,0))</f>
        <v>e270835</v>
      </c>
      <c r="X1296" s="11" t="str">
        <f>INDEX('Lookup 1961'!$C$2:$C$1300, MATCH(V1296, 'Lookup 1961'!$A$2:$A$1300,0))</f>
        <v>Northumberland</v>
      </c>
    </row>
    <row r="1297" spans="1:24" ht="25.05" customHeight="1" x14ac:dyDescent="0.3">
      <c r="A1297" s="4" t="s">
        <v>1099</v>
      </c>
      <c r="B1297" s="4" t="s">
        <v>1099</v>
      </c>
      <c r="C1297" s="1">
        <v>22</v>
      </c>
      <c r="D1297" s="1">
        <v>2</v>
      </c>
      <c r="E1297" s="1">
        <v>15</v>
      </c>
      <c r="F1297" s="1">
        <v>6</v>
      </c>
      <c r="G1297" s="1">
        <v>16</v>
      </c>
      <c r="H1297" s="1">
        <v>0</v>
      </c>
      <c r="I1297" s="1">
        <v>15</v>
      </c>
      <c r="J1297" s="1">
        <v>6</v>
      </c>
      <c r="K1297" s="6">
        <v>230</v>
      </c>
      <c r="L1297" s="6">
        <v>56692</v>
      </c>
      <c r="M1297" s="1">
        <v>70.3</v>
      </c>
      <c r="N1297" s="1">
        <v>5</v>
      </c>
      <c r="O1297" s="1">
        <v>12</v>
      </c>
      <c r="P1297" s="1">
        <v>17.8</v>
      </c>
      <c r="Q1297" s="11">
        <f>'Table H'!$J$146</f>
        <v>0.88565504310733034</v>
      </c>
      <c r="R1297" s="11">
        <f t="shared" si="43"/>
        <v>50209.555703840771</v>
      </c>
      <c r="S1297" s="11" t="str">
        <f t="shared" si="47"/>
        <v>Glendale RD</v>
      </c>
      <c r="T1297" s="11" t="s">
        <v>5310</v>
      </c>
      <c r="V1297" s="11" t="str">
        <f>INDEX('Lookup 1961'!$A$2:$A$1300, MATCH(S1297, 'Lookup 1961'!$B$2:$B$1300,0))</f>
        <v>J04000534</v>
      </c>
      <c r="W1297" s="11" t="str">
        <f>INDEX('Lookup 1961'!$F$2:$F$1300, MATCH(S1297, 'Lookup 1961'!$B$2:$B$1300,0))</f>
        <v>e270837</v>
      </c>
      <c r="X1297" s="11" t="str">
        <f>INDEX('Lookup 1961'!$C$2:$C$1300, MATCH(V1297, 'Lookup 1961'!$A$2:$A$1300,0))</f>
        <v>Northumberland</v>
      </c>
    </row>
    <row r="1298" spans="1:24" ht="25.05" customHeight="1" x14ac:dyDescent="0.3">
      <c r="A1298" s="4" t="s">
        <v>1100</v>
      </c>
      <c r="B1298" s="4" t="s">
        <v>1100</v>
      </c>
      <c r="C1298" s="1">
        <v>19</v>
      </c>
      <c r="D1298" s="1">
        <v>6</v>
      </c>
      <c r="E1298" s="1">
        <v>14</v>
      </c>
      <c r="F1298" s="1">
        <v>6</v>
      </c>
      <c r="G1298" s="1">
        <v>15</v>
      </c>
      <c r="H1298" s="1">
        <v>10</v>
      </c>
      <c r="I1298" s="1">
        <v>14</v>
      </c>
      <c r="J1298" s="1">
        <v>6</v>
      </c>
      <c r="K1298" s="6">
        <v>195</v>
      </c>
      <c r="L1298" s="6">
        <v>52820</v>
      </c>
      <c r="M1298" s="1">
        <v>31.9</v>
      </c>
      <c r="N1298" s="1">
        <v>5</v>
      </c>
      <c r="O1298" s="1">
        <v>1</v>
      </c>
      <c r="P1298" s="1">
        <v>1.1000000000000001</v>
      </c>
      <c r="Q1298" s="11">
        <f>'Table H'!$J$146</f>
        <v>0.88565504310733034</v>
      </c>
      <c r="R1298" s="11">
        <f t="shared" si="43"/>
        <v>46780.299376929186</v>
      </c>
      <c r="S1298" s="11" t="str">
        <f t="shared" si="47"/>
        <v>Haltwhistle RD</v>
      </c>
      <c r="T1298" s="11" t="s">
        <v>5310</v>
      </c>
      <c r="V1298" s="11" t="str">
        <f>INDEX('Lookup 1961'!$A$2:$A$1300, MATCH(S1298, 'Lookup 1961'!$B$2:$B$1300,0))</f>
        <v>J04000570</v>
      </c>
      <c r="W1298" s="11" t="str">
        <f>INDEX('Lookup 1961'!$F$2:$F$1300, MATCH(S1298, 'Lookup 1961'!$B$2:$B$1300,0))</f>
        <v>e270838</v>
      </c>
      <c r="X1298" s="11" t="str">
        <f>INDEX('Lookup 1961'!$C$2:$C$1300, MATCH(V1298, 'Lookup 1961'!$A$2:$A$1300,0))</f>
        <v>Northumberland</v>
      </c>
    </row>
    <row r="1299" spans="1:24" ht="25.05" customHeight="1" x14ac:dyDescent="0.3">
      <c r="A1299" s="4" t="s">
        <v>651</v>
      </c>
      <c r="B1299" s="4" t="s">
        <v>651</v>
      </c>
      <c r="C1299" s="1">
        <v>18</v>
      </c>
      <c r="D1299" s="1">
        <v>9</v>
      </c>
      <c r="E1299" s="1">
        <v>13</v>
      </c>
      <c r="F1299" s="1">
        <v>1</v>
      </c>
      <c r="G1299" s="1">
        <v>14</v>
      </c>
      <c r="H1299" s="1">
        <v>4</v>
      </c>
      <c r="I1299" s="1">
        <v>13</v>
      </c>
      <c r="J1299" s="1">
        <v>1</v>
      </c>
      <c r="K1299" s="6">
        <v>818</v>
      </c>
      <c r="L1299" s="6">
        <v>206549</v>
      </c>
      <c r="M1299" s="1">
        <v>37.299999999999997</v>
      </c>
      <c r="N1299" s="1">
        <v>6</v>
      </c>
      <c r="O1299" s="1">
        <v>15</v>
      </c>
      <c r="P1299" s="1">
        <v>3.2</v>
      </c>
      <c r="Q1299" s="11">
        <f>'Table H'!$J$146</f>
        <v>0.88565504310733034</v>
      </c>
      <c r="R1299" s="11">
        <f t="shared" si="43"/>
        <v>182931.16349877598</v>
      </c>
      <c r="S1299" s="11" t="str">
        <f t="shared" si="47"/>
        <v>Hexham RD</v>
      </c>
      <c r="T1299" s="11" t="s">
        <v>5310</v>
      </c>
      <c r="V1299" s="11" t="str">
        <f>INDEX('Lookup 1961'!$A$2:$A$1300, MATCH(S1299, 'Lookup 1961'!$B$2:$B$1300,0))</f>
        <v>J04000618</v>
      </c>
      <c r="W1299" s="11" t="str">
        <f>INDEX('Lookup 1961'!$F$2:$F$1300, MATCH(S1299, 'Lookup 1961'!$B$2:$B$1300,0))</f>
        <v>e270839</v>
      </c>
      <c r="X1299" s="11" t="str">
        <f>INDEX('Lookup 1961'!$C$2:$C$1300, MATCH(V1299, 'Lookup 1961'!$A$2:$A$1300,0))</f>
        <v>Northumberland</v>
      </c>
    </row>
    <row r="1300" spans="1:24" ht="25.05" customHeight="1" x14ac:dyDescent="0.3">
      <c r="A1300" s="4" t="s">
        <v>643</v>
      </c>
      <c r="B1300" s="4" t="s">
        <v>643</v>
      </c>
      <c r="C1300" s="1">
        <v>22</v>
      </c>
      <c r="D1300" s="1">
        <v>7</v>
      </c>
      <c r="E1300" s="1">
        <v>16</v>
      </c>
      <c r="F1300" s="1">
        <v>3</v>
      </c>
      <c r="G1300" s="1">
        <v>17</v>
      </c>
      <c r="H1300" s="1">
        <v>2</v>
      </c>
      <c r="I1300" s="1">
        <v>16</v>
      </c>
      <c r="J1300" s="1">
        <v>3</v>
      </c>
      <c r="K1300" s="6">
        <v>520</v>
      </c>
      <c r="L1300" s="6">
        <v>137536</v>
      </c>
      <c r="M1300" s="1">
        <v>69.7</v>
      </c>
      <c r="N1300" s="1">
        <v>6</v>
      </c>
      <c r="O1300" s="1">
        <v>0</v>
      </c>
      <c r="P1300" s="1">
        <v>22.8</v>
      </c>
      <c r="Q1300" s="11">
        <f>'Table H'!$J$146</f>
        <v>0.88565504310733034</v>
      </c>
      <c r="R1300" s="11">
        <f t="shared" si="43"/>
        <v>121809.45200880979</v>
      </c>
      <c r="S1300" s="11" t="str">
        <f t="shared" si="47"/>
        <v>Morpeth RD</v>
      </c>
      <c r="T1300" s="11" t="s">
        <v>5310</v>
      </c>
      <c r="V1300" s="11" t="str">
        <f>INDEX('Lookup 1961'!$A$2:$A$1300, MATCH(S1300, 'Lookup 1961'!$B$2:$B$1300,0))</f>
        <v>J04000871</v>
      </c>
      <c r="W1300" s="11" t="str">
        <f>INDEX('Lookup 1961'!$F$2:$F$1300, MATCH(S1300, 'Lookup 1961'!$B$2:$B$1300,0))</f>
        <v>e270840</v>
      </c>
      <c r="X1300" s="11" t="str">
        <f>INDEX('Lookup 1961'!$C$2:$C$1300, MATCH(V1300, 'Lookup 1961'!$A$2:$A$1300,0))</f>
        <v>Northumberland</v>
      </c>
    </row>
    <row r="1301" spans="1:24" ht="25.05" customHeight="1" x14ac:dyDescent="0.3">
      <c r="A1301" s="4" t="s">
        <v>1101</v>
      </c>
      <c r="B1301" s="4" t="s">
        <v>1101</v>
      </c>
      <c r="C1301" s="1">
        <v>22</v>
      </c>
      <c r="D1301" s="1">
        <v>0</v>
      </c>
      <c r="E1301" s="1">
        <v>17</v>
      </c>
      <c r="F1301" s="1">
        <v>2</v>
      </c>
      <c r="G1301" s="1">
        <v>17</v>
      </c>
      <c r="H1301" s="1">
        <v>10</v>
      </c>
      <c r="I1301" s="1">
        <v>17</v>
      </c>
      <c r="J1301" s="1">
        <v>2</v>
      </c>
      <c r="K1301" s="6">
        <v>123</v>
      </c>
      <c r="L1301" s="6">
        <v>31685</v>
      </c>
      <c r="M1301" s="1">
        <v>60.1</v>
      </c>
      <c r="N1301" s="1">
        <v>6</v>
      </c>
      <c r="O1301" s="1">
        <v>1</v>
      </c>
      <c r="P1301" s="1">
        <v>25.5</v>
      </c>
      <c r="Q1301" s="11">
        <f>'Table H'!$J$146</f>
        <v>0.88565504310733034</v>
      </c>
      <c r="R1301" s="11">
        <f t="shared" si="43"/>
        <v>28061.98004085576</v>
      </c>
      <c r="S1301" s="11" t="str">
        <f t="shared" si="47"/>
        <v>Norham and Islandshires RD</v>
      </c>
      <c r="T1301" s="11" t="s">
        <v>5310</v>
      </c>
      <c r="V1301" s="11" t="str">
        <f>INDEX('Lookup 1961'!$A$2:$A$1300, MATCH(S1301, 'Lookup 1961'!$B$2:$B$1300,0))</f>
        <v>J04000920</v>
      </c>
      <c r="W1301" s="11" t="str">
        <f>INDEX('Lookup 1961'!$F$2:$F$1300, MATCH(S1301, 'Lookup 1961'!$B$2:$B$1300,0))</f>
        <v>e270841</v>
      </c>
      <c r="X1301" s="11" t="str">
        <f>INDEX('Lookup 1961'!$C$2:$C$1300, MATCH(V1301, 'Lookup 1961'!$A$2:$A$1300,0))</f>
        <v>Northumberland</v>
      </c>
    </row>
    <row r="1302" spans="1:24" ht="25.05" customHeight="1" x14ac:dyDescent="0.3">
      <c r="A1302" s="4" t="s">
        <v>1102</v>
      </c>
      <c r="B1302" s="4" t="s">
        <v>1102</v>
      </c>
      <c r="C1302" s="1">
        <v>17</v>
      </c>
      <c r="D1302" s="1">
        <v>2</v>
      </c>
      <c r="E1302" s="1">
        <v>12</v>
      </c>
      <c r="F1302" s="1">
        <v>8</v>
      </c>
      <c r="G1302" s="1">
        <v>15</v>
      </c>
      <c r="H1302" s="1">
        <v>2</v>
      </c>
      <c r="I1302" s="1">
        <v>12</v>
      </c>
      <c r="J1302" s="1">
        <v>8</v>
      </c>
      <c r="K1302" s="6">
        <v>225</v>
      </c>
      <c r="L1302" s="6">
        <v>58670</v>
      </c>
      <c r="M1302" s="1">
        <v>42.8</v>
      </c>
      <c r="N1302" s="1">
        <v>7</v>
      </c>
      <c r="O1302" s="1">
        <v>4</v>
      </c>
      <c r="P1302" s="1">
        <v>7.5</v>
      </c>
      <c r="Q1302" s="11">
        <f>'Table H'!$J$146</f>
        <v>0.88565504310733034</v>
      </c>
      <c r="R1302" s="11">
        <f t="shared" si="43"/>
        <v>51961.381379107072</v>
      </c>
      <c r="S1302" s="11" t="str">
        <f t="shared" si="47"/>
        <v>Rothbury RD</v>
      </c>
      <c r="T1302" s="11" t="s">
        <v>5310</v>
      </c>
      <c r="V1302" s="11" t="str">
        <f>INDEX('Lookup 1961'!$A$2:$A$1300, MATCH(S1302, 'Lookup 1961'!$B$2:$B$1300,0))</f>
        <v>J04001066</v>
      </c>
      <c r="W1302" s="11" t="str">
        <f>INDEX('Lookup 1961'!$F$2:$F$1300, MATCH(S1302, 'Lookup 1961'!$B$2:$B$1300,0))</f>
        <v>e270842</v>
      </c>
      <c r="X1302" s="11" t="str">
        <f>INDEX('Lookup 1961'!$C$2:$C$1300, MATCH(V1302, 'Lookup 1961'!$A$2:$A$1300,0))</f>
        <v>Northumberland</v>
      </c>
    </row>
    <row r="1303" spans="1:24" ht="25.05" customHeight="1" x14ac:dyDescent="0.3">
      <c r="A1303" s="4" t="s">
        <v>657</v>
      </c>
      <c r="B1303" s="4" t="s">
        <v>657</v>
      </c>
      <c r="S1303" s="11" t="str">
        <f t="shared" si="47"/>
        <v>NOTTINGHAM: RD</v>
      </c>
      <c r="T1303" s="11" t="s">
        <v>5310</v>
      </c>
      <c r="V1303" s="11" t="e">
        <f>INDEX('Lookup 1961'!$A$2:$A$1300, MATCH(S1303, 'Lookup 1961'!$B$2:$B$1300,0))</f>
        <v>#N/A</v>
      </c>
      <c r="W1303" s="11" t="e">
        <f>INDEX('Lookup 1961'!$F$2:$F$1300, MATCH(S1303, 'Lookup 1961'!$B$2:$B$1300,0))</f>
        <v>#N/A</v>
      </c>
      <c r="X1303" s="11" t="e">
        <f>INDEX('Lookup 1961'!$C$2:$C$1300, MATCH(V1303, 'Lookup 1961'!$A$2:$A$1300,0))</f>
        <v>#N/A</v>
      </c>
    </row>
    <row r="1304" spans="1:24" ht="25.05" customHeight="1" x14ac:dyDescent="0.3">
      <c r="A1304" s="4" t="s">
        <v>1103</v>
      </c>
      <c r="B1304" s="4" t="s">
        <v>1103</v>
      </c>
      <c r="C1304" s="1">
        <v>20</v>
      </c>
      <c r="D1304" s="1">
        <v>5</v>
      </c>
      <c r="E1304" s="1">
        <v>15</v>
      </c>
      <c r="F1304" s="1">
        <v>6</v>
      </c>
      <c r="G1304" s="1">
        <v>17</v>
      </c>
      <c r="H1304" s="1">
        <v>6</v>
      </c>
      <c r="I1304" s="1">
        <v>15</v>
      </c>
      <c r="J1304" s="1">
        <v>6</v>
      </c>
      <c r="K1304" s="6">
        <v>1950</v>
      </c>
      <c r="L1304" s="6">
        <v>509874</v>
      </c>
      <c r="M1304" s="1">
        <v>80.3</v>
      </c>
      <c r="N1304" s="1">
        <v>7</v>
      </c>
      <c r="O1304" s="1">
        <v>17</v>
      </c>
      <c r="P1304" s="1">
        <v>37.700000000000003</v>
      </c>
      <c r="Q1304" s="11">
        <f>'Table H'!$J$151</f>
        <v>0.80815151424332787</v>
      </c>
      <c r="R1304" s="11">
        <f t="shared" si="43"/>
        <v>412055.44517330255</v>
      </c>
      <c r="S1304" s="11" t="str">
        <f t="shared" si="47"/>
        <v>Basford RD</v>
      </c>
      <c r="T1304" s="11" t="s">
        <v>5310</v>
      </c>
      <c r="V1304" s="11" t="str">
        <f>INDEX('Lookup 1961'!$A$2:$A$1300, MATCH(S1304, 'Lookup 1961'!$B$2:$B$1300,0))</f>
        <v>J04000095</v>
      </c>
      <c r="W1304" s="11" t="str">
        <f>INDEX('Lookup 1961'!$F$2:$F$1300, MATCH(S1304, 'Lookup 1961'!$B$2:$B$1300,0))</f>
        <v>e280858</v>
      </c>
      <c r="X1304" s="11" t="str">
        <f>INDEX('Lookup 1961'!$C$2:$C$1300, MATCH(V1304, 'Lookup 1961'!$A$2:$A$1300,0))</f>
        <v>Nottinghamshire</v>
      </c>
    </row>
    <row r="1305" spans="1:24" ht="25.05" customHeight="1" x14ac:dyDescent="0.3">
      <c r="A1305" s="4" t="s">
        <v>1104</v>
      </c>
      <c r="B1305" s="4" t="s">
        <v>1104</v>
      </c>
      <c r="C1305" s="1">
        <v>20</v>
      </c>
      <c r="D1305" s="1">
        <v>0</v>
      </c>
      <c r="E1305" s="1">
        <v>16</v>
      </c>
      <c r="F1305" s="1">
        <v>0</v>
      </c>
      <c r="G1305" s="1">
        <v>17</v>
      </c>
      <c r="H1305" s="1">
        <v>8</v>
      </c>
      <c r="I1305" s="1">
        <v>16</v>
      </c>
      <c r="J1305" s="1">
        <v>0</v>
      </c>
      <c r="K1305" s="6">
        <v>789</v>
      </c>
      <c r="L1305" s="6">
        <v>203080</v>
      </c>
      <c r="M1305" s="1">
        <v>57.8</v>
      </c>
      <c r="N1305" s="1">
        <v>8</v>
      </c>
      <c r="O1305" s="1">
        <v>14</v>
      </c>
      <c r="P1305" s="1">
        <v>41.7</v>
      </c>
      <c r="Q1305" s="11">
        <f>'Table H'!$J$151</f>
        <v>0.80815151424332787</v>
      </c>
      <c r="R1305" s="11">
        <f t="shared" si="43"/>
        <v>164119.40951253503</v>
      </c>
      <c r="S1305" s="11" t="str">
        <f t="shared" si="47"/>
        <v>Bingham RD</v>
      </c>
      <c r="T1305" s="11" t="s">
        <v>5310</v>
      </c>
      <c r="V1305" s="11" t="str">
        <f>INDEX('Lookup 1961'!$A$2:$A$1300, MATCH(S1305, 'Lookup 1961'!$B$2:$B$1300,0))</f>
        <v>J04000147</v>
      </c>
      <c r="W1305" s="11" t="str">
        <f>INDEX('Lookup 1961'!$F$2:$F$1300, MATCH(S1305, 'Lookup 1961'!$B$2:$B$1300,0))</f>
        <v>e280859</v>
      </c>
      <c r="X1305" s="11" t="str">
        <f>INDEX('Lookup 1961'!$C$2:$C$1300, MATCH(V1305, 'Lookup 1961'!$A$2:$A$1300,0))</f>
        <v>Nottinghamshire</v>
      </c>
    </row>
    <row r="1306" spans="1:24" ht="25.05" customHeight="1" x14ac:dyDescent="0.3">
      <c r="A1306" s="4" t="s">
        <v>658</v>
      </c>
      <c r="B1306" s="4" t="s">
        <v>658</v>
      </c>
      <c r="C1306" s="1">
        <v>17</v>
      </c>
      <c r="D1306" s="1">
        <v>0</v>
      </c>
      <c r="E1306" s="1">
        <v>13</v>
      </c>
      <c r="F1306" s="1">
        <v>0</v>
      </c>
      <c r="G1306" s="1">
        <v>14</v>
      </c>
      <c r="H1306" s="1">
        <v>0</v>
      </c>
      <c r="I1306" s="1">
        <v>13</v>
      </c>
      <c r="J1306" s="1">
        <v>0</v>
      </c>
      <c r="K1306" s="6">
        <v>656</v>
      </c>
      <c r="L1306" s="6">
        <v>164055</v>
      </c>
      <c r="M1306" s="1">
        <v>56.5</v>
      </c>
      <c r="N1306" s="1">
        <v>5</v>
      </c>
      <c r="O1306" s="1">
        <v>9</v>
      </c>
      <c r="P1306" s="1">
        <v>31.3</v>
      </c>
      <c r="Q1306" s="11">
        <f>'Table H'!$J$151</f>
        <v>0.80815151424332787</v>
      </c>
      <c r="R1306" s="11">
        <f t="shared" si="43"/>
        <v>132581.29666918915</v>
      </c>
      <c r="S1306" s="11" t="str">
        <f t="shared" si="47"/>
        <v>East Retford RD</v>
      </c>
      <c r="T1306" s="11" t="s">
        <v>5310</v>
      </c>
      <c r="V1306" s="11" t="str">
        <f>INDEX('Lookup 1961'!$A$2:$A$1300, MATCH(S1306, 'Lookup 1961'!$B$2:$B$1300,0))</f>
        <v>J04000454</v>
      </c>
      <c r="W1306" s="11" t="str">
        <f>INDEX('Lookup 1961'!$F$2:$F$1300, MATCH(S1306, 'Lookup 1961'!$B$2:$B$1300,0))</f>
        <v>e280860</v>
      </c>
      <c r="X1306" s="11" t="str">
        <f>INDEX('Lookup 1961'!$C$2:$C$1300, MATCH(V1306, 'Lookup 1961'!$A$2:$A$1300,0))</f>
        <v>Nottinghamshire</v>
      </c>
    </row>
    <row r="1307" spans="1:24" ht="25.05" customHeight="1" x14ac:dyDescent="0.3">
      <c r="A1307" s="4" t="s">
        <v>660</v>
      </c>
      <c r="B1307" s="4" t="s">
        <v>660</v>
      </c>
      <c r="C1307" s="1">
        <v>17</v>
      </c>
      <c r="D1307" s="1">
        <v>4</v>
      </c>
      <c r="E1307" s="1">
        <v>14</v>
      </c>
      <c r="F1307" s="1">
        <v>0</v>
      </c>
      <c r="G1307" s="1">
        <v>15</v>
      </c>
      <c r="H1307" s="1">
        <v>1</v>
      </c>
      <c r="I1307" s="1">
        <v>14</v>
      </c>
      <c r="J1307" s="1">
        <v>0</v>
      </c>
      <c r="K1307" s="6">
        <v>335</v>
      </c>
      <c r="L1307" s="6">
        <v>85104</v>
      </c>
      <c r="M1307" s="1">
        <v>67.099999999999994</v>
      </c>
      <c r="N1307" s="1">
        <v>4</v>
      </c>
      <c r="O1307" s="1">
        <v>18</v>
      </c>
      <c r="P1307" s="1">
        <v>29.9</v>
      </c>
      <c r="Q1307" s="11">
        <f>'Table H'!$J$151</f>
        <v>0.80815151424332787</v>
      </c>
      <c r="R1307" s="11">
        <f t="shared" si="43"/>
        <v>68776.92646816418</v>
      </c>
      <c r="S1307" s="11" t="str">
        <f t="shared" si="47"/>
        <v>Newark RD</v>
      </c>
      <c r="T1307" s="11" t="s">
        <v>5310</v>
      </c>
      <c r="V1307" s="11" t="str">
        <f>INDEX('Lookup 1961'!$A$2:$A$1300, MATCH(S1307, 'Lookup 1961'!$B$2:$B$1300,0))</f>
        <v>J04000893</v>
      </c>
      <c r="W1307" s="11" t="str">
        <f>INDEX('Lookup 1961'!$F$2:$F$1300, MATCH(S1307, 'Lookup 1961'!$B$2:$B$1300,0))</f>
        <v>e280861</v>
      </c>
      <c r="X1307" s="11" t="str">
        <f>INDEX('Lookup 1961'!$C$2:$C$1300, MATCH(V1307, 'Lookup 1961'!$A$2:$A$1300,0))</f>
        <v>Nottinghamshire</v>
      </c>
    </row>
    <row r="1308" spans="1:24" ht="25.05" customHeight="1" x14ac:dyDescent="0.3">
      <c r="A1308" s="4" t="s">
        <v>1105</v>
      </c>
      <c r="B1308" s="4" t="s">
        <v>1105</v>
      </c>
      <c r="C1308" s="1">
        <v>19</v>
      </c>
      <c r="D1308" s="1">
        <v>4</v>
      </c>
      <c r="E1308" s="1">
        <v>14</v>
      </c>
      <c r="F1308" s="1">
        <v>4</v>
      </c>
      <c r="G1308" s="1">
        <v>14</v>
      </c>
      <c r="H1308" s="1">
        <v>10</v>
      </c>
      <c r="I1308" s="1">
        <v>14</v>
      </c>
      <c r="J1308" s="1">
        <v>4</v>
      </c>
      <c r="K1308" s="6">
        <v>1740</v>
      </c>
      <c r="L1308" s="6">
        <v>481123</v>
      </c>
      <c r="M1308" s="1">
        <v>86.9</v>
      </c>
      <c r="N1308" s="1">
        <v>7</v>
      </c>
      <c r="O1308" s="1">
        <v>4</v>
      </c>
      <c r="P1308" s="1">
        <v>26.2</v>
      </c>
      <c r="Q1308" s="11">
        <f>'Table H'!$J$151</f>
        <v>0.80815151424332787</v>
      </c>
      <c r="R1308" s="11">
        <f t="shared" si="43"/>
        <v>388820.28098729264</v>
      </c>
      <c r="S1308" s="11" t="str">
        <f t="shared" si="47"/>
        <v>Southwell RD</v>
      </c>
      <c r="T1308" s="11" t="s">
        <v>5310</v>
      </c>
      <c r="V1308" s="11" t="str">
        <f>INDEX('Lookup 1961'!$A$2:$A$1300, MATCH(S1308, 'Lookup 1961'!$B$2:$B$1300,0))</f>
        <v>J04001170</v>
      </c>
      <c r="W1308" s="11" t="str">
        <f>INDEX('Lookup 1961'!$F$2:$F$1300, MATCH(S1308, 'Lookup 1961'!$B$2:$B$1300,0))</f>
        <v>e280863</v>
      </c>
      <c r="X1308" s="11" t="str">
        <f>INDEX('Lookup 1961'!$C$2:$C$1300, MATCH(V1308, 'Lookup 1961'!$A$2:$A$1300,0))</f>
        <v>Nottinghamshire</v>
      </c>
    </row>
    <row r="1309" spans="1:24" ht="25.05" customHeight="1" x14ac:dyDescent="0.3">
      <c r="A1309" s="4" t="s">
        <v>661</v>
      </c>
      <c r="B1309" s="4" t="s">
        <v>661</v>
      </c>
      <c r="C1309" s="1">
        <v>21</v>
      </c>
      <c r="D1309" s="1">
        <v>2</v>
      </c>
      <c r="E1309" s="1">
        <v>16</v>
      </c>
      <c r="F1309" s="1">
        <v>2</v>
      </c>
      <c r="G1309" s="1">
        <v>17</v>
      </c>
      <c r="H1309" s="1">
        <v>6</v>
      </c>
      <c r="I1309" s="1">
        <v>16</v>
      </c>
      <c r="J1309" s="1">
        <v>2</v>
      </c>
      <c r="K1309" s="6">
        <v>607</v>
      </c>
      <c r="L1309" s="6">
        <v>158356</v>
      </c>
      <c r="M1309" s="1">
        <v>73</v>
      </c>
      <c r="N1309" s="1">
        <v>7</v>
      </c>
      <c r="O1309" s="1">
        <v>9</v>
      </c>
      <c r="P1309" s="1">
        <v>35.700000000000003</v>
      </c>
      <c r="Q1309" s="11">
        <f>'Table H'!$J$151</f>
        <v>0.80815151424332787</v>
      </c>
      <c r="R1309" s="11">
        <f t="shared" si="43"/>
        <v>127975.64118951643</v>
      </c>
      <c r="S1309" s="11" t="str">
        <f t="shared" si="47"/>
        <v>Worksop RD</v>
      </c>
      <c r="T1309" s="11" t="s">
        <v>5310</v>
      </c>
      <c r="V1309" s="11" t="str">
        <f>INDEX('Lookup 1961'!$A$2:$A$1300, MATCH(S1309, 'Lookup 1961'!$B$2:$B$1300,0))</f>
        <v>J04001453</v>
      </c>
      <c r="W1309" s="11" t="str">
        <f>INDEX('Lookup 1961'!$F$2:$F$1300, MATCH(S1309, 'Lookup 1961'!$B$2:$B$1300,0))</f>
        <v>e280864</v>
      </c>
      <c r="X1309" s="11" t="str">
        <f>INDEX('Lookup 1961'!$C$2:$C$1300, MATCH(V1309, 'Lookup 1961'!$A$2:$A$1300,0))</f>
        <v>Nottinghamshire</v>
      </c>
    </row>
    <row r="1310" spans="1:24" ht="25.05" customHeight="1" x14ac:dyDescent="0.3">
      <c r="A1310" s="4" t="s">
        <v>672</v>
      </c>
      <c r="B1310" s="4" t="s">
        <v>672</v>
      </c>
      <c r="S1310" s="11" t="str">
        <f t="shared" si="47"/>
        <v>OXFORD: RD</v>
      </c>
      <c r="T1310" s="11" t="s">
        <v>5310</v>
      </c>
      <c r="V1310" s="11" t="e">
        <f>INDEX('Lookup 1961'!$A$2:$A$1300, MATCH(S1310, 'Lookup 1961'!$B$2:$B$1300,0))</f>
        <v>#N/A</v>
      </c>
      <c r="W1310" s="11" t="e">
        <f>INDEX('Lookup 1961'!$F$2:$F$1300, MATCH(S1310, 'Lookup 1961'!$B$2:$B$1300,0))</f>
        <v>#N/A</v>
      </c>
      <c r="X1310" s="11" t="e">
        <f>INDEX('Lookup 1961'!$C$2:$C$1300, MATCH(V1310, 'Lookup 1961'!$A$2:$A$1300,0))</f>
        <v>#N/A</v>
      </c>
    </row>
    <row r="1311" spans="1:24" ht="25.05" customHeight="1" x14ac:dyDescent="0.3">
      <c r="A1311" s="4" t="s">
        <v>673</v>
      </c>
      <c r="B1311" s="4" t="s">
        <v>673</v>
      </c>
      <c r="C1311" s="1">
        <v>23</v>
      </c>
      <c r="D1311" s="1">
        <v>0</v>
      </c>
      <c r="E1311" s="1">
        <v>14</v>
      </c>
      <c r="F1311" s="1">
        <v>8</v>
      </c>
      <c r="G1311" s="1">
        <v>15</v>
      </c>
      <c r="H1311" s="1">
        <v>8</v>
      </c>
      <c r="I1311" s="1">
        <v>14</v>
      </c>
      <c r="J1311" s="1">
        <v>8</v>
      </c>
      <c r="K1311" s="6">
        <v>448</v>
      </c>
      <c r="L1311" s="6">
        <v>113824</v>
      </c>
      <c r="M1311" s="1">
        <v>78.3</v>
      </c>
      <c r="N1311" s="1">
        <v>5</v>
      </c>
      <c r="O1311" s="1">
        <v>8</v>
      </c>
      <c r="P1311" s="1">
        <v>10.3</v>
      </c>
      <c r="Q1311" s="11">
        <f>'Table H'!$J$156</f>
        <v>0.8305257670354006</v>
      </c>
      <c r="R1311" s="11">
        <f t="shared" si="43"/>
        <v>94533.764907037432</v>
      </c>
      <c r="S1311" s="11" t="str">
        <f t="shared" si="47"/>
        <v>Banbury RD</v>
      </c>
      <c r="T1311" s="11" t="s">
        <v>5310</v>
      </c>
      <c r="V1311" s="11" t="str">
        <f>INDEX('Lookup 1961'!$A$2:$A$1300, MATCH(S1311, 'Lookup 1961'!$B$2:$B$1300,0))</f>
        <v>J04000076</v>
      </c>
      <c r="W1311" s="11" t="str">
        <f>INDEX('Lookup 1961'!$F$2:$F$1300, MATCH(S1311, 'Lookup 1961'!$B$2:$B$1300,0))</f>
        <v>e290873</v>
      </c>
      <c r="X1311" s="11" t="str">
        <f>INDEX('Lookup 1961'!$C$2:$C$1300, MATCH(V1311, 'Lookup 1961'!$A$2:$A$1300,0))</f>
        <v>Oxfordshire</v>
      </c>
    </row>
    <row r="1312" spans="1:24" ht="25.05" customHeight="1" x14ac:dyDescent="0.3">
      <c r="A1312" s="4" t="s">
        <v>1106</v>
      </c>
      <c r="B1312" s="4" t="s">
        <v>1106</v>
      </c>
      <c r="C1312" s="1">
        <v>23</v>
      </c>
      <c r="D1312" s="1">
        <v>8</v>
      </c>
      <c r="E1312" s="1">
        <v>15</v>
      </c>
      <c r="F1312" s="1">
        <v>0</v>
      </c>
      <c r="G1312" s="1">
        <v>15</v>
      </c>
      <c r="H1312" s="1">
        <v>6</v>
      </c>
      <c r="I1312" s="1">
        <v>15</v>
      </c>
      <c r="J1312" s="1">
        <v>0</v>
      </c>
      <c r="K1312" s="6">
        <v>1325</v>
      </c>
      <c r="L1312" s="6">
        <v>320742</v>
      </c>
      <c r="M1312" s="1">
        <v>74.8</v>
      </c>
      <c r="N1312" s="1">
        <v>6</v>
      </c>
      <c r="O1312" s="1">
        <v>3</v>
      </c>
      <c r="P1312" s="1">
        <v>15.9</v>
      </c>
      <c r="Q1312" s="11">
        <f>'Table H'!$J$156</f>
        <v>0.8305257670354006</v>
      </c>
      <c r="R1312" s="11">
        <f t="shared" si="43"/>
        <v>266384.49557046848</v>
      </c>
      <c r="S1312" s="11" t="str">
        <f t="shared" si="47"/>
        <v>Bullingdon RD</v>
      </c>
      <c r="T1312" s="11" t="s">
        <v>5310</v>
      </c>
      <c r="V1312" s="11" t="str">
        <f>INDEX('Lookup 1961'!$A$2:$A$1300, MATCH(S1312, 'Lookup 1961'!$B$2:$B$1300,0))</f>
        <v>J04000234</v>
      </c>
      <c r="W1312" s="11" t="str">
        <f>INDEX('Lookup 1961'!$F$2:$F$1300, MATCH(S1312, 'Lookup 1961'!$B$2:$B$1300,0))</f>
        <v>e290874</v>
      </c>
      <c r="X1312" s="11" t="str">
        <f>INDEX('Lookup 1961'!$C$2:$C$1300, MATCH(V1312, 'Lookup 1961'!$A$2:$A$1300,0))</f>
        <v>Oxfordshire</v>
      </c>
    </row>
    <row r="1313" spans="1:24" ht="25.05" customHeight="1" x14ac:dyDescent="0.3">
      <c r="A1313" s="4" t="s">
        <v>674</v>
      </c>
      <c r="B1313" s="4" t="s">
        <v>674</v>
      </c>
      <c r="C1313" s="1">
        <v>22</v>
      </c>
      <c r="D1313" s="1">
        <v>2</v>
      </c>
      <c r="E1313" s="1">
        <v>14</v>
      </c>
      <c r="F1313" s="1">
        <v>2</v>
      </c>
      <c r="G1313" s="1">
        <v>15</v>
      </c>
      <c r="H1313" s="1">
        <v>2</v>
      </c>
      <c r="I1313" s="1">
        <v>14</v>
      </c>
      <c r="J1313" s="1">
        <v>2</v>
      </c>
      <c r="K1313" s="6">
        <v>450</v>
      </c>
      <c r="L1313" s="6">
        <v>120498</v>
      </c>
      <c r="M1313" s="1">
        <v>85.7</v>
      </c>
      <c r="N1313" s="1">
        <v>5</v>
      </c>
      <c r="O1313" s="1">
        <v>5</v>
      </c>
      <c r="P1313" s="1">
        <v>25.6</v>
      </c>
      <c r="Q1313" s="11">
        <f>'Table H'!$J$156</f>
        <v>0.8305257670354006</v>
      </c>
      <c r="R1313" s="11">
        <f t="shared" si="43"/>
        <v>100076.6938762317</v>
      </c>
      <c r="S1313" s="11" t="str">
        <f t="shared" si="47"/>
        <v>Chipping Norton RD</v>
      </c>
      <c r="T1313" s="11" t="s">
        <v>5310</v>
      </c>
      <c r="V1313" s="11" t="str">
        <f>INDEX('Lookup 1961'!$A$2:$A$1300, MATCH(S1313, 'Lookup 1961'!$B$2:$B$1300,0))</f>
        <v>J04000311</v>
      </c>
      <c r="W1313" s="11" t="str">
        <f>INDEX('Lookup 1961'!$F$2:$F$1300, MATCH(S1313, 'Lookup 1961'!$B$2:$B$1300,0))</f>
        <v>e290875</v>
      </c>
      <c r="X1313" s="11" t="str">
        <f>INDEX('Lookup 1961'!$C$2:$C$1300, MATCH(V1313, 'Lookup 1961'!$A$2:$A$1300,0))</f>
        <v>Oxfordshire</v>
      </c>
    </row>
    <row r="1314" spans="1:24" ht="25.05" customHeight="1" x14ac:dyDescent="0.3">
      <c r="A1314" s="4" t="s">
        <v>1107</v>
      </c>
      <c r="B1314" s="4" t="s">
        <v>1107</v>
      </c>
      <c r="C1314" s="1">
        <v>20</v>
      </c>
      <c r="D1314" s="1">
        <v>5</v>
      </c>
      <c r="E1314" s="1">
        <v>13</v>
      </c>
      <c r="F1314" s="1">
        <v>0</v>
      </c>
      <c r="G1314" s="1">
        <v>13</v>
      </c>
      <c r="H1314" s="1">
        <v>10</v>
      </c>
      <c r="I1314" s="1">
        <v>13</v>
      </c>
      <c r="J1314" s="1">
        <v>0</v>
      </c>
      <c r="K1314" s="6">
        <v>835</v>
      </c>
      <c r="L1314" s="6">
        <v>207982</v>
      </c>
      <c r="M1314" s="1">
        <v>49.2</v>
      </c>
      <c r="N1314" s="1">
        <v>6</v>
      </c>
      <c r="O1314" s="1">
        <v>15</v>
      </c>
      <c r="P1314" s="1">
        <v>3.9</v>
      </c>
      <c r="Q1314" s="11">
        <f>'Table H'!$J$156</f>
        <v>0.8305257670354006</v>
      </c>
      <c r="R1314" s="11">
        <f t="shared" si="43"/>
        <v>172734.41007955669</v>
      </c>
      <c r="S1314" s="11" t="str">
        <f t="shared" si="47"/>
        <v>Henley RD</v>
      </c>
      <c r="T1314" s="11" t="s">
        <v>5310</v>
      </c>
      <c r="V1314" s="11" t="str">
        <f>INDEX('Lookup 1961'!$A$2:$A$1300, MATCH(S1314, 'Lookup 1961'!$B$2:$B$1300,0))</f>
        <v>J04000609</v>
      </c>
      <c r="W1314" s="11" t="str">
        <f>INDEX('Lookup 1961'!$F$2:$F$1300, MATCH(S1314, 'Lookup 1961'!$B$2:$B$1300,0))</f>
        <v>e290876</v>
      </c>
      <c r="X1314" s="11" t="str">
        <f>INDEX('Lookup 1961'!$C$2:$C$1300, MATCH(V1314, 'Lookup 1961'!$A$2:$A$1300,0))</f>
        <v>Oxfordshire</v>
      </c>
    </row>
    <row r="1315" spans="1:24" ht="25.05" customHeight="1" x14ac:dyDescent="0.3">
      <c r="A1315" s="4" t="s">
        <v>1108</v>
      </c>
      <c r="B1315" s="4" t="s">
        <v>1108</v>
      </c>
      <c r="C1315" s="1">
        <v>20</v>
      </c>
      <c r="D1315" s="1">
        <v>0</v>
      </c>
      <c r="E1315" s="1">
        <v>12</v>
      </c>
      <c r="F1315" s="1">
        <v>2</v>
      </c>
      <c r="G1315" s="1">
        <v>12</v>
      </c>
      <c r="H1315" s="1">
        <v>8</v>
      </c>
      <c r="I1315" s="1">
        <v>12</v>
      </c>
      <c r="J1315" s="1">
        <v>0</v>
      </c>
      <c r="K1315" s="6">
        <v>1325</v>
      </c>
      <c r="L1315" s="6">
        <v>264072</v>
      </c>
      <c r="M1315" s="1">
        <v>50.7</v>
      </c>
      <c r="N1315" s="1">
        <v>7</v>
      </c>
      <c r="O1315" s="1">
        <v>5</v>
      </c>
      <c r="P1315" s="1">
        <v>18.899999999999999</v>
      </c>
      <c r="Q1315" s="11">
        <f>'Table H'!$J$156</f>
        <v>0.8305257670354006</v>
      </c>
      <c r="R1315" s="11">
        <f t="shared" si="43"/>
        <v>219318.60035257231</v>
      </c>
      <c r="S1315" s="11" t="str">
        <f t="shared" si="47"/>
        <v>Ploughley RD</v>
      </c>
      <c r="T1315" s="11" t="s">
        <v>5310</v>
      </c>
      <c r="V1315" s="11" t="str">
        <f>INDEX('Lookup 1961'!$A$2:$A$1300, MATCH(S1315, 'Lookup 1961'!$B$2:$B$1300,0))</f>
        <v>J04000995</v>
      </c>
      <c r="W1315" s="11" t="str">
        <f>INDEX('Lookup 1961'!$F$2:$F$1300, MATCH(S1315, 'Lookup 1961'!$B$2:$B$1300,0))</f>
        <v>e290877</v>
      </c>
      <c r="X1315" s="11" t="str">
        <f>INDEX('Lookup 1961'!$C$2:$C$1300, MATCH(V1315, 'Lookup 1961'!$A$2:$A$1300,0))</f>
        <v>Oxfordshire</v>
      </c>
    </row>
    <row r="1316" spans="1:24" ht="25.05" customHeight="1" x14ac:dyDescent="0.3">
      <c r="A1316" s="4" t="s">
        <v>679</v>
      </c>
      <c r="B1316" s="4" t="s">
        <v>679</v>
      </c>
      <c r="C1316" s="1">
        <v>21</v>
      </c>
      <c r="D1316" s="1">
        <v>2</v>
      </c>
      <c r="E1316" s="1">
        <v>13</v>
      </c>
      <c r="F1316" s="1">
        <v>10</v>
      </c>
      <c r="G1316" s="1">
        <v>14</v>
      </c>
      <c r="H1316" s="1">
        <v>8</v>
      </c>
      <c r="I1316" s="1">
        <v>13</v>
      </c>
      <c r="J1316" s="1">
        <v>10</v>
      </c>
      <c r="K1316" s="6">
        <v>740</v>
      </c>
      <c r="L1316" s="6">
        <v>179443</v>
      </c>
      <c r="M1316" s="1">
        <v>72.3</v>
      </c>
      <c r="N1316" s="1">
        <v>5</v>
      </c>
      <c r="O1316" s="1">
        <v>7</v>
      </c>
      <c r="P1316" s="1">
        <v>14.4</v>
      </c>
      <c r="Q1316" s="11">
        <f>'Table H'!$J$156</f>
        <v>0.8305257670354006</v>
      </c>
      <c r="R1316" s="11">
        <f t="shared" si="43"/>
        <v>149032.03521413339</v>
      </c>
      <c r="S1316" s="11" t="str">
        <f t="shared" si="47"/>
        <v>Witney RD</v>
      </c>
      <c r="T1316" s="11" t="s">
        <v>5310</v>
      </c>
      <c r="V1316" s="11" t="str">
        <f>INDEX('Lookup 1961'!$A$2:$A$1300, MATCH(S1316, 'Lookup 1961'!$B$2:$B$1300,0))</f>
        <v>J04001436</v>
      </c>
      <c r="W1316" s="11" t="str">
        <f>INDEX('Lookup 1961'!$F$2:$F$1300, MATCH(S1316, 'Lookup 1961'!$B$2:$B$1300,0))</f>
        <v>e290878</v>
      </c>
      <c r="X1316" s="11" t="str">
        <f>INDEX('Lookup 1961'!$C$2:$C$1300, MATCH(V1316, 'Lookup 1961'!$A$2:$A$1300,0))</f>
        <v>Oxfordshire</v>
      </c>
    </row>
    <row r="1317" spans="1:24" ht="25.05" customHeight="1" x14ac:dyDescent="0.3">
      <c r="A1317" s="4" t="s">
        <v>680</v>
      </c>
      <c r="B1317" s="4" t="s">
        <v>680</v>
      </c>
      <c r="S1317" s="11" t="str">
        <f t="shared" si="47"/>
        <v>RUTLAND: RD</v>
      </c>
      <c r="T1317" s="11" t="s">
        <v>5310</v>
      </c>
      <c r="V1317" s="11" t="e">
        <f>INDEX('Lookup 1961'!$A$2:$A$1300, MATCH(S1317, 'Lookup 1961'!$B$2:$B$1300,0))</f>
        <v>#N/A</v>
      </c>
      <c r="W1317" s="11" t="e">
        <f>INDEX('Lookup 1961'!$F$2:$F$1300, MATCH(S1317, 'Lookup 1961'!$B$2:$B$1300,0))</f>
        <v>#N/A</v>
      </c>
      <c r="X1317" s="11" t="e">
        <f>INDEX('Lookup 1961'!$C$2:$C$1300, MATCH(V1317, 'Lookup 1961'!$A$2:$A$1300,0))</f>
        <v>#N/A</v>
      </c>
    </row>
    <row r="1318" spans="1:24" ht="25.05" customHeight="1" x14ac:dyDescent="0.3">
      <c r="A1318" s="4" t="s">
        <v>1109</v>
      </c>
      <c r="B1318" s="4" t="s">
        <v>1109</v>
      </c>
      <c r="C1318" s="1">
        <v>25</v>
      </c>
      <c r="D1318" s="1">
        <v>2</v>
      </c>
      <c r="E1318" s="1">
        <v>17</v>
      </c>
      <c r="F1318" s="1">
        <v>0</v>
      </c>
      <c r="G1318" s="1">
        <v>17</v>
      </c>
      <c r="H1318" s="1">
        <v>6</v>
      </c>
      <c r="I1318" s="1">
        <v>17</v>
      </c>
      <c r="J1318" s="1">
        <v>0</v>
      </c>
      <c r="K1318" s="6">
        <v>114</v>
      </c>
      <c r="L1318" s="6">
        <v>29860</v>
      </c>
      <c r="M1318" s="1">
        <v>108.2</v>
      </c>
      <c r="N1318" s="1">
        <v>7</v>
      </c>
      <c r="O1318" s="1">
        <v>14</v>
      </c>
      <c r="P1318" s="1">
        <v>32.6</v>
      </c>
      <c r="Q1318" s="11">
        <f>'Table H'!$J$160</f>
        <v>0.71247646968060485</v>
      </c>
      <c r="R1318" s="11">
        <f t="shared" si="43"/>
        <v>21274.547384662859</v>
      </c>
      <c r="S1318" s="11" t="str">
        <f t="shared" si="47"/>
        <v>Ketton RD</v>
      </c>
      <c r="T1318" s="11" t="s">
        <v>5310</v>
      </c>
      <c r="V1318" s="11" t="str">
        <f>INDEX('Lookup 1961'!$A$2:$A$1300, MATCH(S1318, 'Lookup 1961'!$B$2:$B$1300,0))</f>
        <v>J04000689</v>
      </c>
      <c r="W1318" s="11" t="str">
        <f>INDEX('Lookup 1961'!$F$2:$F$1300, MATCH(S1318, 'Lookup 1961'!$B$2:$B$1300,0))</f>
        <v>e300880</v>
      </c>
      <c r="X1318" s="11" t="str">
        <f>INDEX('Lookup 1961'!$C$2:$C$1300, MATCH(V1318, 'Lookup 1961'!$A$2:$A$1300,0))</f>
        <v>Leicestershire</v>
      </c>
    </row>
    <row r="1319" spans="1:24" ht="25.05" customHeight="1" x14ac:dyDescent="0.3">
      <c r="A1319" s="4" t="s">
        <v>681</v>
      </c>
      <c r="B1319" s="4" t="s">
        <v>681</v>
      </c>
      <c r="C1319" s="1">
        <v>20</v>
      </c>
      <c r="D1319" s="1">
        <v>8</v>
      </c>
      <c r="E1319" s="1">
        <v>15</v>
      </c>
      <c r="F1319" s="1">
        <v>8</v>
      </c>
      <c r="G1319" s="1">
        <v>16</v>
      </c>
      <c r="H1319" s="1">
        <v>2</v>
      </c>
      <c r="I1319" s="1">
        <v>15</v>
      </c>
      <c r="J1319" s="1">
        <v>8</v>
      </c>
      <c r="K1319" s="6">
        <v>340</v>
      </c>
      <c r="L1319" s="6">
        <v>76009</v>
      </c>
      <c r="M1319" s="1">
        <v>48.2</v>
      </c>
      <c r="N1319" s="1">
        <v>6</v>
      </c>
      <c r="O1319" s="1">
        <v>19</v>
      </c>
      <c r="P1319" s="1">
        <v>7.3</v>
      </c>
      <c r="Q1319" s="11">
        <f>'Table H'!$J$160</f>
        <v>0.71247646968060485</v>
      </c>
      <c r="R1319" s="11">
        <f t="shared" si="43"/>
        <v>54154.623983953097</v>
      </c>
      <c r="S1319" s="11" t="str">
        <f t="shared" si="47"/>
        <v>Oakham RD</v>
      </c>
      <c r="T1319" s="11" t="s">
        <v>5310</v>
      </c>
      <c r="V1319" s="11" t="str">
        <f>INDEX('Lookup 1961'!$A$2:$A$1300, MATCH(S1319, 'Lookup 1961'!$B$2:$B$1300,0))</f>
        <v>J04000946</v>
      </c>
      <c r="W1319" s="11" t="str">
        <f>INDEX('Lookup 1961'!$F$2:$F$1300, MATCH(S1319, 'Lookup 1961'!$B$2:$B$1300,0))</f>
        <v>e300881</v>
      </c>
      <c r="X1319" s="11" t="str">
        <f>INDEX('Lookup 1961'!$C$2:$C$1300, MATCH(V1319, 'Lookup 1961'!$A$2:$A$1300,0))</f>
        <v>Leicestershire</v>
      </c>
    </row>
    <row r="1320" spans="1:24" ht="25.05" customHeight="1" x14ac:dyDescent="0.3">
      <c r="A1320" s="4" t="s">
        <v>1110</v>
      </c>
      <c r="B1320" s="4" t="s">
        <v>1110</v>
      </c>
      <c r="C1320" s="1">
        <v>22</v>
      </c>
      <c r="D1320" s="1">
        <v>5</v>
      </c>
      <c r="E1320" s="1">
        <v>17</v>
      </c>
      <c r="F1320" s="1">
        <v>4</v>
      </c>
      <c r="G1320" s="1">
        <v>18</v>
      </c>
      <c r="H1320" s="1">
        <v>10</v>
      </c>
      <c r="I1320" s="1">
        <v>17</v>
      </c>
      <c r="J1320" s="1">
        <v>4</v>
      </c>
      <c r="K1320" s="6">
        <v>220</v>
      </c>
      <c r="L1320" s="6">
        <v>56156</v>
      </c>
      <c r="M1320" s="1">
        <v>59</v>
      </c>
      <c r="N1320" s="1">
        <v>7</v>
      </c>
      <c r="O1320" s="1">
        <v>15</v>
      </c>
      <c r="P1320" s="1">
        <v>22.2</v>
      </c>
      <c r="Q1320" s="11">
        <f>'Table H'!$J$160</f>
        <v>0.71247646968060485</v>
      </c>
      <c r="R1320" s="11">
        <f t="shared" si="43"/>
        <v>40009.828631384044</v>
      </c>
      <c r="S1320" s="11" t="str">
        <f t="shared" si="47"/>
        <v>Uppingham RD</v>
      </c>
      <c r="T1320" s="11" t="s">
        <v>5310</v>
      </c>
      <c r="V1320" s="11" t="str">
        <f>INDEX('Lookup 1961'!$A$2:$A$1300, MATCH(S1320, 'Lookup 1961'!$B$2:$B$1300,0))</f>
        <v>J04001310</v>
      </c>
      <c r="W1320" s="11" t="str">
        <f>INDEX('Lookup 1961'!$F$2:$F$1300, MATCH(S1320, 'Lookup 1961'!$B$2:$B$1300,0))</f>
        <v>e300882</v>
      </c>
      <c r="X1320" s="11" t="str">
        <f>INDEX('Lookup 1961'!$C$2:$C$1300, MATCH(V1320, 'Lookup 1961'!$A$2:$A$1300,0))</f>
        <v>Leicestershire</v>
      </c>
    </row>
    <row r="1321" spans="1:24" ht="25.05" customHeight="1" x14ac:dyDescent="0.3">
      <c r="A1321" s="4" t="s">
        <v>683</v>
      </c>
      <c r="B1321" s="4" t="s">
        <v>683</v>
      </c>
      <c r="S1321" s="11" t="str">
        <f t="shared" si="47"/>
        <v>SALOP: RD</v>
      </c>
      <c r="T1321" s="11" t="s">
        <v>5310</v>
      </c>
      <c r="V1321" s="11" t="e">
        <f>INDEX('Lookup 1961'!$A$2:$A$1300, MATCH(S1321, 'Lookup 1961'!$B$2:$B$1300,0))</f>
        <v>#N/A</v>
      </c>
      <c r="W1321" s="11" t="e">
        <f>INDEX('Lookup 1961'!$F$2:$F$1300, MATCH(S1321, 'Lookup 1961'!$B$2:$B$1300,0))</f>
        <v>#N/A</v>
      </c>
      <c r="X1321" s="11" t="e">
        <f>INDEX('Lookup 1961'!$C$2:$C$1300, MATCH(V1321, 'Lookup 1961'!$A$2:$A$1300,0))</f>
        <v>#N/A</v>
      </c>
    </row>
    <row r="1322" spans="1:24" ht="25.05" customHeight="1" x14ac:dyDescent="0.3">
      <c r="A1322" s="4" t="s">
        <v>1111</v>
      </c>
      <c r="B1322" s="4" t="s">
        <v>1111</v>
      </c>
      <c r="C1322" s="1">
        <v>20</v>
      </c>
      <c r="D1322" s="1">
        <v>2</v>
      </c>
      <c r="E1322" s="1">
        <v>16</v>
      </c>
      <c r="F1322" s="1">
        <v>0</v>
      </c>
      <c r="G1322" s="1">
        <v>16</v>
      </c>
      <c r="H1322" s="1">
        <v>6</v>
      </c>
      <c r="I1322" s="1">
        <v>16</v>
      </c>
      <c r="J1322" s="1">
        <v>0</v>
      </c>
      <c r="K1322" s="6">
        <v>529</v>
      </c>
      <c r="L1322" s="6">
        <v>138210</v>
      </c>
      <c r="M1322" s="1">
        <v>66.099999999999994</v>
      </c>
      <c r="N1322" s="1">
        <v>4</v>
      </c>
      <c r="O1322" s="1">
        <v>16</v>
      </c>
      <c r="P1322" s="1">
        <v>32.5</v>
      </c>
      <c r="Q1322" s="11">
        <f>'Table H'!$J$165</f>
        <v>0.81585112166242968</v>
      </c>
      <c r="R1322" s="11">
        <f t="shared" si="43"/>
        <v>112758.78352496441</v>
      </c>
      <c r="S1322" s="11" t="str">
        <f t="shared" si="47"/>
        <v>Atcham RD</v>
      </c>
      <c r="T1322" s="11" t="s">
        <v>5310</v>
      </c>
      <c r="V1322" s="11" t="str">
        <f>INDEX('Lookup 1961'!$A$2:$A$1300, MATCH(S1322, 'Lookup 1961'!$B$2:$B$1300,0))</f>
        <v>J04000059</v>
      </c>
      <c r="W1322" s="11" t="str">
        <f>INDEX('Lookup 1961'!$F$2:$F$1300, MATCH(S1322, 'Lookup 1961'!$B$2:$B$1300,0))</f>
        <v>e310890</v>
      </c>
      <c r="X1322" s="11" t="str">
        <f>INDEX('Lookup 1961'!$C$2:$C$1300, MATCH(V1322, 'Lookup 1961'!$A$2:$A$1300,0))</f>
        <v>Shropshire</v>
      </c>
    </row>
    <row r="1323" spans="1:24" ht="25.05" customHeight="1" x14ac:dyDescent="0.3">
      <c r="A1323" s="4" t="s">
        <v>684</v>
      </c>
      <c r="B1323" s="4" t="s">
        <v>684</v>
      </c>
      <c r="C1323" s="1">
        <v>21</v>
      </c>
      <c r="D1323" s="1">
        <v>2</v>
      </c>
      <c r="E1323" s="1">
        <v>15</v>
      </c>
      <c r="F1323" s="1">
        <v>10</v>
      </c>
      <c r="G1323" s="1">
        <v>16</v>
      </c>
      <c r="H1323" s="1">
        <v>0</v>
      </c>
      <c r="I1323" s="1">
        <v>15</v>
      </c>
      <c r="J1323" s="1">
        <v>10</v>
      </c>
      <c r="K1323" s="6">
        <v>614</v>
      </c>
      <c r="L1323" s="6">
        <v>155282</v>
      </c>
      <c r="M1323" s="1">
        <v>133</v>
      </c>
      <c r="N1323" s="1">
        <v>6</v>
      </c>
      <c r="O1323" s="1">
        <v>19</v>
      </c>
      <c r="P1323" s="1">
        <v>59</v>
      </c>
      <c r="Q1323" s="11">
        <f>'Table H'!$J$165</f>
        <v>0.81585112166242968</v>
      </c>
      <c r="R1323" s="11">
        <f t="shared" si="43"/>
        <v>126686.99387398541</v>
      </c>
      <c r="S1323" s="11" t="str">
        <f t="shared" si="47"/>
        <v>Bridgnorth RD</v>
      </c>
      <c r="T1323" s="11" t="s">
        <v>5310</v>
      </c>
      <c r="V1323" s="11" t="str">
        <f>INDEX('Lookup 1961'!$A$2:$A$1300, MATCH(S1323, 'Lookup 1961'!$B$2:$B$1300,0))</f>
        <v>J04000200</v>
      </c>
      <c r="W1323" s="11" t="str">
        <f>INDEX('Lookup 1961'!$F$2:$F$1300, MATCH(S1323, 'Lookup 1961'!$B$2:$B$1300,0))</f>
        <v>e310891</v>
      </c>
      <c r="X1323" s="11" t="str">
        <f>INDEX('Lookup 1961'!$C$2:$C$1300, MATCH(V1323, 'Lookup 1961'!$A$2:$A$1300,0))</f>
        <v>Shropshire</v>
      </c>
    </row>
    <row r="1324" spans="1:24" ht="25.05" customHeight="1" x14ac:dyDescent="0.3">
      <c r="A1324" s="4" t="s">
        <v>1112</v>
      </c>
      <c r="B1324" s="4" t="s">
        <v>1112</v>
      </c>
      <c r="C1324" s="1">
        <v>21</v>
      </c>
      <c r="D1324" s="1">
        <v>0</v>
      </c>
      <c r="E1324" s="1">
        <v>16</v>
      </c>
      <c r="F1324" s="1">
        <v>6</v>
      </c>
      <c r="G1324" s="1">
        <v>17</v>
      </c>
      <c r="H1324" s="1">
        <v>10</v>
      </c>
      <c r="I1324" s="1">
        <v>16</v>
      </c>
      <c r="J1324" s="1">
        <v>6</v>
      </c>
      <c r="K1324" s="6">
        <v>178</v>
      </c>
      <c r="L1324" s="6">
        <v>45466</v>
      </c>
      <c r="M1324" s="1">
        <v>73.2</v>
      </c>
      <c r="N1324" s="1">
        <v>3</v>
      </c>
      <c r="O1324" s="1">
        <v>16</v>
      </c>
      <c r="P1324" s="1">
        <v>36.700000000000003</v>
      </c>
      <c r="Q1324" s="11">
        <f>'Table H'!$J$165</f>
        <v>0.81585112166242968</v>
      </c>
      <c r="R1324" s="11">
        <f t="shared" si="43"/>
        <v>37093.487097504025</v>
      </c>
      <c r="S1324" s="11" t="str">
        <f t="shared" si="47"/>
        <v>Clun RD</v>
      </c>
      <c r="T1324" s="11" t="s">
        <v>5310</v>
      </c>
      <c r="V1324" s="11" t="str">
        <f>INDEX('Lookup 1961'!$A$2:$A$1300, MATCH(S1324, 'Lookup 1961'!$B$2:$B$1300,0))</f>
        <v>J04000331</v>
      </c>
      <c r="W1324" s="11" t="str">
        <f>INDEX('Lookup 1961'!$F$2:$F$1300, MATCH(S1324, 'Lookup 1961'!$B$2:$B$1300,0))</f>
        <v>e310893</v>
      </c>
      <c r="X1324" s="11" t="str">
        <f>INDEX('Lookup 1961'!$C$2:$C$1300, MATCH(V1324, 'Lookup 1961'!$A$2:$A$1300,0))</f>
        <v>Shropshire</v>
      </c>
    </row>
    <row r="1325" spans="1:24" ht="25.05" customHeight="1" x14ac:dyDescent="0.3">
      <c r="A1325" s="4" t="s">
        <v>1113</v>
      </c>
      <c r="B1325" s="4" t="s">
        <v>1113</v>
      </c>
      <c r="C1325" s="1">
        <v>19</v>
      </c>
      <c r="D1325" s="1">
        <v>4</v>
      </c>
      <c r="E1325" s="1">
        <v>14</v>
      </c>
      <c r="F1325" s="1">
        <v>8</v>
      </c>
      <c r="G1325" s="1">
        <v>15</v>
      </c>
      <c r="H1325" s="1">
        <v>0</v>
      </c>
      <c r="I1325" s="1">
        <v>14</v>
      </c>
      <c r="J1325" s="1">
        <v>8</v>
      </c>
      <c r="K1325" s="6">
        <v>398</v>
      </c>
      <c r="L1325" s="6">
        <v>102222</v>
      </c>
      <c r="M1325" s="1">
        <v>98.5</v>
      </c>
      <c r="N1325" s="1">
        <v>6</v>
      </c>
      <c r="O1325" s="1">
        <v>0</v>
      </c>
      <c r="P1325" s="1">
        <v>58.1</v>
      </c>
      <c r="Q1325" s="11">
        <f>'Table H'!$J$165</f>
        <v>0.81585112166242968</v>
      </c>
      <c r="R1325" s="11">
        <f t="shared" si="43"/>
        <v>83397.933358576891</v>
      </c>
      <c r="S1325" s="11" t="str">
        <f t="shared" si="47"/>
        <v>Drayton RD</v>
      </c>
      <c r="T1325" s="11" t="s">
        <v>5310</v>
      </c>
      <c r="V1325" s="11" t="str">
        <f>INDEX('Lookup 1961'!$A$2:$A$1300, MATCH(S1325, 'Lookup 1961'!$B$2:$B$1300,0))</f>
        <v>J04000425</v>
      </c>
      <c r="W1325" s="11" t="str">
        <f>INDEX('Lookup 1961'!$F$2:$F$1300, MATCH(S1325, 'Lookup 1961'!$B$2:$B$1300,0))</f>
        <v>e310895</v>
      </c>
      <c r="X1325" s="11" t="str">
        <f>INDEX('Lookup 1961'!$C$2:$C$1300, MATCH(V1325, 'Lookup 1961'!$A$2:$A$1300,0))</f>
        <v>Shropshire</v>
      </c>
    </row>
    <row r="1326" spans="1:24" ht="25.05" customHeight="1" x14ac:dyDescent="0.3">
      <c r="A1326" s="4" t="s">
        <v>691</v>
      </c>
      <c r="B1326" s="4" t="s">
        <v>691</v>
      </c>
      <c r="C1326" s="1">
        <v>17</v>
      </c>
      <c r="D1326" s="1">
        <v>0</v>
      </c>
      <c r="E1326" s="1">
        <v>14</v>
      </c>
      <c r="F1326" s="1">
        <v>0</v>
      </c>
      <c r="G1326" s="1">
        <v>14</v>
      </c>
      <c r="H1326" s="1">
        <v>3</v>
      </c>
      <c r="I1326" s="1">
        <v>14</v>
      </c>
      <c r="J1326" s="1">
        <v>0</v>
      </c>
      <c r="K1326" s="6">
        <v>207</v>
      </c>
      <c r="L1326" s="6">
        <v>53380</v>
      </c>
      <c r="M1326" s="1">
        <v>59.1</v>
      </c>
      <c r="N1326" s="1">
        <v>3</v>
      </c>
      <c r="O1326" s="1">
        <v>15</v>
      </c>
      <c r="P1326" s="1">
        <v>28.2</v>
      </c>
      <c r="Q1326" s="11">
        <f>'Table H'!$J$165</f>
        <v>0.81585112166242968</v>
      </c>
      <c r="R1326" s="11">
        <f t="shared" si="43"/>
        <v>43550.132874340496</v>
      </c>
      <c r="S1326" s="11" t="str">
        <f t="shared" si="47"/>
        <v>Ellesmere RD</v>
      </c>
      <c r="T1326" s="11" t="s">
        <v>5310</v>
      </c>
      <c r="V1326" s="11" t="str">
        <f>INDEX('Lookup 1961'!$A$2:$A$1300, MATCH(S1326, 'Lookup 1961'!$B$2:$B$1300,0))</f>
        <v>J04000468</v>
      </c>
      <c r="W1326" s="11" t="str">
        <f>INDEX('Lookup 1961'!$F$2:$F$1300, MATCH(S1326, 'Lookup 1961'!$B$2:$B$1300,0))</f>
        <v>e310896</v>
      </c>
      <c r="X1326" s="11" t="str">
        <f>INDEX('Lookup 1961'!$C$2:$C$1300, MATCH(V1326, 'Lookup 1961'!$A$2:$A$1300,0))</f>
        <v>Shropshire</v>
      </c>
    </row>
    <row r="1327" spans="1:24" ht="25.05" customHeight="1" x14ac:dyDescent="0.3">
      <c r="A1327" s="4" t="s">
        <v>685</v>
      </c>
      <c r="B1327" s="4" t="s">
        <v>685</v>
      </c>
      <c r="C1327" s="1">
        <v>20</v>
      </c>
      <c r="D1327" s="1">
        <v>6</v>
      </c>
      <c r="E1327" s="1">
        <v>16</v>
      </c>
      <c r="F1327" s="1">
        <v>0</v>
      </c>
      <c r="G1327" s="1">
        <v>16</v>
      </c>
      <c r="H1327" s="1">
        <v>5</v>
      </c>
      <c r="I1327" s="1">
        <v>16</v>
      </c>
      <c r="J1327" s="1">
        <v>0</v>
      </c>
      <c r="K1327" s="6">
        <v>438</v>
      </c>
      <c r="L1327" s="6">
        <v>110586</v>
      </c>
      <c r="M1327" s="1">
        <v>59.1</v>
      </c>
      <c r="N1327" s="1">
        <v>6</v>
      </c>
      <c r="O1327" s="1">
        <v>4</v>
      </c>
      <c r="P1327" s="1">
        <v>24</v>
      </c>
      <c r="Q1327" s="11">
        <f>'Table H'!$J$165</f>
        <v>0.81585112166242968</v>
      </c>
      <c r="R1327" s="11">
        <f t="shared" si="43"/>
        <v>90221.712140161442</v>
      </c>
      <c r="S1327" s="11" t="str">
        <f t="shared" si="47"/>
        <v>Ludlow RD</v>
      </c>
      <c r="T1327" s="11" t="s">
        <v>5310</v>
      </c>
      <c r="V1327" s="11" t="str">
        <f>INDEX('Lookup 1961'!$A$2:$A$1300, MATCH(S1327, 'Lookup 1961'!$B$2:$B$1300,0))</f>
        <v>J04000788</v>
      </c>
      <c r="W1327" s="11" t="str">
        <f>INDEX('Lookup 1961'!$F$2:$F$1300, MATCH(S1327, 'Lookup 1961'!$B$2:$B$1300,0))</f>
        <v>e310894</v>
      </c>
      <c r="X1327" s="11" t="str">
        <f>INDEX('Lookup 1961'!$C$2:$C$1300, MATCH(V1327, 'Lookup 1961'!$A$2:$A$1300,0))</f>
        <v>Shropshire</v>
      </c>
    </row>
    <row r="1328" spans="1:24" ht="25.05" customHeight="1" x14ac:dyDescent="0.3">
      <c r="A1328" s="4" t="s">
        <v>686</v>
      </c>
      <c r="B1328" s="4" t="s">
        <v>686</v>
      </c>
      <c r="C1328" s="1">
        <v>22</v>
      </c>
      <c r="D1328" s="1">
        <v>0</v>
      </c>
      <c r="E1328" s="1">
        <v>16</v>
      </c>
      <c r="F1328" s="1">
        <v>10</v>
      </c>
      <c r="G1328" s="1">
        <v>17</v>
      </c>
      <c r="H1328" s="1">
        <v>4</v>
      </c>
      <c r="I1328" s="1">
        <v>16</v>
      </c>
      <c r="J1328" s="1">
        <v>10</v>
      </c>
      <c r="K1328" s="6">
        <v>529</v>
      </c>
      <c r="L1328" s="6">
        <v>135885</v>
      </c>
      <c r="M1328" s="1">
        <v>61.1</v>
      </c>
      <c r="N1328" s="1">
        <v>5</v>
      </c>
      <c r="O1328" s="1">
        <v>1</v>
      </c>
      <c r="P1328" s="1">
        <v>18.899999999999999</v>
      </c>
      <c r="Q1328" s="11">
        <f>'Table H'!$J$165</f>
        <v>0.81585112166242968</v>
      </c>
      <c r="R1328" s="11">
        <f t="shared" si="43"/>
        <v>110861.92966709926</v>
      </c>
      <c r="S1328" s="11" t="str">
        <f t="shared" si="47"/>
        <v>Oswestry RD</v>
      </c>
      <c r="T1328" s="11" t="s">
        <v>5310</v>
      </c>
      <c r="V1328" s="11" t="str">
        <f>INDEX('Lookup 1961'!$A$2:$A$1300, MATCH(S1328, 'Lookup 1961'!$B$2:$B$1300,0))</f>
        <v>J04000962</v>
      </c>
      <c r="W1328" s="11" t="str">
        <f>INDEX('Lookup 1961'!$F$2:$F$1300, MATCH(S1328, 'Lookup 1961'!$B$2:$B$1300,0))</f>
        <v>e310897</v>
      </c>
      <c r="X1328" s="11" t="str">
        <f>INDEX('Lookup 1961'!$C$2:$C$1300, MATCH(V1328, 'Lookup 1961'!$A$2:$A$1300,0))</f>
        <v>Shropshire</v>
      </c>
    </row>
    <row r="1329" spans="1:24" ht="25.05" customHeight="1" x14ac:dyDescent="0.3">
      <c r="A1329" s="4" t="s">
        <v>1114</v>
      </c>
      <c r="B1329" s="4" t="s">
        <v>1114</v>
      </c>
      <c r="C1329" s="1">
        <v>18</v>
      </c>
      <c r="D1329" s="1">
        <v>8</v>
      </c>
      <c r="E1329" s="1">
        <v>14</v>
      </c>
      <c r="F1329" s="1">
        <v>10</v>
      </c>
      <c r="G1329" s="1">
        <v>15</v>
      </c>
      <c r="H1329" s="1">
        <v>3</v>
      </c>
      <c r="I1329" s="1">
        <v>14</v>
      </c>
      <c r="J1329" s="1">
        <v>10</v>
      </c>
      <c r="K1329" s="6">
        <v>610</v>
      </c>
      <c r="L1329" s="6">
        <v>160439</v>
      </c>
      <c r="M1329" s="1">
        <v>102.4</v>
      </c>
      <c r="N1329" s="1">
        <v>7</v>
      </c>
      <c r="O1329" s="1">
        <v>18</v>
      </c>
      <c r="P1329" s="1">
        <v>55.5</v>
      </c>
      <c r="Q1329" s="11">
        <f>'Table H'!$J$165</f>
        <v>0.81585112166242968</v>
      </c>
      <c r="R1329" s="11">
        <f t="shared" si="43"/>
        <v>130894.33810839856</v>
      </c>
      <c r="S1329" s="11" t="str">
        <f t="shared" si="47"/>
        <v>Shifnal RD</v>
      </c>
      <c r="T1329" s="11" t="s">
        <v>5310</v>
      </c>
      <c r="V1329" s="11" t="str">
        <f>INDEX('Lookup 1961'!$A$2:$A$1300, MATCH(S1329, 'Lookup 1961'!$B$2:$B$1300,0))</f>
        <v>J04001134</v>
      </c>
      <c r="W1329" s="11" t="str">
        <f>INDEX('Lookup 1961'!$F$2:$F$1300, MATCH(S1329, 'Lookup 1961'!$B$2:$B$1300,0))</f>
        <v>e310898</v>
      </c>
      <c r="X1329" s="11" t="str">
        <f>INDEX('Lookup 1961'!$C$2:$C$1300, MATCH(V1329, 'Lookup 1961'!$A$2:$A$1300,0))</f>
        <v>Shropshire</v>
      </c>
    </row>
    <row r="1330" spans="1:24" ht="25.05" customHeight="1" x14ac:dyDescent="0.3">
      <c r="A1330" s="4" t="s">
        <v>694</v>
      </c>
      <c r="B1330" s="4" t="s">
        <v>694</v>
      </c>
      <c r="C1330" s="1">
        <v>20</v>
      </c>
      <c r="D1330" s="1">
        <v>4</v>
      </c>
      <c r="E1330" s="1">
        <v>16</v>
      </c>
      <c r="F1330" s="1">
        <v>0</v>
      </c>
      <c r="G1330" s="1">
        <v>17</v>
      </c>
      <c r="H1330" s="1">
        <v>0</v>
      </c>
      <c r="I1330" s="1">
        <v>16</v>
      </c>
      <c r="J1330" s="1">
        <v>0</v>
      </c>
      <c r="K1330" s="6">
        <v>1040</v>
      </c>
      <c r="L1330" s="6">
        <v>263636</v>
      </c>
      <c r="M1330" s="1">
        <v>105.9</v>
      </c>
      <c r="N1330" s="1">
        <v>7</v>
      </c>
      <c r="O1330" s="1">
        <v>7</v>
      </c>
      <c r="P1330" s="1">
        <v>44.9</v>
      </c>
      <c r="Q1330" s="11">
        <f>'Table H'!$J$165</f>
        <v>0.81585112166242968</v>
      </c>
      <c r="R1330" s="11">
        <f t="shared" si="43"/>
        <v>215087.72631059631</v>
      </c>
      <c r="S1330" s="11" t="str">
        <f t="shared" si="47"/>
        <v>Wellington RD</v>
      </c>
      <c r="T1330" s="11" t="s">
        <v>5310</v>
      </c>
      <c r="V1330" s="11" t="str">
        <f>INDEX('Lookup 1961'!$A$2:$A$1300, MATCH(S1330, 'Lookup 1961'!$B$2:$B$1300,0))</f>
        <v>J04001363</v>
      </c>
      <c r="W1330" s="11" t="str">
        <f>INDEX('Lookup 1961'!$F$2:$F$1300, MATCH(S1330, 'Lookup 1961'!$B$2:$B$1300,0))</f>
        <v>e310900</v>
      </c>
      <c r="X1330" s="11" t="str">
        <f>INDEX('Lookup 1961'!$C$2:$C$1300, MATCH(V1330, 'Lookup 1961'!$A$2:$A$1300,0))</f>
        <v>Shropshire</v>
      </c>
    </row>
    <row r="1331" spans="1:24" ht="25.05" customHeight="1" x14ac:dyDescent="0.3">
      <c r="A1331" s="4" t="s">
        <v>1115</v>
      </c>
      <c r="B1331" s="4" t="s">
        <v>1115</v>
      </c>
      <c r="C1331" s="1">
        <v>17</v>
      </c>
      <c r="D1331" s="1">
        <v>2</v>
      </c>
      <c r="E1331" s="1">
        <v>14</v>
      </c>
      <c r="F1331" s="1">
        <v>0</v>
      </c>
      <c r="G1331" s="1">
        <v>14</v>
      </c>
      <c r="H1331" s="1">
        <v>6</v>
      </c>
      <c r="I1331" s="1">
        <v>14</v>
      </c>
      <c r="J1331" s="1">
        <v>0</v>
      </c>
      <c r="K1331" s="6">
        <v>440</v>
      </c>
      <c r="L1331" s="6">
        <v>107826</v>
      </c>
      <c r="M1331" s="1">
        <v>92.3</v>
      </c>
      <c r="N1331" s="1">
        <v>5</v>
      </c>
      <c r="O1331" s="1">
        <v>8</v>
      </c>
      <c r="P1331" s="1">
        <v>39.700000000000003</v>
      </c>
      <c r="Q1331" s="11">
        <f>'Table H'!$J$165</f>
        <v>0.81585112166242968</v>
      </c>
      <c r="R1331" s="11">
        <f t="shared" si="43"/>
        <v>87969.963044373144</v>
      </c>
      <c r="S1331" s="11" t="str">
        <f t="shared" si="47"/>
        <v>Wem RD</v>
      </c>
      <c r="T1331" s="11" t="s">
        <v>5310</v>
      </c>
      <c r="V1331" s="11" t="str">
        <f>INDEX('Lookup 1961'!$A$2:$A$1300, MATCH(S1331, 'Lookup 1961'!$B$2:$B$1300,0))</f>
        <v>J04001374</v>
      </c>
      <c r="W1331" s="11" t="str">
        <f>INDEX('Lookup 1961'!$F$2:$F$1300, MATCH(S1331, 'Lookup 1961'!$B$2:$B$1300,0))</f>
        <v>e310896</v>
      </c>
      <c r="X1331" s="11" t="str">
        <f>INDEX('Lookup 1961'!$C$2:$C$1300, MATCH(V1331, 'Lookup 1961'!$A$2:$A$1300,0))</f>
        <v>Shropshire</v>
      </c>
    </row>
    <row r="1332" spans="1:24" ht="25.05" customHeight="1" x14ac:dyDescent="0.3">
      <c r="A1332" s="4" t="s">
        <v>696</v>
      </c>
      <c r="B1332" s="4" t="s">
        <v>696</v>
      </c>
      <c r="S1332" s="11" t="str">
        <f t="shared" si="47"/>
        <v>SOKE OF PETERBOROUGH: RD</v>
      </c>
      <c r="T1332" s="11" t="s">
        <v>5310</v>
      </c>
      <c r="V1332" s="11" t="e">
        <f>INDEX('Lookup 1961'!$A$2:$A$1300, MATCH(S1332, 'Lookup 1961'!$B$2:$B$1300,0))</f>
        <v>#N/A</v>
      </c>
      <c r="W1332" s="11" t="e">
        <f>INDEX('Lookup 1961'!$F$2:$F$1300, MATCH(S1332, 'Lookup 1961'!$B$2:$B$1300,0))</f>
        <v>#N/A</v>
      </c>
      <c r="X1332" s="11" t="e">
        <f>INDEX('Lookup 1961'!$C$2:$C$1300, MATCH(V1332, 'Lookup 1961'!$A$2:$A$1300,0))</f>
        <v>#N/A</v>
      </c>
    </row>
    <row r="1333" spans="1:24" ht="25.05" customHeight="1" x14ac:dyDescent="0.3">
      <c r="A1333" s="4" t="s">
        <v>1116</v>
      </c>
      <c r="B1333" s="4" t="s">
        <v>1116</v>
      </c>
      <c r="C1333" s="1">
        <v>20</v>
      </c>
      <c r="D1333" s="1">
        <v>8</v>
      </c>
      <c r="E1333" s="1">
        <v>15</v>
      </c>
      <c r="F1333" s="1">
        <v>10</v>
      </c>
      <c r="G1333" s="1">
        <v>16</v>
      </c>
      <c r="H1333" s="1">
        <v>10</v>
      </c>
      <c r="I1333" s="1">
        <v>15</v>
      </c>
      <c r="J1333" s="1">
        <v>10</v>
      </c>
      <c r="K1333" s="6">
        <v>114</v>
      </c>
      <c r="L1333" s="6">
        <v>29292</v>
      </c>
      <c r="M1333" s="1">
        <v>36.1</v>
      </c>
      <c r="N1333" s="1">
        <v>5</v>
      </c>
      <c r="O1333" s="1">
        <v>8</v>
      </c>
      <c r="P1333" s="1">
        <v>3.4</v>
      </c>
      <c r="Q1333" s="11">
        <f>'Table H'!$J$169</f>
        <v>0.83671845226085595</v>
      </c>
      <c r="R1333" s="11">
        <f t="shared" si="43"/>
        <v>24509.156903624993</v>
      </c>
      <c r="S1333" s="11" t="str">
        <f t="shared" si="47"/>
        <v>Barnack RD</v>
      </c>
      <c r="T1333" s="11" t="s">
        <v>5310</v>
      </c>
      <c r="V1333" s="11" t="str">
        <f>INDEX('Lookup 1961'!$A$2:$A$1300, MATCH(S1333, 'Lookup 1961'!$B$2:$B$1300,0))</f>
        <v>J04000081</v>
      </c>
      <c r="W1333" s="11" t="str">
        <f>INDEX('Lookup 1961'!$F$2:$F$1300, MATCH(S1333, 'Lookup 1961'!$B$2:$B$1300,0))</f>
        <v>e180503</v>
      </c>
      <c r="X1333" s="11" t="str">
        <f>INDEX('Lookup 1961'!$C$2:$C$1300, MATCH(V1333, 'Lookup 1961'!$A$2:$A$1300,0))</f>
        <v>Cambridgeshire</v>
      </c>
    </row>
    <row r="1334" spans="1:24" ht="25.05" customHeight="1" x14ac:dyDescent="0.3">
      <c r="A1334" s="4" t="s">
        <v>697</v>
      </c>
      <c r="B1334" s="4" t="s">
        <v>697</v>
      </c>
      <c r="C1334" s="1">
        <v>26</v>
      </c>
      <c r="D1334" s="1">
        <v>6</v>
      </c>
      <c r="E1334" s="1">
        <v>16</v>
      </c>
      <c r="F1334" s="1">
        <v>0</v>
      </c>
      <c r="G1334" s="1">
        <v>16</v>
      </c>
      <c r="H1334" s="1">
        <v>8</v>
      </c>
      <c r="I1334" s="1">
        <v>16</v>
      </c>
      <c r="J1334" s="1">
        <v>0</v>
      </c>
      <c r="K1334" s="6">
        <v>230</v>
      </c>
      <c r="L1334" s="6">
        <v>59922</v>
      </c>
      <c r="M1334" s="1">
        <v>142.30000000000001</v>
      </c>
      <c r="N1334" s="1">
        <v>6</v>
      </c>
      <c r="O1334" s="1">
        <v>5</v>
      </c>
      <c r="P1334" s="1">
        <v>51.9</v>
      </c>
      <c r="Q1334" s="11">
        <f>'Table H'!$J$169</f>
        <v>0.83671845226085595</v>
      </c>
      <c r="R1334" s="11">
        <f t="shared" si="43"/>
        <v>50137.843096375007</v>
      </c>
      <c r="S1334" s="11" t="str">
        <f t="shared" si="47"/>
        <v>Peterborough RD</v>
      </c>
      <c r="T1334" s="11" t="s">
        <v>5310</v>
      </c>
      <c r="V1334" s="11" t="str">
        <f>INDEX('Lookup 1961'!$A$2:$A$1300, MATCH(S1334, 'Lookup 1961'!$B$2:$B$1300,0))</f>
        <v>J04000987</v>
      </c>
      <c r="W1334" s="11" t="str">
        <f>INDEX('Lookup 1961'!$F$2:$F$1300, MATCH(S1334, 'Lookup 1961'!$B$2:$B$1300,0))</f>
        <v>e180507</v>
      </c>
      <c r="X1334" s="11" t="str">
        <f>INDEX('Lookup 1961'!$C$2:$C$1300, MATCH(V1334, 'Lookup 1961'!$A$2:$A$1300,0))</f>
        <v>Cambridgeshire</v>
      </c>
    </row>
    <row r="1335" spans="1:24" ht="25.05" customHeight="1" x14ac:dyDescent="0.3">
      <c r="A1335" s="4" t="s">
        <v>698</v>
      </c>
      <c r="B1335" s="4" t="s">
        <v>698</v>
      </c>
      <c r="S1335" s="11" t="str">
        <f t="shared" si="47"/>
        <v>SOMERSET: RD</v>
      </c>
      <c r="T1335" s="11" t="s">
        <v>5310</v>
      </c>
      <c r="V1335" s="11" t="e">
        <f>INDEX('Lookup 1961'!$A$2:$A$1300, MATCH(S1335, 'Lookup 1961'!$B$2:$B$1300,0))</f>
        <v>#N/A</v>
      </c>
      <c r="W1335" s="11" t="e">
        <f>INDEX('Lookup 1961'!$F$2:$F$1300, MATCH(S1335, 'Lookup 1961'!$B$2:$B$1300,0))</f>
        <v>#N/A</v>
      </c>
      <c r="X1335" s="11" t="e">
        <f>INDEX('Lookup 1961'!$C$2:$C$1300, MATCH(V1335, 'Lookup 1961'!$A$2:$A$1300,0))</f>
        <v>#N/A</v>
      </c>
    </row>
    <row r="1336" spans="1:24" ht="25.05" customHeight="1" x14ac:dyDescent="0.3">
      <c r="A1336" s="4" t="s">
        <v>1117</v>
      </c>
      <c r="B1336" s="4" t="s">
        <v>1117</v>
      </c>
      <c r="C1336" s="1">
        <v>20</v>
      </c>
      <c r="D1336" s="1">
        <v>11</v>
      </c>
      <c r="E1336" s="1">
        <v>16</v>
      </c>
      <c r="F1336" s="1">
        <v>4</v>
      </c>
      <c r="G1336" s="1">
        <v>17</v>
      </c>
      <c r="H1336" s="1">
        <v>0</v>
      </c>
      <c r="I1336" s="1">
        <v>16</v>
      </c>
      <c r="J1336" s="1">
        <v>4</v>
      </c>
      <c r="K1336" s="6">
        <v>1285</v>
      </c>
      <c r="L1336" s="6">
        <v>314752</v>
      </c>
      <c r="M1336" s="1">
        <v>64.900000000000006</v>
      </c>
      <c r="N1336" s="1">
        <v>8</v>
      </c>
      <c r="O1336" s="1">
        <v>13</v>
      </c>
      <c r="P1336" s="1">
        <v>21.4</v>
      </c>
      <c r="Q1336" s="11">
        <f>'Table H'!$J$174</f>
        <v>0.91527624185459655</v>
      </c>
      <c r="R1336" s="11">
        <f t="shared" si="43"/>
        <v>288085.02767621796</v>
      </c>
      <c r="S1336" s="11" t="str">
        <f t="shared" si="47"/>
        <v>Axbridge RD</v>
      </c>
      <c r="T1336" s="11" t="s">
        <v>5310</v>
      </c>
      <c r="V1336" s="11" t="str">
        <f>INDEX('Lookup 1961'!$A$2:$A$1300, MATCH(S1336, 'Lookup 1961'!$B$2:$B$1300,0))</f>
        <v>J04000063</v>
      </c>
      <c r="W1336" s="11" t="str">
        <f>INDEX('Lookup 1961'!$F$2:$F$1300, MATCH(S1336, 'Lookup 1961'!$B$2:$B$1300,0))</f>
        <v>e320923</v>
      </c>
      <c r="X1336" s="11" t="str">
        <f>INDEX('Lookup 1961'!$C$2:$C$1300, MATCH(V1336, 'Lookup 1961'!$A$2:$A$1300,0))</f>
        <v>Avon</v>
      </c>
    </row>
    <row r="1337" spans="1:24" ht="25.05" customHeight="1" x14ac:dyDescent="0.3">
      <c r="A1337" s="4" t="s">
        <v>1118</v>
      </c>
      <c r="B1337" s="4" t="s">
        <v>1118</v>
      </c>
      <c r="C1337" s="1">
        <v>23</v>
      </c>
      <c r="D1337" s="1">
        <v>0</v>
      </c>
      <c r="E1337" s="1">
        <v>17</v>
      </c>
      <c r="F1337" s="1">
        <v>6</v>
      </c>
      <c r="G1337" s="1">
        <v>18</v>
      </c>
      <c r="H1337" s="1">
        <v>6</v>
      </c>
      <c r="I1337" s="1">
        <v>17</v>
      </c>
      <c r="J1337" s="1">
        <v>6</v>
      </c>
      <c r="K1337" s="6">
        <v>670</v>
      </c>
      <c r="L1337" s="6">
        <v>170827</v>
      </c>
      <c r="M1337" s="1">
        <v>55.1</v>
      </c>
      <c r="N1337" s="1">
        <v>7</v>
      </c>
      <c r="O1337" s="1">
        <v>13</v>
      </c>
      <c r="P1337" s="1">
        <v>15.6</v>
      </c>
      <c r="Q1337" s="11">
        <f>'Table H'!$J$174</f>
        <v>0.91527624185459655</v>
      </c>
      <c r="R1337" s="11">
        <f t="shared" si="43"/>
        <v>156353.89456729515</v>
      </c>
      <c r="S1337" s="11" t="str">
        <f t="shared" si="47"/>
        <v>Bathavon RD</v>
      </c>
      <c r="T1337" s="11" t="s">
        <v>5310</v>
      </c>
      <c r="V1337" s="11" t="str">
        <f>INDEX('Lookup 1961'!$A$2:$A$1300, MATCH(S1337, 'Lookup 1961'!$B$2:$B$1300,0))</f>
        <v>J04000100</v>
      </c>
      <c r="W1337" s="11" t="str">
        <f>INDEX('Lookup 1961'!$F$2:$F$1300, MATCH(S1337, 'Lookup 1961'!$B$2:$B$1300,0))</f>
        <v>e320925</v>
      </c>
      <c r="X1337" s="11" t="str">
        <f>INDEX('Lookup 1961'!$C$2:$C$1300, MATCH(V1337, 'Lookup 1961'!$A$2:$A$1300,0))</f>
        <v>Avon</v>
      </c>
    </row>
    <row r="1338" spans="1:24" ht="25.05" customHeight="1" x14ac:dyDescent="0.3">
      <c r="A1338" s="4" t="s">
        <v>699</v>
      </c>
      <c r="B1338" s="4" t="s">
        <v>699</v>
      </c>
      <c r="C1338" s="1">
        <v>20</v>
      </c>
      <c r="D1338" s="1">
        <v>0</v>
      </c>
      <c r="E1338" s="1">
        <v>15</v>
      </c>
      <c r="F1338" s="1">
        <v>8</v>
      </c>
      <c r="G1338" s="1">
        <v>16</v>
      </c>
      <c r="H1338" s="1">
        <v>10</v>
      </c>
      <c r="I1338" s="1">
        <v>15</v>
      </c>
      <c r="J1338" s="1">
        <v>8</v>
      </c>
      <c r="K1338" s="6">
        <v>550</v>
      </c>
      <c r="L1338" s="6">
        <v>150003</v>
      </c>
      <c r="M1338" s="1">
        <v>70.8</v>
      </c>
      <c r="N1338" s="1">
        <v>5</v>
      </c>
      <c r="O1338" s="1">
        <v>14</v>
      </c>
      <c r="P1338" s="1">
        <v>30.5</v>
      </c>
      <c r="Q1338" s="11">
        <f>'Table H'!$J$174</f>
        <v>0.91527624185459655</v>
      </c>
      <c r="R1338" s="11">
        <f t="shared" si="43"/>
        <v>137294.18210691505</v>
      </c>
      <c r="S1338" s="11" t="str">
        <f t="shared" si="47"/>
        <v>Bridgwater RD</v>
      </c>
      <c r="T1338" s="11" t="s">
        <v>5310</v>
      </c>
      <c r="V1338" s="11" t="str">
        <f>INDEX('Lookup 1961'!$A$2:$A$1300, MATCH(S1338, 'Lookup 1961'!$B$2:$B$1300,0))</f>
        <v>J04000202</v>
      </c>
      <c r="W1338" s="11" t="str">
        <f>INDEX('Lookup 1961'!$F$2:$F$1300, MATCH(S1338, 'Lookup 1961'!$B$2:$B$1300,0))</f>
        <v>e320926</v>
      </c>
      <c r="X1338" s="11" t="str">
        <f>INDEX('Lookup 1961'!$C$2:$C$1300, MATCH(V1338, 'Lookup 1961'!$A$2:$A$1300,0))</f>
        <v>Somerset</v>
      </c>
    </row>
    <row r="1339" spans="1:24" ht="25.05" customHeight="1" x14ac:dyDescent="0.3">
      <c r="A1339" s="4" t="s">
        <v>700</v>
      </c>
      <c r="B1339" s="4" t="s">
        <v>700</v>
      </c>
      <c r="C1339" s="1">
        <v>21</v>
      </c>
      <c r="D1339" s="1">
        <v>2</v>
      </c>
      <c r="E1339" s="1">
        <v>16</v>
      </c>
      <c r="F1339" s="1">
        <v>8</v>
      </c>
      <c r="G1339" s="1">
        <v>17</v>
      </c>
      <c r="H1339" s="1">
        <v>2</v>
      </c>
      <c r="I1339" s="1">
        <v>16</v>
      </c>
      <c r="J1339" s="1">
        <v>8</v>
      </c>
      <c r="K1339" s="6">
        <v>325</v>
      </c>
      <c r="L1339" s="6">
        <v>85774</v>
      </c>
      <c r="M1339" s="1">
        <v>70.900000000000006</v>
      </c>
      <c r="N1339" s="1">
        <v>5</v>
      </c>
      <c r="O1339" s="1">
        <v>4</v>
      </c>
      <c r="P1339" s="1">
        <v>23.4</v>
      </c>
      <c r="Q1339" s="11">
        <f>'Table H'!$J$174</f>
        <v>0.91527624185459655</v>
      </c>
      <c r="R1339" s="11">
        <f t="shared" si="43"/>
        <v>78506.904368836171</v>
      </c>
      <c r="S1339" s="11" t="str">
        <f t="shared" si="47"/>
        <v>Chard RD</v>
      </c>
      <c r="T1339" s="11" t="s">
        <v>5310</v>
      </c>
      <c r="V1339" s="11" t="str">
        <f>INDEX('Lookup 1961'!$A$2:$A$1300, MATCH(S1339, 'Lookup 1961'!$B$2:$B$1300,0))</f>
        <v>J04000282</v>
      </c>
      <c r="W1339" s="11" t="str">
        <f>INDEX('Lookup 1961'!$F$2:$F$1300, MATCH(S1339, 'Lookup 1961'!$B$2:$B$1300,0))</f>
        <v>e320927</v>
      </c>
      <c r="X1339" s="11" t="str">
        <f>INDEX('Lookup 1961'!$C$2:$C$1300, MATCH(V1339, 'Lookup 1961'!$A$2:$A$1300,0))</f>
        <v>Somerset</v>
      </c>
    </row>
    <row r="1340" spans="1:24" ht="25.05" customHeight="1" x14ac:dyDescent="0.3">
      <c r="A1340" s="4" t="s">
        <v>1119</v>
      </c>
      <c r="B1340" s="4" t="s">
        <v>1119</v>
      </c>
      <c r="C1340" s="1">
        <v>22</v>
      </c>
      <c r="D1340" s="1">
        <v>6</v>
      </c>
      <c r="E1340" s="1">
        <v>16</v>
      </c>
      <c r="F1340" s="1">
        <v>8</v>
      </c>
      <c r="G1340" s="1">
        <v>17</v>
      </c>
      <c r="H1340" s="1">
        <v>4</v>
      </c>
      <c r="I1340" s="1">
        <v>16</v>
      </c>
      <c r="J1340" s="1">
        <v>8</v>
      </c>
      <c r="K1340" s="6">
        <v>545</v>
      </c>
      <c r="L1340" s="6">
        <v>146925</v>
      </c>
      <c r="M1340" s="1">
        <v>95.5</v>
      </c>
      <c r="N1340" s="1">
        <v>7</v>
      </c>
      <c r="O1340" s="1">
        <v>2</v>
      </c>
      <c r="P1340" s="1">
        <v>51.5</v>
      </c>
      <c r="Q1340" s="11">
        <f>'Table H'!$J$174</f>
        <v>0.91527624185459655</v>
      </c>
      <c r="R1340" s="11">
        <f t="shared" si="43"/>
        <v>134476.9618344866</v>
      </c>
      <c r="S1340" s="11" t="str">
        <f t="shared" si="47"/>
        <v>Clutton RD</v>
      </c>
      <c r="T1340" s="11" t="s">
        <v>5310</v>
      </c>
      <c r="V1340" s="11" t="str">
        <f>INDEX('Lookup 1961'!$A$2:$A$1300, MATCH(S1340, 'Lookup 1961'!$B$2:$B$1300,0))</f>
        <v>J04000332</v>
      </c>
      <c r="W1340" s="11" t="str">
        <f>INDEX('Lookup 1961'!$F$2:$F$1300, MATCH(S1340, 'Lookup 1961'!$B$2:$B$1300,0))</f>
        <v>e320928</v>
      </c>
      <c r="X1340" s="11" t="str">
        <f>INDEX('Lookup 1961'!$C$2:$C$1300, MATCH(V1340, 'Lookup 1961'!$A$2:$A$1300,0))</f>
        <v>Avon</v>
      </c>
    </row>
    <row r="1341" spans="1:24" ht="25.05" customHeight="1" x14ac:dyDescent="0.3">
      <c r="A1341" s="4" t="s">
        <v>1120</v>
      </c>
      <c r="B1341" s="4" t="s">
        <v>1120</v>
      </c>
      <c r="C1341" s="1">
        <v>23</v>
      </c>
      <c r="D1341" s="1">
        <v>0</v>
      </c>
      <c r="E1341" s="1">
        <v>17</v>
      </c>
      <c r="F1341" s="1">
        <v>6</v>
      </c>
      <c r="G1341" s="1">
        <v>18</v>
      </c>
      <c r="H1341" s="1">
        <v>0</v>
      </c>
      <c r="I1341" s="1">
        <v>17</v>
      </c>
      <c r="J1341" s="1">
        <v>6</v>
      </c>
      <c r="K1341" s="6">
        <v>127</v>
      </c>
      <c r="L1341" s="6">
        <v>34740</v>
      </c>
      <c r="M1341" s="1">
        <v>83.8</v>
      </c>
      <c r="N1341" s="1">
        <v>6</v>
      </c>
      <c r="O1341" s="1">
        <v>0</v>
      </c>
      <c r="P1341" s="1">
        <v>29.2</v>
      </c>
      <c r="Q1341" s="11">
        <f>'Table H'!$J$174</f>
        <v>0.91527624185459655</v>
      </c>
      <c r="R1341" s="11">
        <f t="shared" si="43"/>
        <v>31796.696642028684</v>
      </c>
      <c r="S1341" s="11" t="str">
        <f t="shared" si="47"/>
        <v>Dulverton RD</v>
      </c>
      <c r="T1341" s="11" t="s">
        <v>5310</v>
      </c>
      <c r="V1341" s="11" t="str">
        <f>INDEX('Lookup 1961'!$A$2:$A$1300, MATCH(S1341, 'Lookup 1961'!$B$2:$B$1300,0))</f>
        <v>J04000435</v>
      </c>
      <c r="W1341" s="11" t="str">
        <f>INDEX('Lookup 1961'!$F$2:$F$1300, MATCH(S1341, 'Lookup 1961'!$B$2:$B$1300,0))</f>
        <v>e320929</v>
      </c>
      <c r="X1341" s="11" t="str">
        <f>INDEX('Lookup 1961'!$C$2:$C$1300, MATCH(V1341, 'Lookup 1961'!$A$2:$A$1300,0))</f>
        <v>Somerset</v>
      </c>
    </row>
    <row r="1342" spans="1:24" ht="25.05" customHeight="1" x14ac:dyDescent="0.3">
      <c r="A1342" s="4" t="s">
        <v>709</v>
      </c>
      <c r="B1342" s="4" t="s">
        <v>709</v>
      </c>
      <c r="C1342" s="1">
        <v>21</v>
      </c>
      <c r="D1342" s="1">
        <v>8</v>
      </c>
      <c r="E1342" s="1">
        <v>18</v>
      </c>
      <c r="F1342" s="1">
        <v>10</v>
      </c>
      <c r="G1342" s="1">
        <v>19</v>
      </c>
      <c r="H1342" s="1">
        <v>8</v>
      </c>
      <c r="I1342" s="1">
        <v>18</v>
      </c>
      <c r="J1342" s="1">
        <v>10</v>
      </c>
      <c r="K1342" s="6">
        <v>245</v>
      </c>
      <c r="L1342" s="6">
        <v>67248</v>
      </c>
      <c r="M1342" s="1">
        <v>58.5</v>
      </c>
      <c r="N1342" s="1">
        <v>5</v>
      </c>
      <c r="O1342" s="1">
        <v>19</v>
      </c>
      <c r="P1342" s="1">
        <v>36.5</v>
      </c>
      <c r="Q1342" s="11">
        <f>'Table H'!$J$174</f>
        <v>0.91527624185459655</v>
      </c>
      <c r="R1342" s="11">
        <f t="shared" si="43"/>
        <v>61550.496712237909</v>
      </c>
      <c r="S1342" s="11" t="str">
        <f t="shared" si="47"/>
        <v>Frome RD</v>
      </c>
      <c r="T1342" s="11" t="s">
        <v>5310</v>
      </c>
      <c r="V1342" s="11" t="str">
        <f>INDEX('Lookup 1961'!$A$2:$A$1300, MATCH(S1342, 'Lookup 1961'!$B$2:$B$1300,0))</f>
        <v>J04000519</v>
      </c>
      <c r="W1342" s="11" t="str">
        <f>INDEX('Lookup 1961'!$F$2:$F$1300, MATCH(S1342, 'Lookup 1961'!$B$2:$B$1300,0))</f>
        <v>e320930</v>
      </c>
      <c r="X1342" s="11" t="str">
        <f>INDEX('Lookup 1961'!$C$2:$C$1300, MATCH(V1342, 'Lookup 1961'!$A$2:$A$1300,0))</f>
        <v>Somerset</v>
      </c>
    </row>
    <row r="1343" spans="1:24" ht="25.05" customHeight="1" x14ac:dyDescent="0.3">
      <c r="A1343" s="4" t="s">
        <v>1121</v>
      </c>
      <c r="B1343" s="4" t="s">
        <v>1121</v>
      </c>
      <c r="C1343" s="1">
        <v>22</v>
      </c>
      <c r="D1343" s="1">
        <v>6</v>
      </c>
      <c r="E1343" s="1">
        <v>17</v>
      </c>
      <c r="F1343" s="1">
        <v>6</v>
      </c>
      <c r="G1343" s="1">
        <v>18</v>
      </c>
      <c r="H1343" s="1">
        <v>7</v>
      </c>
      <c r="I1343" s="1">
        <v>17</v>
      </c>
      <c r="J1343" s="1">
        <v>6</v>
      </c>
      <c r="K1343" s="6">
        <v>401</v>
      </c>
      <c r="L1343" s="6">
        <v>102196</v>
      </c>
      <c r="M1343" s="1">
        <v>85.4</v>
      </c>
      <c r="N1343" s="1">
        <v>7</v>
      </c>
      <c r="O1343" s="1">
        <v>1</v>
      </c>
      <c r="P1343" s="1">
        <v>44.5</v>
      </c>
      <c r="Q1343" s="11">
        <f>'Table H'!$J$174</f>
        <v>0.91527624185459655</v>
      </c>
      <c r="R1343" s="11">
        <f t="shared" si="43"/>
        <v>93537.570812572347</v>
      </c>
      <c r="S1343" s="11" t="str">
        <f t="shared" si="47"/>
        <v>Langport RD</v>
      </c>
      <c r="T1343" s="11" t="s">
        <v>5310</v>
      </c>
      <c r="V1343" s="11" t="str">
        <f>INDEX('Lookup 1961'!$A$2:$A$1300, MATCH(S1343, 'Lookup 1961'!$B$2:$B$1300,0))</f>
        <v>J04000721</v>
      </c>
      <c r="W1343" s="11" t="str">
        <f>INDEX('Lookup 1961'!$F$2:$F$1300, MATCH(S1343, 'Lookup 1961'!$B$2:$B$1300,0))</f>
        <v>e320931</v>
      </c>
      <c r="X1343" s="11" t="str">
        <f>INDEX('Lookup 1961'!$C$2:$C$1300, MATCH(V1343, 'Lookup 1961'!$A$2:$A$1300,0))</f>
        <v>Somerset</v>
      </c>
    </row>
    <row r="1344" spans="1:24" ht="25.05" customHeight="1" x14ac:dyDescent="0.3">
      <c r="A1344" s="4" t="s">
        <v>1122</v>
      </c>
      <c r="B1344" s="4" t="s">
        <v>1122</v>
      </c>
      <c r="C1344" s="1">
        <v>20</v>
      </c>
      <c r="D1344" s="1">
        <v>4</v>
      </c>
      <c r="E1344" s="1">
        <v>16</v>
      </c>
      <c r="F1344" s="1">
        <v>1</v>
      </c>
      <c r="G1344" s="1">
        <v>16</v>
      </c>
      <c r="H1344" s="1">
        <v>9</v>
      </c>
      <c r="I1344" s="1">
        <v>16</v>
      </c>
      <c r="J1344" s="1">
        <v>1</v>
      </c>
      <c r="K1344" s="6">
        <v>990</v>
      </c>
      <c r="L1344" s="6">
        <v>252528</v>
      </c>
      <c r="M1344" s="1">
        <v>48</v>
      </c>
      <c r="N1344" s="1">
        <v>8</v>
      </c>
      <c r="O1344" s="1">
        <v>14</v>
      </c>
      <c r="P1344" s="1">
        <v>15.3</v>
      </c>
      <c r="Q1344" s="11">
        <f>'Table H'!$J$174</f>
        <v>0.91527624185459655</v>
      </c>
      <c r="R1344" s="11">
        <f t="shared" si="43"/>
        <v>231132.87880305757</v>
      </c>
      <c r="S1344" s="11" t="str">
        <f t="shared" si="47"/>
        <v>Long Ashton RD</v>
      </c>
      <c r="T1344" s="11" t="s">
        <v>5310</v>
      </c>
      <c r="V1344" s="11" t="str">
        <f>INDEX('Lookup 1961'!$A$2:$A$1300, MATCH(S1344, 'Lookup 1961'!$B$2:$B$1300,0))</f>
        <v>J04000775</v>
      </c>
      <c r="W1344" s="11" t="str">
        <f>INDEX('Lookup 1961'!$F$2:$F$1300, MATCH(S1344, 'Lookup 1961'!$B$2:$B$1300,0))</f>
        <v>e320932</v>
      </c>
      <c r="X1344" s="11" t="str">
        <f>INDEX('Lookup 1961'!$C$2:$C$1300, MATCH(V1344, 'Lookup 1961'!$A$2:$A$1300,0))</f>
        <v>Avon</v>
      </c>
    </row>
    <row r="1345" spans="1:24" ht="25.05" customHeight="1" x14ac:dyDescent="0.3">
      <c r="A1345" s="4" t="s">
        <v>715</v>
      </c>
      <c r="B1345" s="4" t="s">
        <v>715</v>
      </c>
      <c r="C1345" s="1">
        <v>23</v>
      </c>
      <c r="D1345" s="1">
        <v>9</v>
      </c>
      <c r="E1345" s="1">
        <v>17</v>
      </c>
      <c r="F1345" s="1">
        <v>8</v>
      </c>
      <c r="G1345" s="1">
        <v>18</v>
      </c>
      <c r="H1345" s="1">
        <v>3</v>
      </c>
      <c r="I1345" s="1">
        <v>16</v>
      </c>
      <c r="J1345" s="1">
        <v>8</v>
      </c>
      <c r="K1345" s="6">
        <v>290</v>
      </c>
      <c r="L1345" s="6">
        <v>76742</v>
      </c>
      <c r="M1345" s="1">
        <v>56.7</v>
      </c>
      <c r="N1345" s="1">
        <v>5</v>
      </c>
      <c r="O1345" s="1">
        <v>19</v>
      </c>
      <c r="P1345" s="1">
        <v>13.3</v>
      </c>
      <c r="Q1345" s="11">
        <f>'Table H'!$J$174</f>
        <v>0.91527624185459655</v>
      </c>
      <c r="R1345" s="11">
        <f t="shared" si="43"/>
        <v>70240.129352405449</v>
      </c>
      <c r="S1345" s="11" t="str">
        <f t="shared" si="47"/>
        <v>Shepton Mallet RD</v>
      </c>
      <c r="T1345" s="11" t="s">
        <v>5310</v>
      </c>
      <c r="V1345" s="11" t="str">
        <f>INDEX('Lookup 1961'!$A$2:$A$1300, MATCH(S1345, 'Lookup 1961'!$B$2:$B$1300,0))</f>
        <v>J04001129</v>
      </c>
      <c r="W1345" s="11" t="str">
        <f>INDEX('Lookup 1961'!$F$2:$F$1300, MATCH(S1345, 'Lookup 1961'!$B$2:$B$1300,0))</f>
        <v>e320933</v>
      </c>
      <c r="X1345" s="11" t="str">
        <f>INDEX('Lookup 1961'!$C$2:$C$1300, MATCH(V1345, 'Lookup 1961'!$A$2:$A$1300,0))</f>
        <v>Somerset</v>
      </c>
    </row>
    <row r="1346" spans="1:24" ht="25.05" customHeight="1" x14ac:dyDescent="0.3">
      <c r="A1346" s="4" t="s">
        <v>702</v>
      </c>
      <c r="B1346" s="4" t="s">
        <v>702</v>
      </c>
      <c r="C1346" s="1">
        <v>20</v>
      </c>
      <c r="D1346" s="1">
        <v>2</v>
      </c>
      <c r="E1346" s="1">
        <v>15</v>
      </c>
      <c r="F1346" s="1">
        <v>2</v>
      </c>
      <c r="G1346" s="1">
        <v>15</v>
      </c>
      <c r="H1346" s="1">
        <v>8</v>
      </c>
      <c r="I1346" s="1">
        <v>14</v>
      </c>
      <c r="J1346" s="1">
        <v>10</v>
      </c>
      <c r="K1346" s="6">
        <v>675</v>
      </c>
      <c r="L1346" s="6">
        <v>174841</v>
      </c>
      <c r="M1346" s="1">
        <v>53.6</v>
      </c>
      <c r="N1346" s="1">
        <v>6</v>
      </c>
      <c r="O1346" s="1">
        <v>2</v>
      </c>
      <c r="P1346" s="1">
        <v>14.5</v>
      </c>
      <c r="Q1346" s="11">
        <f>'Table H'!$J$174</f>
        <v>0.91527624185459655</v>
      </c>
      <c r="R1346" s="11">
        <f t="shared" si="43"/>
        <v>160027.81340209951</v>
      </c>
      <c r="S1346" s="11" t="str">
        <f t="shared" si="47"/>
        <v>Taunton RD</v>
      </c>
      <c r="T1346" s="11" t="s">
        <v>5310</v>
      </c>
      <c r="V1346" s="11" t="str">
        <f>INDEX('Lookup 1961'!$A$2:$A$1300, MATCH(S1346, 'Lookup 1961'!$B$2:$B$1300,0))</f>
        <v>J04001252</v>
      </c>
      <c r="W1346" s="11" t="str">
        <f>INDEX('Lookup 1961'!$F$2:$F$1300, MATCH(S1346, 'Lookup 1961'!$B$2:$B$1300,0))</f>
        <v>e320934</v>
      </c>
      <c r="X1346" s="11" t="str">
        <f>INDEX('Lookup 1961'!$C$2:$C$1300, MATCH(V1346, 'Lookup 1961'!$A$2:$A$1300,0))</f>
        <v>Somerset</v>
      </c>
    </row>
    <row r="1347" spans="1:24" ht="25.05" customHeight="1" x14ac:dyDescent="0.3">
      <c r="A1347" s="4" t="s">
        <v>694</v>
      </c>
      <c r="B1347" s="4" t="s">
        <v>694</v>
      </c>
      <c r="C1347" s="1">
        <v>21</v>
      </c>
      <c r="D1347" s="1">
        <v>10</v>
      </c>
      <c r="E1347" s="1">
        <v>16</v>
      </c>
      <c r="F1347" s="1">
        <v>4</v>
      </c>
      <c r="G1347" s="1">
        <v>16</v>
      </c>
      <c r="H1347" s="1">
        <v>10</v>
      </c>
      <c r="I1347" s="1">
        <v>16</v>
      </c>
      <c r="J1347" s="1">
        <v>4</v>
      </c>
      <c r="K1347" s="6">
        <v>230</v>
      </c>
      <c r="L1347" s="6">
        <v>58976</v>
      </c>
      <c r="M1347" s="1">
        <v>74.900000000000006</v>
      </c>
      <c r="N1347" s="1">
        <v>5</v>
      </c>
      <c r="O1347" s="1">
        <v>17</v>
      </c>
      <c r="P1347" s="1">
        <v>24.5</v>
      </c>
      <c r="Q1347" s="11">
        <f>'Table H'!$J$174</f>
        <v>0.91527624185459655</v>
      </c>
      <c r="R1347" s="11">
        <f t="shared" si="43"/>
        <v>53979.331639616685</v>
      </c>
      <c r="S1347" s="11" t="str">
        <f t="shared" si="47"/>
        <v>Wellington RD</v>
      </c>
      <c r="T1347" s="11" t="s">
        <v>5310</v>
      </c>
      <c r="V1347" s="11" t="s">
        <v>4386</v>
      </c>
      <c r="W1347" s="11" t="s">
        <v>4387</v>
      </c>
      <c r="X1347" s="11" t="str">
        <f>INDEX('Lookup 1961'!$C$2:$C$1300, MATCH(V1347, 'Lookup 1961'!$A$2:$A$1300,0))</f>
        <v>Somerset</v>
      </c>
    </row>
    <row r="1348" spans="1:24" ht="25.05" customHeight="1" x14ac:dyDescent="0.3">
      <c r="A1348" s="4" t="s">
        <v>703</v>
      </c>
      <c r="B1348" s="4" t="s">
        <v>703</v>
      </c>
      <c r="C1348" s="1">
        <v>22</v>
      </c>
      <c r="D1348" s="1">
        <v>6</v>
      </c>
      <c r="E1348" s="1">
        <v>18</v>
      </c>
      <c r="F1348" s="1">
        <v>2</v>
      </c>
      <c r="G1348" s="1">
        <v>18</v>
      </c>
      <c r="H1348" s="1">
        <v>8</v>
      </c>
      <c r="I1348" s="1">
        <v>18</v>
      </c>
      <c r="J1348" s="1">
        <v>2</v>
      </c>
      <c r="K1348" s="6">
        <v>260</v>
      </c>
      <c r="L1348" s="6">
        <v>66651</v>
      </c>
      <c r="M1348" s="1">
        <v>47.3</v>
      </c>
      <c r="N1348" s="1">
        <v>5</v>
      </c>
      <c r="O1348" s="1">
        <v>14</v>
      </c>
      <c r="P1348" s="1">
        <v>13.5</v>
      </c>
      <c r="Q1348" s="11">
        <f>'Table H'!$J$174</f>
        <v>0.91527624185459655</v>
      </c>
      <c r="R1348" s="11">
        <f t="shared" si="43"/>
        <v>61004.076795850713</v>
      </c>
      <c r="S1348" s="11" t="str">
        <f t="shared" si="47"/>
        <v>Wells RD</v>
      </c>
      <c r="T1348" s="11" t="s">
        <v>5310</v>
      </c>
      <c r="V1348" s="11" t="str">
        <f>INDEX('Lookup 1961'!$A$2:$A$1300, MATCH(S1348, 'Lookup 1961'!$B$2:$B$1300,0))</f>
        <v>J04001368</v>
      </c>
      <c r="W1348" s="11" t="str">
        <f>INDEX('Lookup 1961'!$F$2:$F$1300, MATCH(S1348, 'Lookup 1961'!$B$2:$B$1300,0))</f>
        <v>e320936</v>
      </c>
      <c r="X1348" s="11" t="str">
        <f>INDEX('Lookup 1961'!$C$2:$C$1300, MATCH(V1348, 'Lookup 1961'!$A$2:$A$1300,0))</f>
        <v>Somerset</v>
      </c>
    </row>
    <row r="1349" spans="1:24" ht="25.05" customHeight="1" x14ac:dyDescent="0.3">
      <c r="A1349" s="4" t="s">
        <v>1123</v>
      </c>
      <c r="B1349" s="4" t="s">
        <v>1123</v>
      </c>
      <c r="C1349" s="1">
        <v>20</v>
      </c>
      <c r="D1349" s="1">
        <v>6</v>
      </c>
      <c r="E1349" s="1">
        <v>15</v>
      </c>
      <c r="F1349" s="1">
        <v>8</v>
      </c>
      <c r="G1349" s="1">
        <v>16</v>
      </c>
      <c r="H1349" s="1">
        <v>6</v>
      </c>
      <c r="I1349" s="1">
        <v>15</v>
      </c>
      <c r="J1349" s="1">
        <v>8</v>
      </c>
      <c r="K1349" s="6">
        <v>495</v>
      </c>
      <c r="L1349" s="6">
        <v>126231</v>
      </c>
      <c r="M1349" s="1">
        <v>77.400000000000006</v>
      </c>
      <c r="N1349" s="1">
        <v>7</v>
      </c>
      <c r="O1349" s="1">
        <v>7</v>
      </c>
      <c r="P1349" s="1">
        <v>36.299999999999997</v>
      </c>
      <c r="Q1349" s="11">
        <f>'Table H'!$J$174</f>
        <v>0.91527624185459655</v>
      </c>
      <c r="R1349" s="11">
        <f t="shared" si="43"/>
        <v>115536.23528554758</v>
      </c>
      <c r="S1349" s="11" t="str">
        <f t="shared" si="47"/>
        <v>Williton RD</v>
      </c>
      <c r="T1349" s="11" t="s">
        <v>5310</v>
      </c>
      <c r="V1349" s="11" t="str">
        <f>INDEX('Lookup 1961'!$A$2:$A$1300, MATCH(S1349, 'Lookup 1961'!$B$2:$B$1300,0))</f>
        <v>J04001415</v>
      </c>
      <c r="W1349" s="11" t="str">
        <f>INDEX('Lookup 1961'!$F$2:$F$1300, MATCH(S1349, 'Lookup 1961'!$B$2:$B$1300,0))</f>
        <v>e320937</v>
      </c>
      <c r="X1349" s="11" t="str">
        <f>INDEX('Lookup 1961'!$C$2:$C$1300, MATCH(V1349, 'Lookup 1961'!$A$2:$A$1300,0))</f>
        <v>Somerset</v>
      </c>
    </row>
    <row r="1350" spans="1:24" ht="25.05" customHeight="1" x14ac:dyDescent="0.3">
      <c r="A1350" s="4" t="s">
        <v>1124</v>
      </c>
      <c r="B1350" s="4" t="s">
        <v>1124</v>
      </c>
      <c r="C1350" s="1">
        <v>24</v>
      </c>
      <c r="D1350" s="1">
        <v>0</v>
      </c>
      <c r="E1350" s="1">
        <v>17</v>
      </c>
      <c r="F1350" s="1">
        <v>0</v>
      </c>
      <c r="G1350" s="1">
        <v>18</v>
      </c>
      <c r="H1350" s="1">
        <v>11</v>
      </c>
      <c r="I1350" s="1">
        <v>17</v>
      </c>
      <c r="J1350" s="1">
        <v>0</v>
      </c>
      <c r="K1350" s="6">
        <v>620</v>
      </c>
      <c r="L1350" s="6">
        <v>152403</v>
      </c>
      <c r="M1350" s="1">
        <v>82</v>
      </c>
      <c r="N1350" s="1">
        <v>7</v>
      </c>
      <c r="O1350" s="1">
        <v>11</v>
      </c>
      <c r="P1350" s="1">
        <v>27.1</v>
      </c>
      <c r="Q1350" s="11">
        <f>'Table H'!$J$174</f>
        <v>0.91527624185459655</v>
      </c>
      <c r="R1350" s="11">
        <f t="shared" si="43"/>
        <v>139490.84508736609</v>
      </c>
      <c r="S1350" s="11" t="str">
        <f t="shared" si="47"/>
        <v>Wincanton RD</v>
      </c>
      <c r="T1350" s="11" t="s">
        <v>5310</v>
      </c>
      <c r="V1350" s="11" t="str">
        <f>INDEX('Lookup 1961'!$A$2:$A$1300, MATCH(S1350, 'Lookup 1961'!$B$2:$B$1300,0))</f>
        <v>J04001421</v>
      </c>
      <c r="W1350" s="11" t="str">
        <f>INDEX('Lookup 1961'!$F$2:$F$1300, MATCH(S1350, 'Lookup 1961'!$B$2:$B$1300,0))</f>
        <v>e320938</v>
      </c>
      <c r="X1350" s="11" t="str">
        <f>INDEX('Lookup 1961'!$C$2:$C$1300, MATCH(V1350, 'Lookup 1961'!$A$2:$A$1300,0))</f>
        <v>Somerset</v>
      </c>
    </row>
    <row r="1351" spans="1:24" ht="25.05" customHeight="1" x14ac:dyDescent="0.3">
      <c r="A1351" s="4" t="s">
        <v>705</v>
      </c>
      <c r="B1351" s="4" t="s">
        <v>705</v>
      </c>
      <c r="C1351" s="1">
        <v>23</v>
      </c>
      <c r="D1351" s="1">
        <v>5</v>
      </c>
      <c r="E1351" s="1">
        <v>16</v>
      </c>
      <c r="F1351" s="1">
        <v>4</v>
      </c>
      <c r="G1351" s="1">
        <v>17</v>
      </c>
      <c r="H1351" s="1">
        <v>11</v>
      </c>
      <c r="I1351" s="1">
        <v>16</v>
      </c>
      <c r="J1351" s="1">
        <v>4</v>
      </c>
      <c r="K1351" s="6">
        <v>720</v>
      </c>
      <c r="L1351" s="6">
        <v>181272</v>
      </c>
      <c r="M1351" s="1">
        <v>91.2</v>
      </c>
      <c r="N1351" s="1">
        <v>6</v>
      </c>
      <c r="O1351" s="1">
        <v>1</v>
      </c>
      <c r="P1351" s="1">
        <v>33.5</v>
      </c>
      <c r="Q1351" s="11">
        <f>'Table H'!$J$174</f>
        <v>0.91527624185459655</v>
      </c>
      <c r="R1351" s="11">
        <f t="shared" ref="R1351:R1414" si="48">Q1351*L1351</f>
        <v>165913.95491346641</v>
      </c>
      <c r="S1351" s="11" t="str">
        <f t="shared" si="47"/>
        <v>Yeovil RD</v>
      </c>
      <c r="T1351" s="11" t="s">
        <v>5310</v>
      </c>
      <c r="V1351" s="11" t="str">
        <f>INDEX('Lookup 1961'!$A$2:$A$1300, MATCH(S1351, 'Lookup 1961'!$B$2:$B$1300,0))</f>
        <v>J04001464</v>
      </c>
      <c r="W1351" s="11" t="str">
        <f>INDEX('Lookup 1961'!$F$2:$F$1300, MATCH(S1351, 'Lookup 1961'!$B$2:$B$1300,0))</f>
        <v>e320939</v>
      </c>
      <c r="X1351" s="11" t="str">
        <f>INDEX('Lookup 1961'!$C$2:$C$1300, MATCH(V1351, 'Lookup 1961'!$A$2:$A$1300,0))</f>
        <v>Somerset</v>
      </c>
    </row>
    <row r="1352" spans="1:24" ht="25.05" customHeight="1" x14ac:dyDescent="0.3">
      <c r="A1352" s="4" t="s">
        <v>718</v>
      </c>
      <c r="B1352" s="4" t="s">
        <v>718</v>
      </c>
      <c r="S1352" s="11" t="str">
        <f t="shared" si="47"/>
        <v>SOUTHAMPTON: RD</v>
      </c>
      <c r="T1352" s="11" t="s">
        <v>5310</v>
      </c>
      <c r="V1352" s="11" t="e">
        <f>INDEX('Lookup 1961'!$A$2:$A$1300, MATCH(S1352, 'Lookup 1961'!$B$2:$B$1300,0))</f>
        <v>#N/A</v>
      </c>
      <c r="W1352" s="11" t="e">
        <f>INDEX('Lookup 1961'!$F$2:$F$1300, MATCH(S1352, 'Lookup 1961'!$B$2:$B$1300,0))</f>
        <v>#N/A</v>
      </c>
      <c r="X1352" s="11" t="e">
        <f>INDEX('Lookup 1961'!$C$2:$C$1300, MATCH(V1352, 'Lookup 1961'!$A$2:$A$1300,0))</f>
        <v>#N/A</v>
      </c>
    </row>
    <row r="1353" spans="1:24" ht="25.05" customHeight="1" x14ac:dyDescent="0.3">
      <c r="A1353" s="4" t="s">
        <v>728</v>
      </c>
      <c r="B1353" s="4" t="s">
        <v>728</v>
      </c>
      <c r="C1353" s="1">
        <v>19</v>
      </c>
      <c r="D1353" s="1">
        <v>4</v>
      </c>
      <c r="E1353" s="1">
        <v>13</v>
      </c>
      <c r="F1353" s="1">
        <v>4</v>
      </c>
      <c r="G1353" s="1">
        <v>14</v>
      </c>
      <c r="H1353" s="1">
        <v>0</v>
      </c>
      <c r="I1353" s="1">
        <v>13</v>
      </c>
      <c r="J1353" s="1">
        <v>4</v>
      </c>
      <c r="K1353" s="6">
        <v>1135</v>
      </c>
      <c r="L1353" s="6">
        <v>240834</v>
      </c>
      <c r="M1353" s="1">
        <v>39.700000000000003</v>
      </c>
      <c r="N1353" s="1">
        <v>7</v>
      </c>
      <c r="O1353" s="1">
        <v>8</v>
      </c>
      <c r="P1353" s="1">
        <v>12</v>
      </c>
      <c r="Q1353" s="11">
        <f>'Table H'!$J$179</f>
        <v>0.79468584784754248</v>
      </c>
      <c r="R1353" s="11">
        <f t="shared" si="48"/>
        <v>191387.37148051505</v>
      </c>
      <c r="S1353" s="11" t="str">
        <f t="shared" si="47"/>
        <v>Alton RD</v>
      </c>
      <c r="T1353" s="11" t="s">
        <v>5310</v>
      </c>
      <c r="V1353" s="11" t="str">
        <f>INDEX('Lookup 1961'!$A$2:$A$1300, MATCH(S1353, 'Lookup 1961'!$B$2:$B$1300,0))</f>
        <v>J04000032</v>
      </c>
      <c r="W1353" s="11" t="str">
        <f>INDEX('Lookup 1961'!$F$2:$F$1300, MATCH(S1353, 'Lookup 1961'!$B$2:$B$1300,0))</f>
        <v>e150429</v>
      </c>
      <c r="X1353" s="11" t="str">
        <f>INDEX('Lookup 1961'!$C$2:$C$1300, MATCH(V1353, 'Lookup 1961'!$A$2:$A$1300,0))</f>
        <v>Hampshire</v>
      </c>
    </row>
    <row r="1354" spans="1:24" ht="25.05" customHeight="1" x14ac:dyDescent="0.3">
      <c r="A1354" s="4" t="s">
        <v>720</v>
      </c>
      <c r="B1354" s="4" t="s">
        <v>720</v>
      </c>
      <c r="C1354" s="1">
        <v>19</v>
      </c>
      <c r="D1354" s="1">
        <v>10</v>
      </c>
      <c r="E1354" s="1">
        <v>13</v>
      </c>
      <c r="F1354" s="1">
        <v>4</v>
      </c>
      <c r="G1354" s="1">
        <v>13</v>
      </c>
      <c r="H1354" s="1">
        <v>8</v>
      </c>
      <c r="I1354" s="1">
        <v>13</v>
      </c>
      <c r="J1354" s="1">
        <v>4</v>
      </c>
      <c r="K1354" s="6">
        <v>788</v>
      </c>
      <c r="L1354" s="6">
        <v>167815</v>
      </c>
      <c r="M1354" s="1">
        <v>47.6</v>
      </c>
      <c r="N1354" s="1">
        <v>5</v>
      </c>
      <c r="O1354" s="1">
        <v>18</v>
      </c>
      <c r="P1354" s="1">
        <v>17.600000000000001</v>
      </c>
      <c r="Q1354" s="11">
        <f>'Table H'!$J$179</f>
        <v>0.79468584784754248</v>
      </c>
      <c r="R1354" s="11">
        <f t="shared" si="48"/>
        <v>133360.20555653534</v>
      </c>
      <c r="S1354" s="11" t="str">
        <f t="shared" si="47"/>
        <v>Andover RD</v>
      </c>
      <c r="T1354" s="11" t="s">
        <v>5310</v>
      </c>
      <c r="V1354" s="11" t="str">
        <f>INDEX('Lookup 1961'!$A$2:$A$1300, MATCH(S1354, 'Lookup 1961'!$B$2:$B$1300,0))</f>
        <v>J04000044</v>
      </c>
      <c r="W1354" s="11" t="str">
        <f>INDEX('Lookup 1961'!$F$2:$F$1300, MATCH(S1354, 'Lookup 1961'!$B$2:$B$1300,0))</f>
        <v>e150430</v>
      </c>
      <c r="X1354" s="11" t="str">
        <f>INDEX('Lookup 1961'!$C$2:$C$1300, MATCH(V1354, 'Lookup 1961'!$A$2:$A$1300,0))</f>
        <v>Hampshire</v>
      </c>
    </row>
    <row r="1355" spans="1:24" ht="25.05" customHeight="1" x14ac:dyDescent="0.3">
      <c r="A1355" s="4" t="s">
        <v>721</v>
      </c>
      <c r="B1355" s="4" t="s">
        <v>721</v>
      </c>
      <c r="C1355" s="1">
        <v>19</v>
      </c>
      <c r="D1355" s="1">
        <v>6</v>
      </c>
      <c r="E1355" s="1">
        <v>14</v>
      </c>
      <c r="F1355" s="1">
        <v>6</v>
      </c>
      <c r="G1355" s="1">
        <v>14</v>
      </c>
      <c r="H1355" s="1">
        <v>11</v>
      </c>
      <c r="I1355" s="1">
        <v>14</v>
      </c>
      <c r="J1355" s="1">
        <v>6</v>
      </c>
      <c r="K1355" s="6">
        <v>700</v>
      </c>
      <c r="L1355" s="6">
        <v>159784</v>
      </c>
      <c r="M1355" s="1">
        <v>47.1</v>
      </c>
      <c r="N1355" s="1">
        <v>7</v>
      </c>
      <c r="O1355" s="1">
        <v>7</v>
      </c>
      <c r="P1355" s="1">
        <v>25.6</v>
      </c>
      <c r="Q1355" s="11">
        <f>'Table H'!$J$179</f>
        <v>0.79468584784754248</v>
      </c>
      <c r="R1355" s="11">
        <f t="shared" si="48"/>
        <v>126978.08351247173</v>
      </c>
      <c r="S1355" s="11" t="str">
        <f t="shared" ref="S1355:S1418" si="49">_xlfn.CONCAT(B1355," ",T1355)</f>
        <v>Basingstoke RD</v>
      </c>
      <c r="T1355" s="11" t="s">
        <v>5310</v>
      </c>
      <c r="V1355" s="11" t="str">
        <f>INDEX('Lookup 1961'!$A$2:$A$1300, MATCH(S1355, 'Lookup 1961'!$B$2:$B$1300,0))</f>
        <v>J04000098</v>
      </c>
      <c r="W1355" s="11" t="str">
        <f>INDEX('Lookup 1961'!$F$2:$F$1300, MATCH(S1355, 'Lookup 1961'!$B$2:$B$1300,0))</f>
        <v>e150431</v>
      </c>
      <c r="X1355" s="11" t="str">
        <f>INDEX('Lookup 1961'!$C$2:$C$1300, MATCH(V1355, 'Lookup 1961'!$A$2:$A$1300,0))</f>
        <v>Hampshire</v>
      </c>
    </row>
    <row r="1356" spans="1:24" ht="25.05" customHeight="1" x14ac:dyDescent="0.3">
      <c r="A1356" s="4" t="s">
        <v>1125</v>
      </c>
      <c r="B1356" s="4" t="s">
        <v>1125</v>
      </c>
      <c r="C1356" s="1">
        <v>20</v>
      </c>
      <c r="D1356" s="1">
        <v>0</v>
      </c>
      <c r="E1356" s="1">
        <v>13</v>
      </c>
      <c r="F1356" s="1">
        <v>8</v>
      </c>
      <c r="G1356" s="1">
        <v>14</v>
      </c>
      <c r="H1356" s="1">
        <v>3</v>
      </c>
      <c r="I1356" s="1">
        <v>13</v>
      </c>
      <c r="J1356" s="1">
        <v>8</v>
      </c>
      <c r="K1356" s="6">
        <v>900</v>
      </c>
      <c r="L1356" s="6">
        <v>221093</v>
      </c>
      <c r="M1356" s="1">
        <v>58.6</v>
      </c>
      <c r="N1356" s="1">
        <v>7</v>
      </c>
      <c r="O1356" s="1">
        <v>11</v>
      </c>
      <c r="P1356" s="1">
        <v>8.1999999999999993</v>
      </c>
      <c r="Q1356" s="11">
        <f>'Table H'!$J$179</f>
        <v>0.79468584784754248</v>
      </c>
      <c r="R1356" s="11">
        <f t="shared" si="48"/>
        <v>175699.47815815671</v>
      </c>
      <c r="S1356" s="11" t="str">
        <f t="shared" si="49"/>
        <v>Droxford RD</v>
      </c>
      <c r="T1356" s="11" t="s">
        <v>5310</v>
      </c>
      <c r="V1356" s="11" t="str">
        <f>INDEX('Lookup 1961'!$A$2:$A$1300, MATCH(S1356, 'Lookup 1961'!$B$2:$B$1300,0))</f>
        <v>J04000431</v>
      </c>
      <c r="W1356" s="11" t="str">
        <f>INDEX('Lookup 1961'!$F$2:$F$1300, MATCH(S1356, 'Lookup 1961'!$B$2:$B$1300,0))</f>
        <v>e150432</v>
      </c>
      <c r="X1356" s="11" t="str">
        <f>INDEX('Lookup 1961'!$C$2:$C$1300, MATCH(V1356, 'Lookup 1961'!$A$2:$A$1300,0))</f>
        <v>Hampshire</v>
      </c>
    </row>
    <row r="1357" spans="1:24" ht="25.05" customHeight="1" x14ac:dyDescent="0.3">
      <c r="A1357" s="4" t="s">
        <v>1126</v>
      </c>
      <c r="B1357" s="4" t="s">
        <v>1126</v>
      </c>
      <c r="C1357" s="1">
        <v>20</v>
      </c>
      <c r="D1357" s="1">
        <v>10</v>
      </c>
      <c r="E1357" s="1">
        <v>14</v>
      </c>
      <c r="F1357" s="1">
        <v>2</v>
      </c>
      <c r="G1357" s="1">
        <v>14</v>
      </c>
      <c r="H1357" s="1">
        <v>9</v>
      </c>
      <c r="I1357" s="1">
        <v>14</v>
      </c>
      <c r="J1357" s="1">
        <v>2</v>
      </c>
      <c r="K1357" s="6">
        <v>1085</v>
      </c>
      <c r="L1357" s="6">
        <v>257265</v>
      </c>
      <c r="M1357" s="1">
        <v>45</v>
      </c>
      <c r="N1357" s="1">
        <v>7</v>
      </c>
      <c r="O1357" s="1">
        <v>16</v>
      </c>
      <c r="P1357" s="1">
        <v>9.6</v>
      </c>
      <c r="Q1357" s="11">
        <f>'Table H'!$J$179</f>
        <v>0.79468584784754248</v>
      </c>
      <c r="R1357" s="11">
        <f t="shared" si="48"/>
        <v>204444.85464649802</v>
      </c>
      <c r="S1357" s="11" t="str">
        <f t="shared" si="49"/>
        <v>Hartley Wintney RD</v>
      </c>
      <c r="T1357" s="11" t="s">
        <v>5310</v>
      </c>
      <c r="V1357" s="11" t="str">
        <f>INDEX('Lookup 1961'!$A$2:$A$1300, MATCH(S1357, 'Lookup 1961'!$B$2:$B$1300,0))</f>
        <v>J04000580</v>
      </c>
      <c r="W1357" s="11" t="str">
        <f>INDEX('Lookup 1961'!$F$2:$F$1300, MATCH(S1357, 'Lookup 1961'!$B$2:$B$1300,0))</f>
        <v>e150433</v>
      </c>
      <c r="X1357" s="11" t="str">
        <f>INDEX('Lookup 1961'!$C$2:$C$1300, MATCH(V1357, 'Lookup 1961'!$A$2:$A$1300,0))</f>
        <v>Hampshire</v>
      </c>
    </row>
    <row r="1358" spans="1:24" ht="25.05" customHeight="1" x14ac:dyDescent="0.3">
      <c r="A1358" s="4" t="s">
        <v>1127</v>
      </c>
      <c r="B1358" s="4" t="s">
        <v>1127</v>
      </c>
      <c r="C1358" s="1">
        <v>21</v>
      </c>
      <c r="D1358" s="1">
        <v>9</v>
      </c>
      <c r="E1358" s="1">
        <v>14</v>
      </c>
      <c r="F1358" s="1">
        <v>6</v>
      </c>
      <c r="G1358" s="1">
        <v>15</v>
      </c>
      <c r="H1358" s="1">
        <v>0</v>
      </c>
      <c r="I1358" s="1">
        <v>14</v>
      </c>
      <c r="J1358" s="1">
        <v>6</v>
      </c>
      <c r="K1358" s="6">
        <v>725</v>
      </c>
      <c r="L1358" s="6">
        <v>182180</v>
      </c>
      <c r="M1358" s="1">
        <v>62.8</v>
      </c>
      <c r="N1358" s="1">
        <v>6</v>
      </c>
      <c r="O1358" s="1">
        <v>8</v>
      </c>
      <c r="P1358" s="1">
        <v>4.2</v>
      </c>
      <c r="Q1358" s="11">
        <f>'Table H'!$J$179</f>
        <v>0.79468584784754248</v>
      </c>
      <c r="R1358" s="11">
        <f t="shared" si="48"/>
        <v>144775.86776086528</v>
      </c>
      <c r="S1358" s="11" t="str">
        <f t="shared" si="49"/>
        <v>Kingsclere and Whitchurch RD</v>
      </c>
      <c r="T1358" s="11" t="s">
        <v>5310</v>
      </c>
      <c r="V1358" s="11" t="str">
        <f>INDEX('Lookup 1961'!$A$2:$A$1300, MATCH(S1358, 'Lookup 1961'!$B$2:$B$1300,0))</f>
        <v>J04000698</v>
      </c>
      <c r="W1358" s="11" t="str">
        <f>INDEX('Lookup 1961'!$F$2:$F$1300, MATCH(S1358, 'Lookup 1961'!$B$2:$B$1300,0))</f>
        <v>e150435</v>
      </c>
      <c r="X1358" s="11" t="str">
        <f>INDEX('Lookup 1961'!$C$2:$C$1300, MATCH(V1358, 'Lookup 1961'!$A$2:$A$1300,0))</f>
        <v>Hampshire</v>
      </c>
    </row>
    <row r="1359" spans="1:24" ht="25.05" customHeight="1" x14ac:dyDescent="0.3">
      <c r="A1359" s="4" t="s">
        <v>1128</v>
      </c>
      <c r="B1359" s="4" t="s">
        <v>1128</v>
      </c>
      <c r="C1359" s="1">
        <v>19</v>
      </c>
      <c r="D1359" s="1">
        <v>6</v>
      </c>
      <c r="E1359" s="1">
        <v>13</v>
      </c>
      <c r="F1359" s="1">
        <v>0</v>
      </c>
      <c r="G1359" s="1">
        <v>13</v>
      </c>
      <c r="H1359" s="1">
        <v>4</v>
      </c>
      <c r="I1359" s="1">
        <v>13</v>
      </c>
      <c r="J1359" s="1">
        <v>0</v>
      </c>
      <c r="K1359" s="6">
        <v>3150</v>
      </c>
      <c r="L1359" s="6">
        <v>814167</v>
      </c>
      <c r="M1359" s="1">
        <v>107.4</v>
      </c>
      <c r="N1359" s="1">
        <v>11</v>
      </c>
      <c r="O1359" s="1">
        <v>1</v>
      </c>
      <c r="P1359" s="1">
        <v>33.6</v>
      </c>
      <c r="Q1359" s="11">
        <f>'Table H'!$J$179</f>
        <v>0.79468584784754248</v>
      </c>
      <c r="R1359" s="11">
        <f t="shared" si="48"/>
        <v>647006.99268449016</v>
      </c>
      <c r="S1359" s="11" t="str">
        <f t="shared" si="49"/>
        <v>New Forest RD</v>
      </c>
      <c r="T1359" s="11" t="s">
        <v>5310</v>
      </c>
      <c r="V1359" s="11" t="str">
        <f>INDEX('Lookup 1961'!$A$2:$A$1300, MATCH(S1359, 'Lookup 1961'!$B$2:$B$1300,0))</f>
        <v>J04000886</v>
      </c>
      <c r="W1359" s="11" t="str">
        <f>INDEX('Lookup 1961'!$F$2:$F$1300, MATCH(S1359, 'Lookup 1961'!$B$2:$B$1300,0))</f>
        <v>e150436</v>
      </c>
      <c r="X1359" s="11" t="str">
        <f>INDEX('Lookup 1961'!$C$2:$C$1300, MATCH(V1359, 'Lookup 1961'!$A$2:$A$1300,0))</f>
        <v>Hampshire</v>
      </c>
    </row>
    <row r="1360" spans="1:24" ht="25.05" customHeight="1" x14ac:dyDescent="0.3">
      <c r="A1360" s="4" t="s">
        <v>733</v>
      </c>
      <c r="B1360" s="4" t="s">
        <v>733</v>
      </c>
      <c r="C1360" s="1">
        <v>22</v>
      </c>
      <c r="D1360" s="1">
        <v>0</v>
      </c>
      <c r="E1360" s="1">
        <v>15</v>
      </c>
      <c r="F1360" s="1">
        <v>9</v>
      </c>
      <c r="G1360" s="1">
        <v>16</v>
      </c>
      <c r="H1360" s="1">
        <v>5</v>
      </c>
      <c r="I1360" s="1">
        <v>15</v>
      </c>
      <c r="J1360" s="1">
        <v>9</v>
      </c>
      <c r="K1360" s="6">
        <v>795</v>
      </c>
      <c r="L1360" s="6">
        <v>195423</v>
      </c>
      <c r="M1360" s="1">
        <v>44</v>
      </c>
      <c r="N1360" s="1">
        <v>7</v>
      </c>
      <c r="O1360" s="1">
        <v>2</v>
      </c>
      <c r="P1360" s="1">
        <v>8.4</v>
      </c>
      <c r="Q1360" s="11">
        <f>'Table H'!$J$179</f>
        <v>0.79468584784754248</v>
      </c>
      <c r="R1360" s="11">
        <f t="shared" si="48"/>
        <v>155299.8924439103</v>
      </c>
      <c r="S1360" s="11" t="str">
        <f t="shared" si="49"/>
        <v>Petersfield RD</v>
      </c>
      <c r="T1360" s="11" t="s">
        <v>5310</v>
      </c>
      <c r="V1360" s="11" t="str">
        <f>INDEX('Lookup 1961'!$A$2:$A$1300, MATCH(S1360, 'Lookup 1961'!$B$2:$B$1300,0))</f>
        <v>J04000989</v>
      </c>
      <c r="W1360" s="11" t="str">
        <f>INDEX('Lookup 1961'!$F$2:$F$1300, MATCH(S1360, 'Lookup 1961'!$B$2:$B$1300,0))</f>
        <v>e150437</v>
      </c>
      <c r="X1360" s="11" t="str">
        <f>INDEX('Lookup 1961'!$C$2:$C$1300, MATCH(V1360, 'Lookup 1961'!$A$2:$A$1300,0))</f>
        <v>Hampshire</v>
      </c>
    </row>
    <row r="1361" spans="1:24" ht="25.05" customHeight="1" x14ac:dyDescent="0.3">
      <c r="A1361" s="4" t="s">
        <v>1129</v>
      </c>
      <c r="B1361" s="4" t="s">
        <v>5322</v>
      </c>
      <c r="C1361" s="1">
        <v>18</v>
      </c>
      <c r="D1361" s="1">
        <v>6</v>
      </c>
      <c r="E1361" s="1">
        <v>12</v>
      </c>
      <c r="F1361" s="1">
        <v>8</v>
      </c>
      <c r="G1361" s="1">
        <v>13</v>
      </c>
      <c r="H1361" s="1">
        <v>11</v>
      </c>
      <c r="I1361" s="1">
        <v>12</v>
      </c>
      <c r="J1361" s="1">
        <v>8</v>
      </c>
      <c r="K1361" s="6">
        <v>1202</v>
      </c>
      <c r="L1361" s="6">
        <v>294827</v>
      </c>
      <c r="M1361" s="1">
        <v>78.099999999999994</v>
      </c>
      <c r="N1361" s="1">
        <v>7</v>
      </c>
      <c r="O1361" s="1">
        <v>11</v>
      </c>
      <c r="P1361" s="1">
        <v>18.7</v>
      </c>
      <c r="Q1361" s="11">
        <f>'Table H'!$J$179</f>
        <v>0.79468584784754248</v>
      </c>
      <c r="R1361" s="11">
        <f t="shared" si="48"/>
        <v>234294.8444633474</v>
      </c>
      <c r="S1361" s="11" t="str">
        <f t="shared" si="49"/>
        <v>Ringwood and Fordingbridge RD</v>
      </c>
      <c r="T1361" s="11" t="s">
        <v>5310</v>
      </c>
      <c r="V1361" s="11" t="str">
        <f>INDEX('Lookup 1961'!$A$2:$A$1300, MATCH(S1361, 'Lookup 1961'!$B$2:$B$1300,0))</f>
        <v>J04001050</v>
      </c>
      <c r="W1361" s="11" t="str">
        <f>INDEX('Lookup 1961'!$F$2:$F$1300, MATCH(S1361, 'Lookup 1961'!$B$2:$B$1300,0))</f>
        <v>e150438</v>
      </c>
      <c r="X1361" s="11" t="str">
        <f>INDEX('Lookup 1961'!$C$2:$C$1300, MATCH(V1361, 'Lookup 1961'!$A$2:$A$1300,0))</f>
        <v>Hampshire</v>
      </c>
    </row>
    <row r="1362" spans="1:24" ht="25.05" customHeight="1" x14ac:dyDescent="0.3">
      <c r="A1362" s="4" t="s">
        <v>1130</v>
      </c>
      <c r="B1362" s="4" t="s">
        <v>1130</v>
      </c>
      <c r="C1362" s="1">
        <v>19</v>
      </c>
      <c r="D1362" s="1">
        <v>6</v>
      </c>
      <c r="E1362" s="1">
        <v>13</v>
      </c>
      <c r="F1362" s="1">
        <v>9</v>
      </c>
      <c r="G1362" s="1">
        <v>14</v>
      </c>
      <c r="H1362" s="1">
        <v>4</v>
      </c>
      <c r="I1362" s="1">
        <v>13</v>
      </c>
      <c r="J1362" s="1">
        <v>9</v>
      </c>
      <c r="K1362" s="6">
        <v>875</v>
      </c>
      <c r="L1362" s="6">
        <v>212296</v>
      </c>
      <c r="M1362" s="1">
        <v>86.7</v>
      </c>
      <c r="N1362" s="1">
        <v>7</v>
      </c>
      <c r="O1362" s="1">
        <v>1</v>
      </c>
      <c r="P1362" s="1">
        <v>29.8</v>
      </c>
      <c r="Q1362" s="11">
        <f>'Table H'!$J$179</f>
        <v>0.79468584784754248</v>
      </c>
      <c r="R1362" s="11">
        <f t="shared" si="48"/>
        <v>168708.62675464188</v>
      </c>
      <c r="S1362" s="11" t="str">
        <f t="shared" si="49"/>
        <v>Romsey and Stockbridge RD</v>
      </c>
      <c r="T1362" s="11" t="s">
        <v>5310</v>
      </c>
      <c r="V1362" s="11" t="str">
        <f>INDEX('Lookup 1961'!$A$2:$A$1300, MATCH(S1362, 'Lookup 1961'!$B$2:$B$1300,0))</f>
        <v>J04001062</v>
      </c>
      <c r="W1362" s="11" t="str">
        <f>INDEX('Lookup 1961'!$F$2:$F$1300, MATCH(S1362, 'Lookup 1961'!$B$2:$B$1300,0))</f>
        <v>e150440</v>
      </c>
      <c r="X1362" s="11" t="str">
        <f>INDEX('Lookup 1961'!$C$2:$C$1300, MATCH(V1362, 'Lookup 1961'!$A$2:$A$1300,0))</f>
        <v>Hampshire</v>
      </c>
    </row>
    <row r="1363" spans="1:24" ht="25.05" customHeight="1" x14ac:dyDescent="0.3">
      <c r="A1363" s="4" t="s">
        <v>727</v>
      </c>
      <c r="B1363" s="4" t="s">
        <v>727</v>
      </c>
      <c r="C1363" s="1">
        <v>20</v>
      </c>
      <c r="D1363" s="1">
        <v>3</v>
      </c>
      <c r="E1363" s="1">
        <v>14</v>
      </c>
      <c r="F1363" s="1">
        <v>0</v>
      </c>
      <c r="G1363" s="1">
        <v>14</v>
      </c>
      <c r="H1363" s="1">
        <v>8</v>
      </c>
      <c r="I1363" s="1">
        <v>14</v>
      </c>
      <c r="J1363" s="1">
        <v>0</v>
      </c>
      <c r="K1363" s="6">
        <v>2100</v>
      </c>
      <c r="L1363" s="6">
        <v>525995</v>
      </c>
      <c r="M1363" s="1">
        <v>75.8</v>
      </c>
      <c r="N1363" s="1">
        <v>8</v>
      </c>
      <c r="O1363" s="1">
        <v>11</v>
      </c>
      <c r="P1363" s="1">
        <v>17.5</v>
      </c>
      <c r="Q1363" s="11">
        <f>'Table H'!$J$179</f>
        <v>0.79468584784754248</v>
      </c>
      <c r="R1363" s="11">
        <f t="shared" si="48"/>
        <v>418000.78253856814</v>
      </c>
      <c r="S1363" s="11" t="str">
        <f t="shared" si="49"/>
        <v>Winchester RD</v>
      </c>
      <c r="T1363" s="11" t="s">
        <v>5310</v>
      </c>
      <c r="V1363" s="11" t="str">
        <f>INDEX('Lookup 1961'!$A$2:$A$1300, MATCH(S1363, 'Lookup 1961'!$B$2:$B$1300,0))</f>
        <v>J04001422</v>
      </c>
      <c r="W1363" s="11" t="str">
        <f>INDEX('Lookup 1961'!$F$2:$F$1300, MATCH(S1363, 'Lookup 1961'!$B$2:$B$1300,0))</f>
        <v>e150441</v>
      </c>
      <c r="X1363" s="11" t="str">
        <f>INDEX('Lookup 1961'!$C$2:$C$1300, MATCH(V1363, 'Lookup 1961'!$A$2:$A$1300,0))</f>
        <v>Hampshire</v>
      </c>
    </row>
    <row r="1364" spans="1:24" ht="25.05" customHeight="1" x14ac:dyDescent="0.3">
      <c r="A1364" s="4" t="s">
        <v>734</v>
      </c>
      <c r="B1364" s="4" t="s">
        <v>734</v>
      </c>
      <c r="S1364" s="11" t="str">
        <f t="shared" si="49"/>
        <v>STAFFORD: RD</v>
      </c>
      <c r="T1364" s="11" t="s">
        <v>5310</v>
      </c>
      <c r="V1364" s="11" t="e">
        <f>INDEX('Lookup 1961'!$A$2:$A$1300, MATCH(S1364, 'Lookup 1961'!$B$2:$B$1300,0))</f>
        <v>#N/A</v>
      </c>
      <c r="W1364" s="11" t="e">
        <f>INDEX('Lookup 1961'!$F$2:$F$1300, MATCH(S1364, 'Lookup 1961'!$B$2:$B$1300,0))</f>
        <v>#N/A</v>
      </c>
      <c r="X1364" s="11" t="e">
        <f>INDEX('Lookup 1961'!$C$2:$C$1300, MATCH(V1364, 'Lookup 1961'!$A$2:$A$1300,0))</f>
        <v>#N/A</v>
      </c>
    </row>
    <row r="1365" spans="1:24" ht="25.05" customHeight="1" x14ac:dyDescent="0.3">
      <c r="A1365" s="4" t="s">
        <v>748</v>
      </c>
      <c r="B1365" s="4" t="s">
        <v>748</v>
      </c>
      <c r="C1365" s="1">
        <v>22</v>
      </c>
      <c r="D1365" s="1">
        <v>2</v>
      </c>
      <c r="E1365" s="1">
        <v>15</v>
      </c>
      <c r="F1365" s="1">
        <v>4</v>
      </c>
      <c r="G1365" s="1">
        <v>16</v>
      </c>
      <c r="H1365" s="1">
        <v>6</v>
      </c>
      <c r="I1365" s="1">
        <v>15</v>
      </c>
      <c r="J1365" s="1">
        <v>4</v>
      </c>
      <c r="K1365" s="6">
        <v>830</v>
      </c>
      <c r="L1365" s="6">
        <v>218872</v>
      </c>
      <c r="M1365" s="1">
        <v>96.5</v>
      </c>
      <c r="N1365" s="1">
        <v>7</v>
      </c>
      <c r="O1365" s="1">
        <v>5</v>
      </c>
      <c r="P1365" s="1">
        <v>43.9</v>
      </c>
      <c r="Q1365" s="11">
        <f>'Table H'!$J$184</f>
        <v>0.84017811171568357</v>
      </c>
      <c r="R1365" s="11">
        <f t="shared" si="48"/>
        <v>183891.46366743511</v>
      </c>
      <c r="S1365" s="11" t="str">
        <f t="shared" si="49"/>
        <v>Cannock RD</v>
      </c>
      <c r="T1365" s="11" t="s">
        <v>5310</v>
      </c>
      <c r="V1365" s="11" t="str">
        <f>INDEX('Lookup 1961'!$A$2:$A$1300, MATCH(S1365, 'Lookup 1961'!$B$2:$B$1300,0))</f>
        <v>J04000258</v>
      </c>
      <c r="W1365" s="11" t="str">
        <f>INDEX('Lookup 1961'!$F$2:$F$1300, MATCH(S1365, 'Lookup 1961'!$B$2:$B$1300,0))</f>
        <v>e330958</v>
      </c>
      <c r="X1365" s="11" t="str">
        <f>INDEX('Lookup 1961'!$C$2:$C$1300, MATCH(V1365, 'Lookup 1961'!$A$2:$A$1300,0))</f>
        <v>Staffordshire</v>
      </c>
    </row>
    <row r="1366" spans="1:24" ht="25.05" customHeight="1" x14ac:dyDescent="0.3">
      <c r="A1366" s="4" t="s">
        <v>1131</v>
      </c>
      <c r="B1366" s="4" t="s">
        <v>1131</v>
      </c>
      <c r="C1366" s="1">
        <v>21</v>
      </c>
      <c r="D1366" s="1">
        <v>4</v>
      </c>
      <c r="E1366" s="1">
        <v>13</v>
      </c>
      <c r="F1366" s="1">
        <v>2</v>
      </c>
      <c r="G1366" s="1">
        <v>14</v>
      </c>
      <c r="H1366" s="1">
        <v>10</v>
      </c>
      <c r="I1366" s="1">
        <v>13</v>
      </c>
      <c r="J1366" s="1">
        <v>2</v>
      </c>
      <c r="K1366" s="6">
        <v>820</v>
      </c>
      <c r="L1366" s="6">
        <v>230198</v>
      </c>
      <c r="M1366" s="1">
        <v>81.599999999999994</v>
      </c>
      <c r="N1366" s="1">
        <v>4</v>
      </c>
      <c r="O1366" s="1">
        <v>13</v>
      </c>
      <c r="P1366" s="1">
        <v>19.100000000000001</v>
      </c>
      <c r="Q1366" s="11">
        <f>'Table H'!$J$184</f>
        <v>0.84017811171568357</v>
      </c>
      <c r="R1366" s="11">
        <f t="shared" si="48"/>
        <v>193407.32096072694</v>
      </c>
      <c r="S1366" s="11" t="str">
        <f t="shared" si="49"/>
        <v>Cheadle RD</v>
      </c>
      <c r="T1366" s="11" t="s">
        <v>5310</v>
      </c>
      <c r="V1366" s="11" t="str">
        <f>INDEX('Lookup 1961'!$A$2:$A$1300, MATCH(S1366, 'Lookup 1961'!$B$2:$B$1300,0))</f>
        <v>J04000287</v>
      </c>
      <c r="W1366" s="11" t="str">
        <f>INDEX('Lookup 1961'!$F$2:$F$1300, MATCH(S1366, 'Lookup 1961'!$B$2:$B$1300,0))</f>
        <v>e330959</v>
      </c>
      <c r="X1366" s="11" t="str">
        <f>INDEX('Lookup 1961'!$C$2:$C$1300, MATCH(V1366, 'Lookup 1961'!$A$2:$A$1300,0))</f>
        <v>Staffordshire</v>
      </c>
    </row>
    <row r="1367" spans="1:24" ht="25.05" customHeight="1" x14ac:dyDescent="0.3">
      <c r="A1367" s="4" t="s">
        <v>752</v>
      </c>
      <c r="B1367" s="4" t="s">
        <v>752</v>
      </c>
      <c r="C1367" s="1">
        <v>18</v>
      </c>
      <c r="D1367" s="1">
        <v>0</v>
      </c>
      <c r="E1367" s="1">
        <v>14</v>
      </c>
      <c r="F1367" s="1">
        <v>8</v>
      </c>
      <c r="G1367" s="1">
        <v>15</v>
      </c>
      <c r="H1367" s="1">
        <v>2</v>
      </c>
      <c r="I1367" s="1">
        <v>14</v>
      </c>
      <c r="J1367" s="1">
        <v>8</v>
      </c>
      <c r="K1367" s="6">
        <v>408</v>
      </c>
      <c r="L1367" s="6">
        <v>106093</v>
      </c>
      <c r="M1367" s="1">
        <v>62.2</v>
      </c>
      <c r="N1367" s="1">
        <v>4</v>
      </c>
      <c r="O1367" s="1">
        <v>3</v>
      </c>
      <c r="P1367" s="1">
        <v>18</v>
      </c>
      <c r="Q1367" s="11">
        <f>'Table H'!$J$184</f>
        <v>0.84017811171568357</v>
      </c>
      <c r="R1367" s="11">
        <f t="shared" si="48"/>
        <v>89137.01640625202</v>
      </c>
      <c r="S1367" s="11" t="str">
        <f t="shared" si="49"/>
        <v>Leek RD</v>
      </c>
      <c r="T1367" s="11" t="s">
        <v>5310</v>
      </c>
      <c r="V1367" s="11" t="str">
        <f>INDEX('Lookup 1961'!$A$2:$A$1300, MATCH(S1367, 'Lookup 1961'!$B$2:$B$1300,0))</f>
        <v>J04000728</v>
      </c>
      <c r="W1367" s="11" t="str">
        <f>INDEX('Lookup 1961'!$F$2:$F$1300, MATCH(S1367, 'Lookup 1961'!$B$2:$B$1300,0))</f>
        <v>e330960</v>
      </c>
      <c r="X1367" s="11" t="str">
        <f>INDEX('Lookup 1961'!$C$2:$C$1300, MATCH(V1367, 'Lookup 1961'!$A$2:$A$1300,0))</f>
        <v>Staffordshire</v>
      </c>
    </row>
    <row r="1368" spans="1:24" ht="25.05" customHeight="1" x14ac:dyDescent="0.3">
      <c r="A1368" s="4" t="s">
        <v>736</v>
      </c>
      <c r="B1368" s="4" t="s">
        <v>736</v>
      </c>
      <c r="C1368" s="1">
        <v>18</v>
      </c>
      <c r="D1368" s="1">
        <v>2</v>
      </c>
      <c r="E1368" s="1">
        <v>14</v>
      </c>
      <c r="F1368" s="1">
        <v>0</v>
      </c>
      <c r="G1368" s="1">
        <v>15</v>
      </c>
      <c r="H1368" s="1">
        <v>0</v>
      </c>
      <c r="I1368" s="1">
        <v>14</v>
      </c>
      <c r="J1368" s="1">
        <v>0</v>
      </c>
      <c r="K1368" s="6">
        <v>1368</v>
      </c>
      <c r="L1368" s="6">
        <v>346137</v>
      </c>
      <c r="M1368" s="1">
        <v>65.7</v>
      </c>
      <c r="N1368" s="1">
        <v>5</v>
      </c>
      <c r="O1368" s="1">
        <v>15</v>
      </c>
      <c r="P1368" s="1">
        <v>34.4</v>
      </c>
      <c r="Q1368" s="11">
        <f>'Table H'!$J$184</f>
        <v>0.84017811171568357</v>
      </c>
      <c r="R1368" s="11">
        <f t="shared" si="48"/>
        <v>290816.73105493159</v>
      </c>
      <c r="S1368" s="11" t="str">
        <f t="shared" si="49"/>
        <v>Lichfield RD</v>
      </c>
      <c r="T1368" s="11" t="s">
        <v>5310</v>
      </c>
      <c r="V1368" s="11" t="str">
        <f>INDEX('Lookup 1961'!$A$2:$A$1300, MATCH(S1368, 'Lookup 1961'!$B$2:$B$1300,0))</f>
        <v>J04000744</v>
      </c>
      <c r="W1368" s="11" t="str">
        <f>INDEX('Lookup 1961'!$F$2:$F$1300, MATCH(S1368, 'Lookup 1961'!$B$2:$B$1300,0))</f>
        <v>e330961</v>
      </c>
      <c r="X1368" s="11" t="str">
        <f>INDEX('Lookup 1961'!$C$2:$C$1300, MATCH(V1368, 'Lookup 1961'!$A$2:$A$1300,0))</f>
        <v>Staffordshire</v>
      </c>
    </row>
    <row r="1369" spans="1:24" ht="25.05" customHeight="1" x14ac:dyDescent="0.3">
      <c r="A1369" s="4" t="s">
        <v>737</v>
      </c>
      <c r="B1369" s="4" t="s">
        <v>5279</v>
      </c>
      <c r="C1369" s="1">
        <v>19</v>
      </c>
      <c r="D1369" s="1">
        <v>4</v>
      </c>
      <c r="E1369" s="1">
        <v>15</v>
      </c>
      <c r="F1369" s="1">
        <v>5</v>
      </c>
      <c r="G1369" s="1">
        <v>16</v>
      </c>
      <c r="H1369" s="1">
        <v>3</v>
      </c>
      <c r="I1369" s="1">
        <v>15</v>
      </c>
      <c r="J1369" s="1">
        <v>5</v>
      </c>
      <c r="K1369" s="6">
        <v>495</v>
      </c>
      <c r="L1369" s="6">
        <v>135790</v>
      </c>
      <c r="M1369" s="1">
        <v>89.8</v>
      </c>
      <c r="N1369" s="1">
        <v>5</v>
      </c>
      <c r="O1369" s="1">
        <v>17</v>
      </c>
      <c r="P1369" s="1">
        <v>48.5</v>
      </c>
      <c r="Q1369" s="11">
        <f>'Table H'!$J$184</f>
        <v>0.84017811171568357</v>
      </c>
      <c r="R1369" s="11">
        <f t="shared" si="48"/>
        <v>114087.78578987267</v>
      </c>
      <c r="S1369" s="11" t="str">
        <f t="shared" si="49"/>
        <v>Newcastle under Lyme RD</v>
      </c>
      <c r="T1369" s="11" t="s">
        <v>5310</v>
      </c>
      <c r="V1369" s="11" t="str">
        <f>INDEX('Lookup 1961'!$A$2:$A$1300, MATCH(S1369, 'Lookup 1961'!$B$2:$B$1300,0))</f>
        <v>J04000901</v>
      </c>
      <c r="W1369" s="11" t="str">
        <f>INDEX('Lookup 1961'!$F$2:$F$1300, MATCH(S1369, 'Lookup 1961'!$B$2:$B$1300,0))</f>
        <v>e330962</v>
      </c>
      <c r="X1369" s="11" t="str">
        <f>INDEX('Lookup 1961'!$C$2:$C$1300, MATCH(V1369, 'Lookup 1961'!$A$2:$A$1300,0))</f>
        <v>Staffordshire</v>
      </c>
    </row>
    <row r="1370" spans="1:24" ht="25.05" customHeight="1" x14ac:dyDescent="0.3">
      <c r="A1370" s="4" t="s">
        <v>1132</v>
      </c>
      <c r="B1370" s="4" t="s">
        <v>1132</v>
      </c>
      <c r="C1370" s="1">
        <v>19</v>
      </c>
      <c r="D1370" s="1">
        <v>2</v>
      </c>
      <c r="E1370" s="1">
        <v>12</v>
      </c>
      <c r="F1370" s="1">
        <v>10</v>
      </c>
      <c r="G1370" s="1">
        <v>13</v>
      </c>
      <c r="H1370" s="1">
        <v>4</v>
      </c>
      <c r="I1370" s="1">
        <v>13</v>
      </c>
      <c r="J1370" s="1">
        <v>0</v>
      </c>
      <c r="K1370" s="6">
        <v>1209</v>
      </c>
      <c r="L1370" s="6">
        <v>304754</v>
      </c>
      <c r="M1370" s="1">
        <v>122.3</v>
      </c>
      <c r="N1370" s="1">
        <v>7</v>
      </c>
      <c r="O1370" s="1">
        <v>3</v>
      </c>
      <c r="P1370" s="1">
        <v>39</v>
      </c>
      <c r="Q1370" s="11">
        <f>'Table H'!$J$184</f>
        <v>0.84017811171568357</v>
      </c>
      <c r="R1370" s="11">
        <f t="shared" si="48"/>
        <v>256047.64025780142</v>
      </c>
      <c r="S1370" s="11" t="str">
        <f t="shared" si="49"/>
        <v>Seisdon RD</v>
      </c>
      <c r="T1370" s="11" t="s">
        <v>5310</v>
      </c>
      <c r="V1370" s="11" t="str">
        <f>INDEX('Lookup 1961'!$A$2:$A$1300, MATCH(S1370, 'Lookup 1961'!$B$2:$B$1300,0))</f>
        <v>J04001117</v>
      </c>
      <c r="W1370" s="11" t="str">
        <f>INDEX('Lookup 1961'!$F$2:$F$1300, MATCH(S1370, 'Lookup 1961'!$B$2:$B$1300,0))</f>
        <v>e330963</v>
      </c>
      <c r="X1370" s="11" t="str">
        <f>INDEX('Lookup 1961'!$C$2:$C$1300, MATCH(V1370, 'Lookup 1961'!$A$2:$A$1300,0))</f>
        <v>Staffordshire</v>
      </c>
    </row>
    <row r="1371" spans="1:24" ht="25.05" customHeight="1" x14ac:dyDescent="0.3">
      <c r="A1371" s="4" t="s">
        <v>739</v>
      </c>
      <c r="B1371" s="4" t="s">
        <v>739</v>
      </c>
      <c r="C1371" s="1">
        <v>19</v>
      </c>
      <c r="D1371" s="1">
        <v>0</v>
      </c>
      <c r="E1371" s="1">
        <v>14</v>
      </c>
      <c r="F1371" s="1">
        <v>6</v>
      </c>
      <c r="G1371" s="1">
        <v>14</v>
      </c>
      <c r="H1371" s="1">
        <v>10</v>
      </c>
      <c r="I1371" s="1">
        <v>14</v>
      </c>
      <c r="J1371" s="1">
        <v>6</v>
      </c>
      <c r="K1371" s="6">
        <v>608</v>
      </c>
      <c r="L1371" s="6">
        <v>143197</v>
      </c>
      <c r="M1371" s="1">
        <v>59.3</v>
      </c>
      <c r="N1371" s="1">
        <v>5</v>
      </c>
      <c r="O1371" s="1">
        <v>10</v>
      </c>
      <c r="P1371" s="1">
        <v>35.1</v>
      </c>
      <c r="Q1371" s="11">
        <f>'Table H'!$J$184</f>
        <v>0.84017811171568357</v>
      </c>
      <c r="R1371" s="11">
        <f t="shared" si="48"/>
        <v>120310.98506335074</v>
      </c>
      <c r="S1371" s="11" t="str">
        <f t="shared" si="49"/>
        <v>Stafford RD</v>
      </c>
      <c r="T1371" s="11" t="s">
        <v>5310</v>
      </c>
      <c r="V1371" s="11" t="str">
        <f>INDEX('Lookup 1961'!$A$2:$A$1300, MATCH(S1371, 'Lookup 1961'!$B$2:$B$1300,0))</f>
        <v>J04001197</v>
      </c>
      <c r="W1371" s="11" t="str">
        <f>INDEX('Lookup 1961'!$F$2:$F$1300, MATCH(S1371, 'Lookup 1961'!$B$2:$B$1300,0))</f>
        <v>e330967</v>
      </c>
      <c r="X1371" s="11" t="str">
        <f>INDEX('Lookup 1961'!$C$2:$C$1300, MATCH(V1371, 'Lookup 1961'!$A$2:$A$1300,0))</f>
        <v>Staffordshire</v>
      </c>
    </row>
    <row r="1372" spans="1:24" ht="25.05" customHeight="1" x14ac:dyDescent="0.3">
      <c r="A1372" s="4" t="s">
        <v>755</v>
      </c>
      <c r="B1372" s="4" t="s">
        <v>755</v>
      </c>
      <c r="C1372" s="1">
        <v>18</v>
      </c>
      <c r="D1372" s="1">
        <v>6</v>
      </c>
      <c r="E1372" s="1">
        <v>13</v>
      </c>
      <c r="F1372" s="1">
        <v>8</v>
      </c>
      <c r="G1372" s="1">
        <v>13</v>
      </c>
      <c r="H1372" s="1">
        <v>11</v>
      </c>
      <c r="I1372" s="1">
        <v>13</v>
      </c>
      <c r="J1372" s="1">
        <v>8</v>
      </c>
      <c r="K1372" s="6">
        <v>726</v>
      </c>
      <c r="L1372" s="6">
        <v>193316</v>
      </c>
      <c r="M1372" s="1">
        <v>67.099999999999994</v>
      </c>
      <c r="N1372" s="1">
        <v>8</v>
      </c>
      <c r="O1372" s="1">
        <v>5</v>
      </c>
      <c r="P1372" s="1">
        <v>32.6</v>
      </c>
      <c r="Q1372" s="11">
        <f>'Table H'!$J$184</f>
        <v>0.84017811171568357</v>
      </c>
      <c r="R1372" s="11">
        <f t="shared" si="48"/>
        <v>162419.87184442909</v>
      </c>
      <c r="S1372" s="11" t="str">
        <f t="shared" si="49"/>
        <v>Stone RD</v>
      </c>
      <c r="T1372" s="11" t="s">
        <v>5310</v>
      </c>
      <c r="V1372" s="11" t="str">
        <f>INDEX('Lookup 1961'!$A$2:$A$1300, MATCH(S1372, 'Lookup 1961'!$B$2:$B$1300,0))</f>
        <v>J04001215</v>
      </c>
      <c r="W1372" s="11" t="str">
        <f>INDEX('Lookup 1961'!$F$2:$F$1300, MATCH(S1372, 'Lookup 1961'!$B$2:$B$1300,0))</f>
        <v>e330968</v>
      </c>
      <c r="X1372" s="11" t="str">
        <f>INDEX('Lookup 1961'!$C$2:$C$1300, MATCH(V1372, 'Lookup 1961'!$A$2:$A$1300,0))</f>
        <v>Staffordshire</v>
      </c>
    </row>
    <row r="1373" spans="1:24" ht="25.05" customHeight="1" x14ac:dyDescent="0.3">
      <c r="A1373" s="4" t="s">
        <v>1133</v>
      </c>
      <c r="B1373" s="4" t="s">
        <v>1133</v>
      </c>
      <c r="C1373" s="1">
        <v>19</v>
      </c>
      <c r="D1373" s="1">
        <v>0</v>
      </c>
      <c r="E1373" s="1">
        <v>14</v>
      </c>
      <c r="F1373" s="1">
        <v>6</v>
      </c>
      <c r="G1373" s="1">
        <v>15</v>
      </c>
      <c r="H1373" s="1">
        <v>8</v>
      </c>
      <c r="I1373" s="1">
        <v>14</v>
      </c>
      <c r="J1373" s="1">
        <v>2</v>
      </c>
      <c r="K1373" s="6">
        <v>616</v>
      </c>
      <c r="L1373" s="6">
        <v>158311</v>
      </c>
      <c r="M1373" s="1">
        <v>68.900000000000006</v>
      </c>
      <c r="N1373" s="1">
        <v>7</v>
      </c>
      <c r="O1373" s="1">
        <v>17</v>
      </c>
      <c r="P1373" s="1">
        <v>33.1</v>
      </c>
      <c r="Q1373" s="11">
        <f>'Table H'!$J$184</f>
        <v>0.84017811171568357</v>
      </c>
      <c r="R1373" s="11">
        <f t="shared" si="48"/>
        <v>133009.43704382158</v>
      </c>
      <c r="S1373" s="11" t="str">
        <f t="shared" si="49"/>
        <v>Tutbury RD</v>
      </c>
      <c r="T1373" s="11" t="s">
        <v>5310</v>
      </c>
      <c r="V1373" s="11" t="str">
        <f>INDEX('Lookup 1961'!$A$2:$A$1300, MATCH(S1373, 'Lookup 1961'!$B$2:$B$1300,0))</f>
        <v>J04001302</v>
      </c>
      <c r="W1373" s="11" t="str">
        <f>INDEX('Lookup 1961'!$F$2:$F$1300, MATCH(S1373, 'Lookup 1961'!$B$2:$B$1300,0))</f>
        <v>e330969</v>
      </c>
      <c r="X1373" s="11" t="str">
        <f>INDEX('Lookup 1961'!$C$2:$C$1300, MATCH(V1373, 'Lookup 1961'!$A$2:$A$1300,0))</f>
        <v>Staffordshire</v>
      </c>
    </row>
    <row r="1374" spans="1:24" ht="25.05" customHeight="1" x14ac:dyDescent="0.3">
      <c r="A1374" s="4" t="s">
        <v>757</v>
      </c>
      <c r="B1374" s="4" t="s">
        <v>757</v>
      </c>
      <c r="C1374" s="1">
        <v>18</v>
      </c>
      <c r="D1374" s="1">
        <v>0</v>
      </c>
      <c r="E1374" s="1">
        <v>13</v>
      </c>
      <c r="F1374" s="1">
        <v>4</v>
      </c>
      <c r="G1374" s="1">
        <v>14</v>
      </c>
      <c r="H1374" s="1">
        <v>0</v>
      </c>
      <c r="I1374" s="1">
        <v>13</v>
      </c>
      <c r="J1374" s="1">
        <v>4</v>
      </c>
      <c r="K1374" s="6">
        <v>361</v>
      </c>
      <c r="L1374" s="6">
        <v>95827</v>
      </c>
      <c r="M1374" s="1">
        <v>67.2</v>
      </c>
      <c r="N1374" s="1">
        <v>5</v>
      </c>
      <c r="O1374" s="1">
        <v>9</v>
      </c>
      <c r="P1374" s="1">
        <v>22.4</v>
      </c>
      <c r="Q1374" s="11">
        <f>'Table H'!$J$184</f>
        <v>0.84017811171568357</v>
      </c>
      <c r="R1374" s="11">
        <f t="shared" si="48"/>
        <v>80511.747911378814</v>
      </c>
      <c r="S1374" s="11" t="str">
        <f t="shared" si="49"/>
        <v>Uttoxeter RD</v>
      </c>
      <c r="T1374" s="11" t="s">
        <v>5310</v>
      </c>
      <c r="V1374" s="11" t="str">
        <f>INDEX('Lookup 1961'!$A$2:$A$1300, MATCH(S1374, 'Lookup 1961'!$B$2:$B$1300,0))</f>
        <v>J04001314</v>
      </c>
      <c r="W1374" s="11" t="str">
        <f>INDEX('Lookup 1961'!$F$2:$F$1300, MATCH(S1374, 'Lookup 1961'!$B$2:$B$1300,0))</f>
        <v>e330970</v>
      </c>
      <c r="X1374" s="11" t="str">
        <f>INDEX('Lookup 1961'!$C$2:$C$1300, MATCH(V1374, 'Lookup 1961'!$A$2:$A$1300,0))</f>
        <v>Staffordshire</v>
      </c>
    </row>
    <row r="1375" spans="1:24" ht="25.05" customHeight="1" x14ac:dyDescent="0.3">
      <c r="A1375" s="4" t="s">
        <v>760</v>
      </c>
      <c r="B1375" s="4" t="s">
        <v>760</v>
      </c>
      <c r="S1375" s="11" t="str">
        <f t="shared" si="49"/>
        <v>SUFFOLK, EAST: RD</v>
      </c>
      <c r="T1375" s="11" t="s">
        <v>5310</v>
      </c>
      <c r="V1375" s="11" t="e">
        <f>INDEX('Lookup 1961'!$A$2:$A$1300, MATCH(S1375, 'Lookup 1961'!$B$2:$B$1300,0))</f>
        <v>#N/A</v>
      </c>
      <c r="W1375" s="11" t="e">
        <f>INDEX('Lookup 1961'!$F$2:$F$1300, MATCH(S1375, 'Lookup 1961'!$B$2:$B$1300,0))</f>
        <v>#N/A</v>
      </c>
      <c r="X1375" s="11" t="e">
        <f>INDEX('Lookup 1961'!$C$2:$C$1300, MATCH(V1375, 'Lookup 1961'!$A$2:$A$1300,0))</f>
        <v>#N/A</v>
      </c>
    </row>
    <row r="1376" spans="1:24" ht="25.05" customHeight="1" x14ac:dyDescent="0.3">
      <c r="A1376" s="4" t="s">
        <v>642</v>
      </c>
      <c r="B1376" s="4" t="s">
        <v>642</v>
      </c>
      <c r="C1376" s="1">
        <v>23</v>
      </c>
      <c r="D1376" s="1">
        <v>6</v>
      </c>
      <c r="E1376" s="1">
        <v>15</v>
      </c>
      <c r="F1376" s="1">
        <v>6</v>
      </c>
      <c r="G1376" s="1">
        <v>16</v>
      </c>
      <c r="H1376" s="1">
        <v>4</v>
      </c>
      <c r="I1376" s="1">
        <v>15</v>
      </c>
      <c r="J1376" s="1">
        <v>6</v>
      </c>
      <c r="K1376" s="6">
        <v>525</v>
      </c>
      <c r="L1376" s="6">
        <v>135924</v>
      </c>
      <c r="M1376" s="1">
        <v>84.2</v>
      </c>
      <c r="N1376" s="1">
        <v>5</v>
      </c>
      <c r="O1376" s="1">
        <v>0</v>
      </c>
      <c r="P1376" s="1">
        <v>19.7</v>
      </c>
      <c r="Q1376" s="11">
        <f>'Table H'!$J$189</f>
        <v>0.90764998203065939</v>
      </c>
      <c r="R1376" s="11">
        <f t="shared" si="48"/>
        <v>123371.41615753535</v>
      </c>
      <c r="S1376" s="11" t="str">
        <f t="shared" si="49"/>
        <v>Blyth RD</v>
      </c>
      <c r="T1376" s="11" t="s">
        <v>5310</v>
      </c>
      <c r="V1376" s="11" t="str">
        <f>INDEX('Lookup 1961'!$A$2:$A$1300, MATCH(S1376, 'Lookup 1961'!$B$2:$B$1300,0))</f>
        <v>J04000167</v>
      </c>
      <c r="W1376" s="11" t="str">
        <f>INDEX('Lookup 1961'!$F$2:$F$1300, MATCH(S1376, 'Lookup 1961'!$B$2:$B$1300,0))</f>
        <v>e340984</v>
      </c>
      <c r="X1376" s="11" t="str">
        <f>INDEX('Lookup 1961'!$C$2:$C$1300, MATCH(V1376, 'Lookup 1961'!$A$2:$A$1300,0))</f>
        <v>Suffolk</v>
      </c>
    </row>
    <row r="1377" spans="1:24" ht="25.05" customHeight="1" x14ac:dyDescent="0.3">
      <c r="A1377" s="4" t="s">
        <v>1134</v>
      </c>
      <c r="B1377" s="4" t="s">
        <v>1134</v>
      </c>
      <c r="C1377" s="1">
        <v>21</v>
      </c>
      <c r="D1377" s="1">
        <v>4</v>
      </c>
      <c r="E1377" s="1">
        <v>14</v>
      </c>
      <c r="F1377" s="1">
        <v>0</v>
      </c>
      <c r="G1377" s="1">
        <v>14</v>
      </c>
      <c r="H1377" s="1">
        <v>7</v>
      </c>
      <c r="I1377" s="1">
        <v>13</v>
      </c>
      <c r="J1377" s="1">
        <v>8</v>
      </c>
      <c r="K1377" s="6">
        <v>875</v>
      </c>
      <c r="L1377" s="6">
        <v>226130</v>
      </c>
      <c r="M1377" s="1">
        <v>72.2</v>
      </c>
      <c r="N1377" s="1">
        <v>5</v>
      </c>
      <c r="O1377" s="1">
        <v>10</v>
      </c>
      <c r="P1377" s="1">
        <v>14.3</v>
      </c>
      <c r="Q1377" s="11">
        <f>'Table H'!$J$189</f>
        <v>0.90764998203065939</v>
      </c>
      <c r="R1377" s="11">
        <f t="shared" si="48"/>
        <v>205246.89043659301</v>
      </c>
      <c r="S1377" s="11" t="str">
        <f t="shared" si="49"/>
        <v>Deben RD</v>
      </c>
      <c r="T1377" s="11" t="s">
        <v>5310</v>
      </c>
      <c r="V1377" s="11" t="str">
        <f>INDEX('Lookup 1961'!$A$2:$A$1300, MATCH(S1377, 'Lookup 1961'!$B$2:$B$1300,0))</f>
        <v>J04000394</v>
      </c>
      <c r="W1377" s="11" t="str">
        <f>INDEX('Lookup 1961'!$F$2:$F$1300, MATCH(S1377, 'Lookup 1961'!$B$2:$B$1300,0))</f>
        <v>e340985</v>
      </c>
      <c r="X1377" s="11" t="str">
        <f>INDEX('Lookup 1961'!$C$2:$C$1300, MATCH(V1377, 'Lookup 1961'!$A$2:$A$1300,0))</f>
        <v>Suffolk</v>
      </c>
    </row>
    <row r="1378" spans="1:24" ht="25.05" customHeight="1" x14ac:dyDescent="0.3">
      <c r="A1378" s="4" t="s">
        <v>1135</v>
      </c>
      <c r="B1378" s="4" t="s">
        <v>1135</v>
      </c>
      <c r="C1378" s="1">
        <v>20</v>
      </c>
      <c r="D1378" s="1">
        <v>10</v>
      </c>
      <c r="E1378" s="1">
        <v>14</v>
      </c>
      <c r="F1378" s="1">
        <v>10</v>
      </c>
      <c r="G1378" s="1">
        <v>16</v>
      </c>
      <c r="H1378" s="1">
        <v>8</v>
      </c>
      <c r="I1378" s="1">
        <v>13</v>
      </c>
      <c r="J1378" s="1">
        <v>10</v>
      </c>
      <c r="K1378" s="6">
        <v>511</v>
      </c>
      <c r="L1378" s="6">
        <v>132995</v>
      </c>
      <c r="M1378" s="1">
        <v>62.4</v>
      </c>
      <c r="N1378" s="1">
        <v>5</v>
      </c>
      <c r="O1378" s="1">
        <v>0</v>
      </c>
      <c r="P1378" s="1">
        <v>12.1</v>
      </c>
      <c r="Q1378" s="11">
        <f>'Table H'!$J$189</f>
        <v>0.90764998203065939</v>
      </c>
      <c r="R1378" s="11">
        <f t="shared" si="48"/>
        <v>120712.90936016754</v>
      </c>
      <c r="S1378" s="11" t="str">
        <f t="shared" si="49"/>
        <v>Gipping RD</v>
      </c>
      <c r="T1378" s="11" t="s">
        <v>5310</v>
      </c>
      <c r="V1378" s="11" t="str">
        <f>INDEX('Lookup 1961'!$A$2:$A$1300, MATCH(S1378, 'Lookup 1961'!$B$2:$B$1300,0))</f>
        <v>J04000531</v>
      </c>
      <c r="W1378" s="11" t="str">
        <f>INDEX('Lookup 1961'!$F$2:$F$1300, MATCH(S1378, 'Lookup 1961'!$B$2:$B$1300,0))</f>
        <v>e340986</v>
      </c>
      <c r="X1378" s="11" t="str">
        <f>INDEX('Lookup 1961'!$C$2:$C$1300, MATCH(V1378, 'Lookup 1961'!$A$2:$A$1300,0))</f>
        <v>Suffolk</v>
      </c>
    </row>
    <row r="1379" spans="1:24" ht="25.05" customHeight="1" x14ac:dyDescent="0.3">
      <c r="A1379" s="4" t="s">
        <v>1136</v>
      </c>
      <c r="B1379" s="4" t="s">
        <v>1136</v>
      </c>
      <c r="C1379" s="1">
        <v>26</v>
      </c>
      <c r="D1379" s="1">
        <v>0</v>
      </c>
      <c r="E1379" s="1">
        <v>16</v>
      </c>
      <c r="F1379" s="1">
        <v>9</v>
      </c>
      <c r="G1379" s="1">
        <v>17</v>
      </c>
      <c r="H1379" s="1">
        <v>4</v>
      </c>
      <c r="I1379" s="1">
        <v>16</v>
      </c>
      <c r="J1379" s="1">
        <v>6</v>
      </c>
      <c r="K1379" s="6">
        <v>397</v>
      </c>
      <c r="L1379" s="6">
        <v>101079</v>
      </c>
      <c r="M1379" s="1">
        <v>119.8</v>
      </c>
      <c r="N1379" s="1">
        <v>4</v>
      </c>
      <c r="O1379" s="1">
        <v>15</v>
      </c>
      <c r="P1379" s="1">
        <v>44.6</v>
      </c>
      <c r="Q1379" s="11">
        <f>'Table H'!$J$189</f>
        <v>0.90764998203065939</v>
      </c>
      <c r="R1379" s="11">
        <f t="shared" si="48"/>
        <v>91744.352533677025</v>
      </c>
      <c r="S1379" s="11" t="str">
        <f t="shared" si="49"/>
        <v>Hartismere RD</v>
      </c>
      <c r="T1379" s="11" t="s">
        <v>5310</v>
      </c>
      <c r="V1379" s="11" t="str">
        <f>INDEX('Lookup 1961'!$A$2:$A$1300, MATCH(S1379, 'Lookup 1961'!$B$2:$B$1300,0))</f>
        <v>J04000578</v>
      </c>
      <c r="W1379" s="11" t="str">
        <f>INDEX('Lookup 1961'!$F$2:$F$1300, MATCH(S1379, 'Lookup 1961'!$B$2:$B$1300,0))</f>
        <v>e340987</v>
      </c>
      <c r="X1379" s="11" t="str">
        <f>INDEX('Lookup 1961'!$C$2:$C$1300, MATCH(V1379, 'Lookup 1961'!$A$2:$A$1300,0))</f>
        <v>Suffolk</v>
      </c>
    </row>
    <row r="1380" spans="1:24" ht="25.05" customHeight="1" x14ac:dyDescent="0.3">
      <c r="A1380" s="4" t="s">
        <v>1137</v>
      </c>
      <c r="B1380" s="4" t="s">
        <v>1137</v>
      </c>
      <c r="C1380" s="1">
        <v>23</v>
      </c>
      <c r="D1380" s="1">
        <v>5</v>
      </c>
      <c r="E1380" s="1">
        <v>16</v>
      </c>
      <c r="F1380" s="1">
        <v>0</v>
      </c>
      <c r="G1380" s="1">
        <v>17</v>
      </c>
      <c r="H1380" s="1">
        <v>1</v>
      </c>
      <c r="I1380" s="1">
        <v>16</v>
      </c>
      <c r="J1380" s="1">
        <v>0</v>
      </c>
      <c r="K1380" s="6">
        <v>485</v>
      </c>
      <c r="L1380" s="6">
        <v>128161</v>
      </c>
      <c r="M1380" s="1">
        <v>83.7</v>
      </c>
      <c r="N1380" s="1">
        <v>6</v>
      </c>
      <c r="O1380" s="1">
        <v>10</v>
      </c>
      <c r="P1380" s="1">
        <v>21.2</v>
      </c>
      <c r="Q1380" s="11">
        <f>'Table H'!$J$189</f>
        <v>0.90764998203065939</v>
      </c>
      <c r="R1380" s="11">
        <f t="shared" si="48"/>
        <v>116325.32934703134</v>
      </c>
      <c r="S1380" s="11" t="str">
        <f t="shared" si="49"/>
        <v>Lothingland RD</v>
      </c>
      <c r="T1380" s="11" t="s">
        <v>5310</v>
      </c>
      <c r="V1380" s="11" t="str">
        <f>INDEX('Lookup 1961'!$A$2:$A$1300, MATCH(S1380, 'Lookup 1961'!$B$2:$B$1300,0))</f>
        <v>J04000782</v>
      </c>
      <c r="W1380" s="11" t="str">
        <f>INDEX('Lookup 1961'!$F$2:$F$1300, MATCH(S1380, 'Lookup 1961'!$B$2:$B$1300,0))</f>
        <v>e340988</v>
      </c>
      <c r="X1380" s="11" t="str">
        <f>INDEX('Lookup 1961'!$C$2:$C$1300, MATCH(V1380, 'Lookup 1961'!$A$2:$A$1300,0))</f>
        <v>Suffolk</v>
      </c>
    </row>
    <row r="1381" spans="1:24" ht="25.05" customHeight="1" x14ac:dyDescent="0.3">
      <c r="A1381" s="4" t="s">
        <v>1138</v>
      </c>
      <c r="B1381" s="4" t="s">
        <v>1138</v>
      </c>
      <c r="C1381" s="1">
        <v>22</v>
      </c>
      <c r="D1381" s="1">
        <v>10</v>
      </c>
      <c r="E1381" s="1">
        <v>16</v>
      </c>
      <c r="F1381" s="1">
        <v>0</v>
      </c>
      <c r="G1381" s="1">
        <v>16</v>
      </c>
      <c r="H1381" s="1">
        <v>4</v>
      </c>
      <c r="I1381" s="1">
        <v>16</v>
      </c>
      <c r="J1381" s="1">
        <v>0</v>
      </c>
      <c r="K1381" s="6">
        <v>510</v>
      </c>
      <c r="L1381" s="6">
        <v>128669</v>
      </c>
      <c r="M1381" s="1">
        <v>59.3</v>
      </c>
      <c r="N1381" s="1">
        <v>6</v>
      </c>
      <c r="O1381" s="1">
        <v>5</v>
      </c>
      <c r="P1381" s="1">
        <v>11.8</v>
      </c>
      <c r="Q1381" s="11">
        <f>'Table H'!$J$189</f>
        <v>0.90764998203065939</v>
      </c>
      <c r="R1381" s="11">
        <f t="shared" si="48"/>
        <v>116786.41553790291</v>
      </c>
      <c r="S1381" s="11" t="str">
        <f t="shared" si="49"/>
        <v>Samford RD</v>
      </c>
      <c r="T1381" s="11" t="s">
        <v>5310</v>
      </c>
      <c r="V1381" s="11" t="str">
        <f>INDEX('Lookup 1961'!$A$2:$A$1300, MATCH(S1381, 'Lookup 1961'!$B$2:$B$1300,0))</f>
        <v>J04001099</v>
      </c>
      <c r="W1381" s="11" t="str">
        <f>INDEX('Lookup 1961'!$F$2:$F$1300, MATCH(S1381, 'Lookup 1961'!$B$2:$B$1300,0))</f>
        <v>e340989</v>
      </c>
      <c r="X1381" s="11" t="str">
        <f>INDEX('Lookup 1961'!$C$2:$C$1300, MATCH(V1381, 'Lookup 1961'!$A$2:$A$1300,0))</f>
        <v>Suffolk</v>
      </c>
    </row>
    <row r="1382" spans="1:24" ht="25.05" customHeight="1" x14ac:dyDescent="0.3">
      <c r="A1382" s="4" t="s">
        <v>1139</v>
      </c>
      <c r="B1382" s="4" t="s">
        <v>1139</v>
      </c>
      <c r="C1382" s="1">
        <v>26</v>
      </c>
      <c r="D1382" s="1">
        <v>4</v>
      </c>
      <c r="E1382" s="1">
        <v>18</v>
      </c>
      <c r="F1382" s="1">
        <v>6</v>
      </c>
      <c r="G1382" s="1">
        <v>18</v>
      </c>
      <c r="H1382" s="1">
        <v>8</v>
      </c>
      <c r="I1382" s="1">
        <v>18</v>
      </c>
      <c r="J1382" s="1">
        <v>6</v>
      </c>
      <c r="K1382" s="6">
        <v>130</v>
      </c>
      <c r="L1382" s="6">
        <v>34665</v>
      </c>
      <c r="M1382" s="1">
        <v>64.7</v>
      </c>
      <c r="N1382" s="1">
        <v>4</v>
      </c>
      <c r="O1382" s="1">
        <v>7</v>
      </c>
      <c r="P1382" s="1">
        <v>15.5</v>
      </c>
      <c r="Q1382" s="11">
        <f>'Table H'!$J$189</f>
        <v>0.90764998203065939</v>
      </c>
      <c r="R1382" s="11">
        <f t="shared" si="48"/>
        <v>31463.686627092808</v>
      </c>
      <c r="S1382" s="11" t="str">
        <f t="shared" si="49"/>
        <v>Wainford RD</v>
      </c>
      <c r="T1382" s="11" t="s">
        <v>5310</v>
      </c>
      <c r="V1382" s="11" t="str">
        <f>INDEX('Lookup 1961'!$A$2:$A$1300, MATCH(S1382, 'Lookup 1961'!$B$2:$B$1300,0))</f>
        <v>J04001321</v>
      </c>
      <c r="W1382" s="11" t="str">
        <f>INDEX('Lookup 1961'!$F$2:$F$1300, MATCH(S1382, 'Lookup 1961'!$B$2:$B$1300,0))</f>
        <v>e340990</v>
      </c>
      <c r="X1382" s="11" t="str">
        <f>INDEX('Lookup 1961'!$C$2:$C$1300, MATCH(V1382, 'Lookup 1961'!$A$2:$A$1300,0))</f>
        <v>Suffolk</v>
      </c>
    </row>
    <row r="1383" spans="1:24" ht="25.05" customHeight="1" x14ac:dyDescent="0.3">
      <c r="A1383" s="4" t="s">
        <v>773</v>
      </c>
      <c r="B1383" s="4" t="s">
        <v>773</v>
      </c>
      <c r="S1383" s="11" t="str">
        <f t="shared" si="49"/>
        <v>SUFFOLK, WEST: RD</v>
      </c>
      <c r="T1383" s="11" t="s">
        <v>5310</v>
      </c>
      <c r="V1383" s="11" t="e">
        <f>INDEX('Lookup 1961'!$A$2:$A$1300, MATCH(S1383, 'Lookup 1961'!$B$2:$B$1300,0))</f>
        <v>#N/A</v>
      </c>
      <c r="W1383" s="11" t="e">
        <f>INDEX('Lookup 1961'!$F$2:$F$1300, MATCH(S1383, 'Lookup 1961'!$B$2:$B$1300,0))</f>
        <v>#N/A</v>
      </c>
      <c r="X1383" s="11" t="e">
        <f>INDEX('Lookup 1961'!$C$2:$C$1300, MATCH(V1383, 'Lookup 1961'!$A$2:$A$1300,0))</f>
        <v>#N/A</v>
      </c>
    </row>
    <row r="1384" spans="1:24" ht="25.05" customHeight="1" x14ac:dyDescent="0.3">
      <c r="A1384" s="4" t="s">
        <v>1140</v>
      </c>
      <c r="B1384" s="4" t="s">
        <v>1140</v>
      </c>
      <c r="C1384" s="1">
        <v>22</v>
      </c>
      <c r="D1384" s="1">
        <v>0</v>
      </c>
      <c r="E1384" s="1">
        <v>14</v>
      </c>
      <c r="F1384" s="1">
        <v>6</v>
      </c>
      <c r="G1384" s="1">
        <v>16</v>
      </c>
      <c r="H1384" s="1">
        <v>11</v>
      </c>
      <c r="I1384" s="1">
        <v>14</v>
      </c>
      <c r="J1384" s="1">
        <v>6</v>
      </c>
      <c r="K1384" s="6">
        <v>271</v>
      </c>
      <c r="L1384" s="6">
        <v>60089</v>
      </c>
      <c r="M1384" s="1">
        <v>58.5</v>
      </c>
      <c r="N1384" s="1">
        <v>5</v>
      </c>
      <c r="O1384" s="1">
        <v>0</v>
      </c>
      <c r="P1384" s="1">
        <v>14.9</v>
      </c>
      <c r="Q1384" s="11">
        <f>'Table H'!$J$194</f>
        <v>0.8554346427824856</v>
      </c>
      <c r="R1384" s="11">
        <f t="shared" si="48"/>
        <v>51402.212250156779</v>
      </c>
      <c r="S1384" s="11" t="str">
        <f t="shared" si="49"/>
        <v>Clare RD</v>
      </c>
      <c r="T1384" s="11" t="s">
        <v>5310</v>
      </c>
      <c r="V1384" s="11" t="str">
        <f>INDEX('Lookup 1961'!$A$2:$A$1300, MATCH(S1384, 'Lookup 1961'!$B$2:$B$1300,0))</f>
        <v>J04000323</v>
      </c>
      <c r="W1384" s="11" t="str">
        <f>INDEX('Lookup 1961'!$F$2:$F$1300, MATCH(S1384, 'Lookup 1961'!$B$2:$B$1300,0))</f>
        <v>e350996</v>
      </c>
      <c r="X1384" s="11" t="str">
        <f>INDEX('Lookup 1961'!$C$2:$C$1300, MATCH(V1384, 'Lookup 1961'!$A$2:$A$1300,0))</f>
        <v>Suffolk</v>
      </c>
    </row>
    <row r="1385" spans="1:24" ht="25.05" customHeight="1" x14ac:dyDescent="0.3">
      <c r="A1385" s="4" t="s">
        <v>1141</v>
      </c>
      <c r="B1385" s="4" t="s">
        <v>1141</v>
      </c>
      <c r="C1385" s="1">
        <v>24</v>
      </c>
      <c r="D1385" s="1">
        <v>8</v>
      </c>
      <c r="E1385" s="1">
        <v>18</v>
      </c>
      <c r="F1385" s="1">
        <v>2</v>
      </c>
      <c r="G1385" s="1">
        <v>18</v>
      </c>
      <c r="H1385" s="1">
        <v>7</v>
      </c>
      <c r="I1385" s="1">
        <v>18</v>
      </c>
      <c r="J1385" s="1">
        <v>2</v>
      </c>
      <c r="K1385" s="6">
        <v>273</v>
      </c>
      <c r="L1385" s="6">
        <v>67585</v>
      </c>
      <c r="M1385" s="1">
        <v>85.2</v>
      </c>
      <c r="N1385" s="1">
        <v>6</v>
      </c>
      <c r="O1385" s="1">
        <v>4</v>
      </c>
      <c r="P1385" s="1">
        <v>32.299999999999997</v>
      </c>
      <c r="Q1385" s="11">
        <f>'Table H'!$J$194</f>
        <v>0.8554346427824856</v>
      </c>
      <c r="R1385" s="11">
        <f t="shared" si="48"/>
        <v>57814.550332454288</v>
      </c>
      <c r="S1385" s="11" t="str">
        <f t="shared" si="49"/>
        <v>Cosford RD</v>
      </c>
      <c r="T1385" s="11" t="s">
        <v>5310</v>
      </c>
      <c r="V1385" s="11" t="str">
        <f>INDEX('Lookup 1961'!$A$2:$A$1300, MATCH(S1385, 'Lookup 1961'!$B$2:$B$1300,0))</f>
        <v>J04000350</v>
      </c>
      <c r="W1385" s="11" t="str">
        <f>INDEX('Lookup 1961'!$F$2:$F$1300, MATCH(S1385, 'Lookup 1961'!$B$2:$B$1300,0))</f>
        <v>e350998</v>
      </c>
      <c r="X1385" s="11" t="str">
        <f>INDEX('Lookup 1961'!$C$2:$C$1300, MATCH(V1385, 'Lookup 1961'!$A$2:$A$1300,0))</f>
        <v>Suffolk</v>
      </c>
    </row>
    <row r="1386" spans="1:24" ht="25.05" customHeight="1" x14ac:dyDescent="0.3">
      <c r="A1386" s="4" t="s">
        <v>1142</v>
      </c>
      <c r="B1386" s="4" t="s">
        <v>1142</v>
      </c>
      <c r="C1386" s="1">
        <v>22</v>
      </c>
      <c r="D1386" s="1">
        <v>10</v>
      </c>
      <c r="E1386" s="1">
        <v>15</v>
      </c>
      <c r="F1386" s="1">
        <v>6</v>
      </c>
      <c r="G1386" s="1">
        <v>16</v>
      </c>
      <c r="H1386" s="1">
        <v>4</v>
      </c>
      <c r="I1386" s="1">
        <v>15</v>
      </c>
      <c r="J1386" s="1">
        <v>6</v>
      </c>
      <c r="K1386" s="6">
        <v>367</v>
      </c>
      <c r="L1386" s="6">
        <v>92223</v>
      </c>
      <c r="M1386" s="1">
        <v>80.7</v>
      </c>
      <c r="N1386" s="1">
        <v>5</v>
      </c>
      <c r="O1386" s="1">
        <v>6</v>
      </c>
      <c r="P1386" s="1">
        <v>18.7</v>
      </c>
      <c r="Q1386" s="11">
        <f>'Table H'!$J$194</f>
        <v>0.8554346427824856</v>
      </c>
      <c r="R1386" s="11">
        <f t="shared" si="48"/>
        <v>78890.749061329174</v>
      </c>
      <c r="S1386" s="11" t="str">
        <f t="shared" si="49"/>
        <v>Melford RD</v>
      </c>
      <c r="T1386" s="11" t="s">
        <v>5310</v>
      </c>
      <c r="V1386" s="11" t="str">
        <f>INDEX('Lookup 1961'!$A$2:$A$1300, MATCH(S1386, 'Lookup 1961'!$B$2:$B$1300,0))</f>
        <v>J04000841</v>
      </c>
      <c r="W1386" s="11" t="str">
        <f>INDEX('Lookup 1961'!$F$2:$F$1300, MATCH(S1386, 'Lookup 1961'!$B$2:$B$1300,0))</f>
        <v>e350999</v>
      </c>
      <c r="X1386" s="11" t="str">
        <f>INDEX('Lookup 1961'!$C$2:$C$1300, MATCH(V1386, 'Lookup 1961'!$A$2:$A$1300,0))</f>
        <v>Suffolk</v>
      </c>
    </row>
    <row r="1387" spans="1:24" ht="25.05" customHeight="1" x14ac:dyDescent="0.3">
      <c r="A1387" s="4" t="s">
        <v>1143</v>
      </c>
      <c r="B1387" s="4" t="s">
        <v>1143</v>
      </c>
      <c r="C1387" s="1">
        <v>16</v>
      </c>
      <c r="D1387" s="1">
        <v>11</v>
      </c>
      <c r="E1387" s="1">
        <v>12</v>
      </c>
      <c r="F1387" s="1">
        <v>2</v>
      </c>
      <c r="G1387" s="1">
        <v>14</v>
      </c>
      <c r="H1387" s="1">
        <v>0</v>
      </c>
      <c r="I1387" s="1">
        <v>12</v>
      </c>
      <c r="J1387" s="1">
        <v>2</v>
      </c>
      <c r="K1387" s="6">
        <v>490</v>
      </c>
      <c r="L1387" s="6">
        <v>117966</v>
      </c>
      <c r="M1387" s="1">
        <v>51.5</v>
      </c>
      <c r="N1387" s="1">
        <v>3</v>
      </c>
      <c r="O1387" s="1">
        <v>15</v>
      </c>
      <c r="P1387" s="1">
        <v>7.5</v>
      </c>
      <c r="Q1387" s="11">
        <f>'Table H'!$J$194</f>
        <v>0.8554346427824856</v>
      </c>
      <c r="R1387" s="11">
        <f t="shared" si="48"/>
        <v>100912.2030704787</v>
      </c>
      <c r="S1387" s="11" t="str">
        <f t="shared" si="49"/>
        <v>Mildenhall RD</v>
      </c>
      <c r="T1387" s="11" t="s">
        <v>5310</v>
      </c>
      <c r="V1387" s="11" t="str">
        <f>INDEX('Lookup 1961'!$A$2:$A$1300, MATCH(S1387, 'Lookup 1961'!$B$2:$B$1300,0))</f>
        <v>J04000856</v>
      </c>
      <c r="W1387" s="11" t="str">
        <f>INDEX('Lookup 1961'!$F$2:$F$1300, MATCH(S1387, 'Lookup 1961'!$B$2:$B$1300,0))</f>
        <v>e351000</v>
      </c>
      <c r="X1387" s="11" t="str">
        <f>INDEX('Lookup 1961'!$C$2:$C$1300, MATCH(V1387, 'Lookup 1961'!$A$2:$A$1300,0))</f>
        <v>Suffolk</v>
      </c>
    </row>
    <row r="1388" spans="1:24" ht="25.05" customHeight="1" x14ac:dyDescent="0.3">
      <c r="A1388" s="4" t="s">
        <v>1144</v>
      </c>
      <c r="B1388" s="4" t="s">
        <v>1144</v>
      </c>
      <c r="C1388" s="1">
        <v>22</v>
      </c>
      <c r="D1388" s="1">
        <v>4</v>
      </c>
      <c r="E1388" s="1">
        <v>15</v>
      </c>
      <c r="F1388" s="1">
        <v>4</v>
      </c>
      <c r="G1388" s="1">
        <v>15</v>
      </c>
      <c r="H1388" s="1">
        <v>9</v>
      </c>
      <c r="I1388" s="1">
        <v>15</v>
      </c>
      <c r="J1388" s="1">
        <v>4</v>
      </c>
      <c r="K1388" s="6">
        <v>213</v>
      </c>
      <c r="L1388" s="6">
        <v>54373</v>
      </c>
      <c r="M1388" s="1">
        <v>67.099999999999994</v>
      </c>
      <c r="N1388" s="1">
        <v>4</v>
      </c>
      <c r="O1388" s="1">
        <v>7</v>
      </c>
      <c r="P1388" s="1">
        <v>9.1</v>
      </c>
      <c r="Q1388" s="11">
        <f>'Table H'!$J$194</f>
        <v>0.8554346427824856</v>
      </c>
      <c r="R1388" s="11">
        <f t="shared" si="48"/>
        <v>46512.547832012089</v>
      </c>
      <c r="S1388" s="11" t="str">
        <f t="shared" si="49"/>
        <v>Thedwastre RD</v>
      </c>
      <c r="T1388" s="11" t="s">
        <v>5310</v>
      </c>
      <c r="V1388" s="11" t="str">
        <f>INDEX('Lookup 1961'!$A$2:$A$1300, MATCH(S1388, 'Lookup 1961'!$B$2:$B$1300,0))</f>
        <v>J04001266</v>
      </c>
      <c r="W1388" s="11" t="str">
        <f>INDEX('Lookup 1961'!$F$2:$F$1300, MATCH(S1388, 'Lookup 1961'!$B$2:$B$1300,0))</f>
        <v>e351002</v>
      </c>
      <c r="X1388" s="11" t="str">
        <f>INDEX('Lookup 1961'!$C$2:$C$1300, MATCH(V1388, 'Lookup 1961'!$A$2:$A$1300,0))</f>
        <v>Suffolk</v>
      </c>
    </row>
    <row r="1389" spans="1:24" ht="25.05" customHeight="1" x14ac:dyDescent="0.3">
      <c r="A1389" s="4" t="s">
        <v>1145</v>
      </c>
      <c r="B1389" s="4" t="s">
        <v>1145</v>
      </c>
      <c r="C1389" s="1">
        <v>25</v>
      </c>
      <c r="D1389" s="1">
        <v>0</v>
      </c>
      <c r="E1389" s="1">
        <v>15</v>
      </c>
      <c r="F1389" s="1">
        <v>6</v>
      </c>
      <c r="G1389" s="1">
        <v>16</v>
      </c>
      <c r="H1389" s="1">
        <v>0</v>
      </c>
      <c r="I1389" s="1">
        <v>15</v>
      </c>
      <c r="J1389" s="1">
        <v>0</v>
      </c>
      <c r="K1389" s="6">
        <v>410</v>
      </c>
      <c r="L1389" s="6">
        <v>105276</v>
      </c>
      <c r="M1389" s="1">
        <v>43.5</v>
      </c>
      <c r="N1389" s="1">
        <v>3</v>
      </c>
      <c r="O1389" s="1">
        <v>18</v>
      </c>
      <c r="P1389" s="1">
        <v>14.3</v>
      </c>
      <c r="Q1389" s="11">
        <f>'Table H'!$J$194</f>
        <v>0.8554346427824856</v>
      </c>
      <c r="R1389" s="11">
        <f t="shared" si="48"/>
        <v>90056.73745356896</v>
      </c>
      <c r="S1389" s="11" t="str">
        <f t="shared" si="49"/>
        <v>Thingoe RD</v>
      </c>
      <c r="T1389" s="11" t="s">
        <v>5310</v>
      </c>
      <c r="V1389" s="11" t="str">
        <f>INDEX('Lookup 1961'!$A$2:$A$1300, MATCH(S1389, 'Lookup 1961'!$B$2:$B$1300,0))</f>
        <v>J04001268</v>
      </c>
      <c r="W1389" s="11" t="str">
        <f>INDEX('Lookup 1961'!$F$2:$F$1300, MATCH(S1389, 'Lookup 1961'!$B$2:$B$1300,0))</f>
        <v>e351003</v>
      </c>
      <c r="X1389" s="11" t="str">
        <f>INDEX('Lookup 1961'!$C$2:$C$1300, MATCH(V1389, 'Lookup 1961'!$A$2:$A$1300,0))</f>
        <v>Suffolk</v>
      </c>
    </row>
    <row r="1390" spans="1:24" ht="25.05" customHeight="1" x14ac:dyDescent="0.3">
      <c r="A1390" s="4" t="s">
        <v>779</v>
      </c>
      <c r="B1390" s="4" t="s">
        <v>779</v>
      </c>
      <c r="S1390" s="11" t="str">
        <f t="shared" si="49"/>
        <v>SURREY: RD</v>
      </c>
      <c r="T1390" s="11" t="s">
        <v>5310</v>
      </c>
      <c r="V1390" s="11" t="e">
        <f>INDEX('Lookup 1961'!$A$2:$A$1300, MATCH(S1390, 'Lookup 1961'!$B$2:$B$1300,0))</f>
        <v>#N/A</v>
      </c>
      <c r="W1390" s="11" t="e">
        <f>INDEX('Lookup 1961'!$F$2:$F$1300, MATCH(S1390, 'Lookup 1961'!$B$2:$B$1300,0))</f>
        <v>#N/A</v>
      </c>
      <c r="X1390" s="11" t="e">
        <f>INDEX('Lookup 1961'!$C$2:$C$1300, MATCH(V1390, 'Lookup 1961'!$A$2:$A$1300,0))</f>
        <v>#N/A</v>
      </c>
    </row>
    <row r="1391" spans="1:24" ht="25.05" customHeight="1" x14ac:dyDescent="0.3">
      <c r="A1391" s="4" t="s">
        <v>1146</v>
      </c>
      <c r="B1391" s="4" t="s">
        <v>1146</v>
      </c>
      <c r="C1391" s="1">
        <v>16</v>
      </c>
      <c r="D1391" s="1">
        <v>4</v>
      </c>
      <c r="E1391" s="1">
        <v>12</v>
      </c>
      <c r="F1391" s="1">
        <v>2</v>
      </c>
      <c r="G1391" s="1">
        <v>12</v>
      </c>
      <c r="H1391" s="1">
        <v>8</v>
      </c>
      <c r="I1391" s="1">
        <v>12</v>
      </c>
      <c r="J1391" s="1">
        <v>6</v>
      </c>
      <c r="K1391" s="6">
        <v>777</v>
      </c>
      <c r="L1391" s="6">
        <v>201374</v>
      </c>
      <c r="M1391" s="1">
        <v>50.5</v>
      </c>
      <c r="N1391" s="1">
        <v>8</v>
      </c>
      <c r="O1391" s="1">
        <v>7</v>
      </c>
      <c r="P1391" s="1">
        <v>6.9</v>
      </c>
      <c r="Q1391" s="11">
        <f>'Table H'!$J$199</f>
        <v>0.9267929897450552</v>
      </c>
      <c r="R1391" s="11">
        <f t="shared" si="48"/>
        <v>186632.01151692076</v>
      </c>
      <c r="S1391" s="11" t="str">
        <f t="shared" si="49"/>
        <v>Bagshot RD</v>
      </c>
      <c r="T1391" s="11" t="s">
        <v>5310</v>
      </c>
      <c r="V1391" s="11" t="str">
        <f>INDEX('Lookup 1961'!$A$2:$A$1300, MATCH(S1391, 'Lookup 1961'!$B$2:$B$1300,0))</f>
        <v>J04000069</v>
      </c>
      <c r="W1391" s="11" t="str">
        <f>INDEX('Lookup 1961'!$F$2:$F$1300, MATCH(S1391, 'Lookup 1961'!$B$2:$B$1300,0))</f>
        <v>e361022</v>
      </c>
      <c r="X1391" s="11" t="str">
        <f>INDEX('Lookup 1961'!$C$2:$C$1300, MATCH(V1391, 'Lookup 1961'!$A$2:$A$1300,0))</f>
        <v>Surrey</v>
      </c>
    </row>
    <row r="1392" spans="1:24" ht="25.05" customHeight="1" x14ac:dyDescent="0.3">
      <c r="A1392" s="4" t="s">
        <v>1147</v>
      </c>
      <c r="B1392" s="4" t="s">
        <v>1147</v>
      </c>
      <c r="C1392" s="1">
        <v>17</v>
      </c>
      <c r="D1392" s="1">
        <v>8</v>
      </c>
      <c r="E1392" s="1">
        <v>12</v>
      </c>
      <c r="F1392" s="1">
        <v>3</v>
      </c>
      <c r="G1392" s="1">
        <v>12</v>
      </c>
      <c r="H1392" s="1">
        <v>9</v>
      </c>
      <c r="I1392" s="1">
        <v>12</v>
      </c>
      <c r="J1392" s="1">
        <v>3</v>
      </c>
      <c r="K1392" s="6">
        <v>1605</v>
      </c>
      <c r="L1392" s="6">
        <v>418989</v>
      </c>
      <c r="M1392" s="1">
        <v>56.7</v>
      </c>
      <c r="N1392" s="1">
        <v>9</v>
      </c>
      <c r="O1392" s="1">
        <v>0</v>
      </c>
      <c r="P1392" s="1">
        <v>5.4</v>
      </c>
      <c r="Q1392" s="11">
        <f>'Table H'!$J$199</f>
        <v>0.9267929897450552</v>
      </c>
      <c r="R1392" s="11">
        <f t="shared" si="48"/>
        <v>388316.06798029091</v>
      </c>
      <c r="S1392" s="11" t="str">
        <f t="shared" si="49"/>
        <v>Dorking and Horley RD</v>
      </c>
      <c r="T1392" s="11" t="s">
        <v>5310</v>
      </c>
      <c r="V1392" s="11" t="str">
        <f>INDEX('Lookup 1961'!$A$2:$A$1300, MATCH(S1392, 'Lookup 1961'!$B$2:$B$1300,0))</f>
        <v>J04000419</v>
      </c>
      <c r="W1392" s="11" t="str">
        <f>INDEX('Lookup 1961'!$F$2:$F$1300, MATCH(S1392, 'Lookup 1961'!$B$2:$B$1300,0))</f>
        <v>e361023</v>
      </c>
      <c r="X1392" s="11" t="str">
        <f>INDEX('Lookup 1961'!$C$2:$C$1300, MATCH(V1392, 'Lookup 1961'!$A$2:$A$1300,0))</f>
        <v>Surrey</v>
      </c>
    </row>
    <row r="1393" spans="1:24" ht="25.05" customHeight="1" x14ac:dyDescent="0.3">
      <c r="A1393" s="4" t="s">
        <v>1148</v>
      </c>
      <c r="B1393" s="4" t="s">
        <v>1148</v>
      </c>
      <c r="C1393" s="1">
        <v>17</v>
      </c>
      <c r="D1393" s="1">
        <v>8</v>
      </c>
      <c r="E1393" s="1">
        <v>12</v>
      </c>
      <c r="F1393" s="1">
        <v>8</v>
      </c>
      <c r="G1393" s="1">
        <v>13</v>
      </c>
      <c r="H1393" s="1">
        <v>2</v>
      </c>
      <c r="I1393" s="1">
        <v>12</v>
      </c>
      <c r="J1393" s="1">
        <v>7</v>
      </c>
      <c r="K1393" s="6">
        <v>2038</v>
      </c>
      <c r="L1393" s="6">
        <v>525627</v>
      </c>
      <c r="M1393" s="1">
        <v>44.5</v>
      </c>
      <c r="N1393" s="1">
        <v>9</v>
      </c>
      <c r="O1393" s="1">
        <v>9</v>
      </c>
      <c r="P1393" s="1">
        <v>1.3</v>
      </c>
      <c r="Q1393" s="11">
        <f>'Table H'!$J$199</f>
        <v>0.9267929897450552</v>
      </c>
      <c r="R1393" s="11">
        <f t="shared" si="48"/>
        <v>487147.41882072412</v>
      </c>
      <c r="S1393" s="11" t="str">
        <f t="shared" si="49"/>
        <v>Godstone RD</v>
      </c>
      <c r="T1393" s="11" t="s">
        <v>5310</v>
      </c>
      <c r="V1393" s="11" t="str">
        <f>INDEX('Lookup 1961'!$A$2:$A$1300, MATCH(S1393, 'Lookup 1961'!$B$2:$B$1300,0))</f>
        <v>J04000540</v>
      </c>
      <c r="W1393" s="11" t="str">
        <f>INDEX('Lookup 1961'!$F$2:$F$1300, MATCH(S1393, 'Lookup 1961'!$B$2:$B$1300,0))</f>
        <v>e361026</v>
      </c>
      <c r="X1393" s="11" t="str">
        <f>INDEX('Lookup 1961'!$C$2:$C$1300, MATCH(V1393, 'Lookup 1961'!$A$2:$A$1300,0))</f>
        <v>Surrey</v>
      </c>
    </row>
    <row r="1394" spans="1:24" ht="25.05" customHeight="1" x14ac:dyDescent="0.3">
      <c r="A1394" s="4" t="s">
        <v>784</v>
      </c>
      <c r="B1394" s="4" t="s">
        <v>784</v>
      </c>
      <c r="C1394" s="1">
        <v>19</v>
      </c>
      <c r="D1394" s="1">
        <v>9</v>
      </c>
      <c r="E1394" s="1">
        <v>13</v>
      </c>
      <c r="F1394" s="1">
        <v>8</v>
      </c>
      <c r="G1394" s="1">
        <v>14</v>
      </c>
      <c r="H1394" s="1">
        <v>4</v>
      </c>
      <c r="I1394" s="1">
        <v>13</v>
      </c>
      <c r="J1394" s="1">
        <v>8</v>
      </c>
      <c r="K1394" s="6">
        <v>2778</v>
      </c>
      <c r="L1394" s="6">
        <v>681896</v>
      </c>
      <c r="M1394" s="1">
        <v>72</v>
      </c>
      <c r="N1394" s="1">
        <v>9</v>
      </c>
      <c r="O1394" s="1">
        <v>8</v>
      </c>
      <c r="P1394" s="1">
        <v>12.2</v>
      </c>
      <c r="Q1394" s="11">
        <f>'Table H'!$J$199</f>
        <v>0.9267929897450552</v>
      </c>
      <c r="R1394" s="11">
        <f t="shared" si="48"/>
        <v>631976.43253519421</v>
      </c>
      <c r="S1394" s="11" t="str">
        <f t="shared" si="49"/>
        <v>Guildford RD</v>
      </c>
      <c r="T1394" s="11" t="s">
        <v>5310</v>
      </c>
      <c r="V1394" s="11" t="str">
        <f>INDEX('Lookup 1961'!$A$2:$A$1300, MATCH(S1394, 'Lookup 1961'!$B$2:$B$1300,0))</f>
        <v>J04000557</v>
      </c>
      <c r="W1394" s="11" t="str">
        <f>INDEX('Lookup 1961'!$F$2:$F$1300, MATCH(S1394, 'Lookup 1961'!$B$2:$B$1300,0))</f>
        <v>e361027</v>
      </c>
      <c r="X1394" s="11" t="str">
        <f>INDEX('Lookup 1961'!$C$2:$C$1300, MATCH(V1394, 'Lookup 1961'!$A$2:$A$1300,0))</f>
        <v>Surrey</v>
      </c>
    </row>
    <row r="1395" spans="1:24" ht="25.05" customHeight="1" x14ac:dyDescent="0.3">
      <c r="A1395" s="4" t="s">
        <v>1149</v>
      </c>
      <c r="B1395" s="4" t="s">
        <v>1149</v>
      </c>
      <c r="C1395" s="1">
        <v>19</v>
      </c>
      <c r="D1395" s="1">
        <v>2</v>
      </c>
      <c r="E1395" s="1">
        <v>13</v>
      </c>
      <c r="F1395" s="1">
        <v>2</v>
      </c>
      <c r="G1395" s="1">
        <v>13</v>
      </c>
      <c r="H1395" s="1">
        <v>9</v>
      </c>
      <c r="I1395" s="1">
        <v>13</v>
      </c>
      <c r="J1395" s="1">
        <v>2</v>
      </c>
      <c r="K1395" s="6">
        <v>2000</v>
      </c>
      <c r="L1395" s="6">
        <v>509718</v>
      </c>
      <c r="M1395" s="1">
        <v>69.900000000000006</v>
      </c>
      <c r="N1395" s="1">
        <v>9</v>
      </c>
      <c r="O1395" s="1">
        <v>17</v>
      </c>
      <c r="P1395" s="1">
        <v>21.8</v>
      </c>
      <c r="Q1395" s="11">
        <f>'Table H'!$J$199</f>
        <v>0.9267929897450552</v>
      </c>
      <c r="R1395" s="11">
        <f t="shared" si="48"/>
        <v>472403.06914687005</v>
      </c>
      <c r="S1395" s="11" t="str">
        <f t="shared" si="49"/>
        <v>Hambledon RD</v>
      </c>
      <c r="T1395" s="11" t="s">
        <v>5310</v>
      </c>
      <c r="V1395" s="11" t="str">
        <f>INDEX('Lookup 1961'!$A$2:$A$1300, MATCH(S1395, 'Lookup 1961'!$B$2:$B$1300,0))</f>
        <v>J04000571</v>
      </c>
      <c r="W1395" s="11" t="str">
        <f>INDEX('Lookup 1961'!$F$2:$F$1300, MATCH(S1395, 'Lookup 1961'!$B$2:$B$1300,0))</f>
        <v>e361028</v>
      </c>
      <c r="X1395" s="11" t="str">
        <f>INDEX('Lookup 1961'!$C$2:$C$1300, MATCH(V1395, 'Lookup 1961'!$A$2:$A$1300,0))</f>
        <v>Surrey</v>
      </c>
    </row>
    <row r="1396" spans="1:24" ht="25.05" customHeight="1" x14ac:dyDescent="0.3">
      <c r="A1396" s="4" t="s">
        <v>808</v>
      </c>
      <c r="B1396" s="4" t="s">
        <v>808</v>
      </c>
      <c r="S1396" s="11" t="str">
        <f t="shared" si="49"/>
        <v>SUSSEX, EAST: RD</v>
      </c>
      <c r="T1396" s="11" t="s">
        <v>5310</v>
      </c>
      <c r="V1396" s="11" t="e">
        <f>INDEX('Lookup 1961'!$A$2:$A$1300, MATCH(S1396, 'Lookup 1961'!$B$2:$B$1300,0))</f>
        <v>#N/A</v>
      </c>
      <c r="W1396" s="11" t="e">
        <f>INDEX('Lookup 1961'!$F$2:$F$1300, MATCH(S1396, 'Lookup 1961'!$B$2:$B$1300,0))</f>
        <v>#N/A</v>
      </c>
      <c r="X1396" s="11" t="e">
        <f>INDEX('Lookup 1961'!$C$2:$C$1300, MATCH(V1396, 'Lookup 1961'!$A$2:$A$1300,0))</f>
        <v>#N/A</v>
      </c>
    </row>
    <row r="1397" spans="1:24" ht="25.05" customHeight="1" x14ac:dyDescent="0.3">
      <c r="A1397" s="4" t="s">
        <v>1150</v>
      </c>
      <c r="B1397" s="4" t="s">
        <v>1150</v>
      </c>
      <c r="C1397" s="1">
        <v>19</v>
      </c>
      <c r="D1397" s="1">
        <v>1</v>
      </c>
      <c r="E1397" s="1">
        <v>14</v>
      </c>
      <c r="F1397" s="1">
        <v>7</v>
      </c>
      <c r="G1397" s="1">
        <v>15</v>
      </c>
      <c r="H1397" s="1">
        <v>11</v>
      </c>
      <c r="I1397" s="1">
        <v>14</v>
      </c>
      <c r="J1397" s="1">
        <v>7</v>
      </c>
      <c r="K1397" s="6">
        <v>1347</v>
      </c>
      <c r="L1397" s="6">
        <v>344367</v>
      </c>
      <c r="M1397" s="1">
        <v>49.5</v>
      </c>
      <c r="N1397" s="1">
        <v>8</v>
      </c>
      <c r="O1397" s="1">
        <v>6</v>
      </c>
      <c r="P1397" s="1">
        <v>13.1</v>
      </c>
      <c r="Q1397" s="11">
        <f>'Table H'!$J$204</f>
        <v>0.96676152493146417</v>
      </c>
      <c r="R1397" s="11">
        <f t="shared" si="48"/>
        <v>332920.76605607354</v>
      </c>
      <c r="S1397" s="11" t="str">
        <f t="shared" si="49"/>
        <v>Battle RD</v>
      </c>
      <c r="T1397" s="11" t="s">
        <v>5310</v>
      </c>
      <c r="V1397" s="11" t="str">
        <f>INDEX('Lookup 1961'!$A$2:$A$1300, MATCH(S1397, 'Lookup 1961'!$B$2:$B$1300,0))</f>
        <v>J04000103</v>
      </c>
      <c r="W1397" s="11" t="str">
        <f>INDEX('Lookup 1961'!$F$2:$F$1300, MATCH(S1397, 'Lookup 1961'!$B$2:$B$1300,0))</f>
        <v>e371042</v>
      </c>
      <c r="X1397" s="11" t="str">
        <f>INDEX('Lookup 1961'!$C$2:$C$1300, MATCH(V1397, 'Lookup 1961'!$A$2:$A$1300,0))</f>
        <v>East Sussex</v>
      </c>
    </row>
    <row r="1398" spans="1:24" ht="25.05" customHeight="1" x14ac:dyDescent="0.3">
      <c r="A1398" s="4" t="s">
        <v>1151</v>
      </c>
      <c r="B1398" s="4" t="s">
        <v>1151</v>
      </c>
      <c r="C1398" s="1">
        <v>19</v>
      </c>
      <c r="D1398" s="1">
        <v>10</v>
      </c>
      <c r="E1398" s="1">
        <v>13</v>
      </c>
      <c r="F1398" s="1">
        <v>10</v>
      </c>
      <c r="G1398" s="1">
        <v>14</v>
      </c>
      <c r="H1398" s="1">
        <v>10</v>
      </c>
      <c r="I1398" s="1">
        <v>13</v>
      </c>
      <c r="J1398" s="1">
        <v>10</v>
      </c>
      <c r="K1398" s="6">
        <v>1090</v>
      </c>
      <c r="L1398" s="6">
        <v>281754</v>
      </c>
      <c r="M1398" s="1">
        <v>68.7</v>
      </c>
      <c r="N1398" s="1">
        <v>9</v>
      </c>
      <c r="O1398" s="1">
        <v>17</v>
      </c>
      <c r="P1398" s="1">
        <v>12</v>
      </c>
      <c r="Q1398" s="11">
        <f>'Table H'!$J$204</f>
        <v>0.96676152493146417</v>
      </c>
      <c r="R1398" s="11">
        <f t="shared" si="48"/>
        <v>272388.92669553973</v>
      </c>
      <c r="S1398" s="11" t="str">
        <f t="shared" si="49"/>
        <v>Chailey RD</v>
      </c>
      <c r="T1398" s="11" t="s">
        <v>5310</v>
      </c>
      <c r="V1398" s="11" t="str">
        <f>INDEX('Lookup 1961'!$A$2:$A$1300, MATCH(S1398, 'Lookup 1961'!$B$2:$B$1300,0))</f>
        <v>J04000278</v>
      </c>
      <c r="W1398" s="11" t="str">
        <f>INDEX('Lookup 1961'!$F$2:$F$1300, MATCH(S1398, 'Lookup 1961'!$B$2:$B$1300,0))</f>
        <v>e371043</v>
      </c>
      <c r="X1398" s="11" t="str">
        <f>INDEX('Lookup 1961'!$C$2:$C$1300, MATCH(V1398, 'Lookup 1961'!$A$2:$A$1300,0))</f>
        <v>East Sussex</v>
      </c>
    </row>
    <row r="1399" spans="1:24" ht="25.05" customHeight="1" x14ac:dyDescent="0.3">
      <c r="A1399" s="4" t="s">
        <v>814</v>
      </c>
      <c r="B1399" s="4" t="s">
        <v>814</v>
      </c>
      <c r="C1399" s="1">
        <v>19</v>
      </c>
      <c r="D1399" s="1">
        <v>10</v>
      </c>
      <c r="E1399" s="1">
        <v>14</v>
      </c>
      <c r="F1399" s="1">
        <v>4</v>
      </c>
      <c r="G1399" s="1">
        <v>15</v>
      </c>
      <c r="H1399" s="1">
        <v>4</v>
      </c>
      <c r="I1399" s="1">
        <v>14</v>
      </c>
      <c r="J1399" s="1">
        <v>4</v>
      </c>
      <c r="K1399" s="6">
        <v>1250</v>
      </c>
      <c r="L1399" s="6">
        <v>320982</v>
      </c>
      <c r="M1399" s="1">
        <v>50.7</v>
      </c>
      <c r="N1399" s="1">
        <v>8</v>
      </c>
      <c r="O1399" s="1">
        <v>14</v>
      </c>
      <c r="P1399" s="1">
        <v>1</v>
      </c>
      <c r="Q1399" s="11">
        <f>'Table H'!$J$204</f>
        <v>0.96676152493146417</v>
      </c>
      <c r="R1399" s="11">
        <f t="shared" si="48"/>
        <v>310313.04779555125</v>
      </c>
      <c r="S1399" s="11" t="str">
        <f t="shared" si="49"/>
        <v>Cuckfield RD</v>
      </c>
      <c r="T1399" s="11" t="s">
        <v>5310</v>
      </c>
      <c r="V1399" s="11" t="str">
        <f>INDEX('Lookup 1961'!$A$2:$A$1300, MATCH(S1399, 'Lookup 1961'!$B$2:$B$1300,0))</f>
        <v>J04000372</v>
      </c>
      <c r="W1399" s="11" t="str">
        <f>INDEX('Lookup 1961'!$F$2:$F$1300, MATCH(S1399, 'Lookup 1961'!$B$2:$B$1300,0))</f>
        <v>e371044</v>
      </c>
      <c r="X1399" s="11" t="str">
        <f>INDEX('Lookup 1961'!$C$2:$C$1300, MATCH(V1399, 'Lookup 1961'!$A$2:$A$1300,0))</f>
        <v>West Sussex</v>
      </c>
    </row>
    <row r="1400" spans="1:24" ht="25.05" customHeight="1" x14ac:dyDescent="0.3">
      <c r="A1400" s="4" t="s">
        <v>1152</v>
      </c>
      <c r="B1400" s="4" t="s">
        <v>1152</v>
      </c>
      <c r="C1400" s="1">
        <v>17</v>
      </c>
      <c r="D1400" s="1">
        <v>5</v>
      </c>
      <c r="E1400" s="1">
        <v>12</v>
      </c>
      <c r="F1400" s="1">
        <v>10</v>
      </c>
      <c r="G1400" s="1">
        <v>13</v>
      </c>
      <c r="H1400" s="1">
        <v>11</v>
      </c>
      <c r="I1400" s="1">
        <v>12</v>
      </c>
      <c r="J1400" s="1">
        <v>10</v>
      </c>
      <c r="K1400" s="6">
        <v>1900</v>
      </c>
      <c r="L1400" s="6">
        <v>476727</v>
      </c>
      <c r="M1400" s="1">
        <v>47</v>
      </c>
      <c r="N1400" s="1">
        <v>8</v>
      </c>
      <c r="O1400" s="1">
        <v>6</v>
      </c>
      <c r="P1400" s="1">
        <v>6.8</v>
      </c>
      <c r="Q1400" s="11">
        <f>'Table H'!$J$204</f>
        <v>0.96676152493146417</v>
      </c>
      <c r="R1400" s="11">
        <f t="shared" si="48"/>
        <v>460881.32149600214</v>
      </c>
      <c r="S1400" s="11" t="str">
        <f t="shared" si="49"/>
        <v>Hailsham RD</v>
      </c>
      <c r="T1400" s="11" t="s">
        <v>5310</v>
      </c>
      <c r="V1400" s="11" t="str">
        <f>INDEX('Lookup 1961'!$A$2:$A$1300, MATCH(S1400, 'Lookup 1961'!$B$2:$B$1300,0))</f>
        <v>J04000562</v>
      </c>
      <c r="W1400" s="11" t="str">
        <f>INDEX('Lookup 1961'!$F$2:$F$1300, MATCH(S1400, 'Lookup 1961'!$B$2:$B$1300,0))</f>
        <v>e371047</v>
      </c>
      <c r="X1400" s="11" t="str">
        <f>INDEX('Lookup 1961'!$C$2:$C$1300, MATCH(V1400, 'Lookup 1961'!$A$2:$A$1300,0))</f>
        <v>East Sussex</v>
      </c>
    </row>
    <row r="1401" spans="1:24" ht="25.05" customHeight="1" x14ac:dyDescent="0.3">
      <c r="A1401" s="4" t="s">
        <v>1153</v>
      </c>
      <c r="B1401" s="4" t="s">
        <v>1153</v>
      </c>
      <c r="C1401" s="1">
        <v>18</v>
      </c>
      <c r="D1401" s="1">
        <v>0</v>
      </c>
      <c r="E1401" s="1">
        <v>13</v>
      </c>
      <c r="F1401" s="1">
        <v>0</v>
      </c>
      <c r="G1401" s="1">
        <v>13</v>
      </c>
      <c r="H1401" s="1">
        <v>9</v>
      </c>
      <c r="I1401" s="1">
        <v>13</v>
      </c>
      <c r="J1401" s="1">
        <v>0</v>
      </c>
      <c r="K1401" s="6">
        <v>2305</v>
      </c>
      <c r="L1401" s="6">
        <v>589349</v>
      </c>
      <c r="M1401" s="1">
        <v>63.8</v>
      </c>
      <c r="N1401" s="1">
        <v>8</v>
      </c>
      <c r="O1401" s="1">
        <v>10</v>
      </c>
      <c r="P1401" s="1">
        <v>18.3</v>
      </c>
      <c r="Q1401" s="11">
        <f>'Table H'!$J$204</f>
        <v>0.96676152493146417</v>
      </c>
      <c r="R1401" s="11">
        <f t="shared" si="48"/>
        <v>569759.93795683351</v>
      </c>
      <c r="S1401" s="11" t="str">
        <f t="shared" si="49"/>
        <v>Uckfield RD</v>
      </c>
      <c r="T1401" s="11" t="s">
        <v>5310</v>
      </c>
      <c r="V1401" s="11" t="str">
        <f>INDEX('Lookup 1961'!$A$2:$A$1300, MATCH(S1401, 'Lookup 1961'!$B$2:$B$1300,0))</f>
        <v>J04001307</v>
      </c>
      <c r="W1401" s="11" t="str">
        <f>INDEX('Lookup 1961'!$F$2:$F$1300, MATCH(S1401, 'Lookup 1961'!$B$2:$B$1300,0))</f>
        <v>e371048</v>
      </c>
      <c r="X1401" s="11" t="str">
        <f>INDEX('Lookup 1961'!$C$2:$C$1300, MATCH(V1401, 'Lookup 1961'!$A$2:$A$1300,0))</f>
        <v>East Sussex</v>
      </c>
    </row>
    <row r="1402" spans="1:24" ht="25.05" customHeight="1" x14ac:dyDescent="0.3">
      <c r="A1402" s="4" t="s">
        <v>819</v>
      </c>
      <c r="B1402" s="4" t="s">
        <v>819</v>
      </c>
      <c r="S1402" s="11" t="str">
        <f t="shared" si="49"/>
        <v>SUSSEX, WEST: RD</v>
      </c>
      <c r="T1402" s="11" t="s">
        <v>5310</v>
      </c>
      <c r="V1402" s="11" t="e">
        <f>INDEX('Lookup 1961'!$A$2:$A$1300, MATCH(S1402, 'Lookup 1961'!$B$2:$B$1300,0))</f>
        <v>#N/A</v>
      </c>
      <c r="W1402" s="11" t="e">
        <f>INDEX('Lookup 1961'!$F$2:$F$1300, MATCH(S1402, 'Lookup 1961'!$B$2:$B$1300,0))</f>
        <v>#N/A</v>
      </c>
      <c r="X1402" s="11" t="e">
        <f>INDEX('Lookup 1961'!$C$2:$C$1300, MATCH(V1402, 'Lookup 1961'!$A$2:$A$1300,0))</f>
        <v>#N/A</v>
      </c>
    </row>
    <row r="1403" spans="1:24" ht="25.05" customHeight="1" x14ac:dyDescent="0.3">
      <c r="A1403" s="4" t="s">
        <v>1154</v>
      </c>
      <c r="B1403" s="4" t="s">
        <v>1154</v>
      </c>
      <c r="C1403" s="1">
        <v>19</v>
      </c>
      <c r="D1403" s="1">
        <v>0</v>
      </c>
      <c r="E1403" s="1">
        <v>13</v>
      </c>
      <c r="F1403" s="1">
        <v>1</v>
      </c>
      <c r="G1403" s="1">
        <v>13</v>
      </c>
      <c r="H1403" s="1">
        <v>10</v>
      </c>
      <c r="I1403" s="1">
        <v>13</v>
      </c>
      <c r="J1403" s="1">
        <v>2</v>
      </c>
      <c r="K1403" s="6">
        <v>1170</v>
      </c>
      <c r="L1403" s="6">
        <v>308192</v>
      </c>
      <c r="M1403" s="1">
        <v>66.3</v>
      </c>
      <c r="N1403" s="1">
        <v>9</v>
      </c>
      <c r="O1403" s="1">
        <v>5</v>
      </c>
      <c r="P1403" s="1">
        <v>12.9</v>
      </c>
      <c r="Q1403" s="11">
        <f>'Table H'!$J$209</f>
        <v>0.96073065026538806</v>
      </c>
      <c r="R1403" s="11">
        <f t="shared" si="48"/>
        <v>296089.50056659046</v>
      </c>
      <c r="S1403" s="11" t="str">
        <f t="shared" si="49"/>
        <v>Chanctonbury RD</v>
      </c>
      <c r="T1403" s="11" t="s">
        <v>5310</v>
      </c>
      <c r="V1403" s="11" t="str">
        <f>INDEX('Lookup 1961'!$A$2:$A$1300, MATCH(S1403, 'Lookup 1961'!$B$2:$B$1300,0))</f>
        <v>J04000279</v>
      </c>
      <c r="W1403" s="11" t="str">
        <f>INDEX('Lookup 1961'!$F$2:$F$1300, MATCH(S1403, 'Lookup 1961'!$B$2:$B$1300,0))</f>
        <v>e381058</v>
      </c>
      <c r="X1403" s="11" t="str">
        <f>INDEX('Lookup 1961'!$C$2:$C$1300, MATCH(V1403, 'Lookup 1961'!$A$2:$A$1300,0))</f>
        <v>West Sussex</v>
      </c>
    </row>
    <row r="1404" spans="1:24" ht="25.05" customHeight="1" x14ac:dyDescent="0.3">
      <c r="A1404" s="4" t="s">
        <v>821</v>
      </c>
      <c r="B1404" s="4" t="s">
        <v>821</v>
      </c>
      <c r="C1404" s="1">
        <v>19</v>
      </c>
      <c r="D1404" s="1">
        <v>2</v>
      </c>
      <c r="E1404" s="1">
        <v>12</v>
      </c>
      <c r="F1404" s="1">
        <v>11</v>
      </c>
      <c r="G1404" s="1">
        <v>13</v>
      </c>
      <c r="H1404" s="1">
        <v>4</v>
      </c>
      <c r="I1404" s="1">
        <v>12</v>
      </c>
      <c r="J1404" s="1">
        <v>11</v>
      </c>
      <c r="K1404" s="6">
        <v>2600</v>
      </c>
      <c r="L1404" s="6">
        <v>658860</v>
      </c>
      <c r="M1404" s="1">
        <v>65.3</v>
      </c>
      <c r="N1404" s="1">
        <v>9</v>
      </c>
      <c r="O1404" s="1">
        <v>5</v>
      </c>
      <c r="P1404" s="1">
        <v>9.6</v>
      </c>
      <c r="Q1404" s="11">
        <f>'Table H'!$J$209</f>
        <v>0.96073065026538806</v>
      </c>
      <c r="R1404" s="11">
        <f t="shared" si="48"/>
        <v>632986.99623385363</v>
      </c>
      <c r="S1404" s="11" t="str">
        <f t="shared" si="49"/>
        <v>Chichester RD</v>
      </c>
      <c r="T1404" s="11" t="s">
        <v>5310</v>
      </c>
      <c r="V1404" s="11" t="str">
        <f>INDEX('Lookup 1961'!$A$2:$A$1300, MATCH(S1404, 'Lookup 1961'!$B$2:$B$1300,0))</f>
        <v>J04000306</v>
      </c>
      <c r="W1404" s="11" t="str">
        <f>INDEX('Lookup 1961'!$F$2:$F$1300, MATCH(S1404, 'Lookup 1961'!$B$2:$B$1300,0))</f>
        <v>e381059</v>
      </c>
      <c r="X1404" s="11" t="str">
        <f>INDEX('Lookup 1961'!$C$2:$C$1300, MATCH(V1404, 'Lookup 1961'!$A$2:$A$1300,0))</f>
        <v>West Sussex</v>
      </c>
    </row>
    <row r="1405" spans="1:24" ht="25.05" customHeight="1" x14ac:dyDescent="0.3">
      <c r="A1405" s="4" t="s">
        <v>825</v>
      </c>
      <c r="B1405" s="4" t="s">
        <v>825</v>
      </c>
      <c r="C1405" s="1">
        <v>18</v>
      </c>
      <c r="D1405" s="1">
        <v>8</v>
      </c>
      <c r="E1405" s="1">
        <v>13</v>
      </c>
      <c r="F1405" s="1">
        <v>6</v>
      </c>
      <c r="G1405" s="1">
        <v>14</v>
      </c>
      <c r="H1405" s="1">
        <v>2</v>
      </c>
      <c r="I1405" s="1">
        <v>13</v>
      </c>
      <c r="J1405" s="1">
        <v>6</v>
      </c>
      <c r="K1405" s="6">
        <v>1040</v>
      </c>
      <c r="L1405" s="6">
        <v>259961</v>
      </c>
      <c r="M1405" s="1">
        <v>33</v>
      </c>
      <c r="N1405" s="1">
        <v>8</v>
      </c>
      <c r="O1405" s="1">
        <v>3</v>
      </c>
      <c r="P1405" s="1">
        <v>3.6</v>
      </c>
      <c r="Q1405" s="11">
        <f>'Table H'!$J$209</f>
        <v>0.96073065026538806</v>
      </c>
      <c r="R1405" s="11">
        <f t="shared" si="48"/>
        <v>249752.50057364054</v>
      </c>
      <c r="S1405" s="11" t="str">
        <f t="shared" si="49"/>
        <v>Horsham RD</v>
      </c>
      <c r="T1405" s="11" t="s">
        <v>5310</v>
      </c>
      <c r="V1405" s="11" t="str">
        <f>INDEX('Lookup 1961'!$A$2:$A$1300, MATCH(S1405, 'Lookup 1961'!$B$2:$B$1300,0))</f>
        <v>J04000648</v>
      </c>
      <c r="W1405" s="11" t="str">
        <f>INDEX('Lookup 1961'!$F$2:$F$1300, MATCH(S1405, 'Lookup 1961'!$B$2:$B$1300,0))</f>
        <v>e381060</v>
      </c>
      <c r="X1405" s="11" t="str">
        <f>INDEX('Lookup 1961'!$C$2:$C$1300, MATCH(V1405, 'Lookup 1961'!$A$2:$A$1300,0))</f>
        <v>West Sussex</v>
      </c>
    </row>
    <row r="1406" spans="1:24" ht="25.05" customHeight="1" x14ac:dyDescent="0.3">
      <c r="A1406" s="4" t="s">
        <v>1155</v>
      </c>
      <c r="B1406" s="4" t="s">
        <v>1155</v>
      </c>
      <c r="C1406" s="1">
        <v>18</v>
      </c>
      <c r="D1406" s="1">
        <v>6</v>
      </c>
      <c r="E1406" s="1">
        <v>12</v>
      </c>
      <c r="F1406" s="1">
        <v>6</v>
      </c>
      <c r="G1406" s="1">
        <v>13</v>
      </c>
      <c r="H1406" s="1">
        <v>2</v>
      </c>
      <c r="I1406" s="1">
        <v>12</v>
      </c>
      <c r="J1406" s="1">
        <v>6</v>
      </c>
      <c r="K1406" s="6">
        <v>870</v>
      </c>
      <c r="L1406" s="6">
        <v>220391</v>
      </c>
      <c r="M1406" s="1">
        <v>69.8</v>
      </c>
      <c r="N1406" s="1">
        <v>7</v>
      </c>
      <c r="O1406" s="1">
        <v>15</v>
      </c>
      <c r="P1406" s="1">
        <v>10.5</v>
      </c>
      <c r="Q1406" s="11">
        <f>'Table H'!$J$209</f>
        <v>0.96073065026538806</v>
      </c>
      <c r="R1406" s="11">
        <f t="shared" si="48"/>
        <v>211736.38874263913</v>
      </c>
      <c r="S1406" s="11" t="str">
        <f t="shared" si="49"/>
        <v>Midhurst RD</v>
      </c>
      <c r="T1406" s="11" t="s">
        <v>5310</v>
      </c>
      <c r="V1406" s="11" t="str">
        <f>INDEX('Lookup 1961'!$A$2:$A$1300, MATCH(S1406, 'Lookup 1961'!$B$2:$B$1300,0))</f>
        <v>J04000855</v>
      </c>
      <c r="W1406" s="11" t="str">
        <f>INDEX('Lookup 1961'!$F$2:$F$1300, MATCH(S1406, 'Lookup 1961'!$B$2:$B$1300,0))</f>
        <v>e381061</v>
      </c>
      <c r="X1406" s="11" t="str">
        <f>INDEX('Lookup 1961'!$C$2:$C$1300, MATCH(V1406, 'Lookup 1961'!$A$2:$A$1300,0))</f>
        <v>West Sussex</v>
      </c>
    </row>
    <row r="1407" spans="1:24" ht="25.05" customHeight="1" x14ac:dyDescent="0.3">
      <c r="A1407" s="4" t="s">
        <v>1156</v>
      </c>
      <c r="B1407" s="4" t="s">
        <v>1156</v>
      </c>
      <c r="C1407" s="1">
        <v>19</v>
      </c>
      <c r="D1407" s="1">
        <v>4</v>
      </c>
      <c r="E1407" s="1">
        <v>13</v>
      </c>
      <c r="F1407" s="1">
        <v>6</v>
      </c>
      <c r="G1407" s="1">
        <v>14</v>
      </c>
      <c r="H1407" s="1">
        <v>4</v>
      </c>
      <c r="I1407" s="1">
        <v>13</v>
      </c>
      <c r="J1407" s="1">
        <v>6</v>
      </c>
      <c r="K1407" s="6">
        <v>410</v>
      </c>
      <c r="L1407" s="6">
        <v>106576</v>
      </c>
      <c r="M1407" s="1">
        <v>77</v>
      </c>
      <c r="N1407" s="1">
        <v>7</v>
      </c>
      <c r="O1407" s="1">
        <v>6</v>
      </c>
      <c r="P1407" s="1">
        <v>22.5</v>
      </c>
      <c r="Q1407" s="11">
        <f>'Table H'!$J$209</f>
        <v>0.96073065026538806</v>
      </c>
      <c r="R1407" s="11">
        <f t="shared" si="48"/>
        <v>102390.829782684</v>
      </c>
      <c r="S1407" s="11" t="str">
        <f t="shared" si="49"/>
        <v>Petworth RD</v>
      </c>
      <c r="T1407" s="11" t="s">
        <v>5310</v>
      </c>
      <c r="V1407" s="11" t="str">
        <f>INDEX('Lookup 1961'!$A$2:$A$1300, MATCH(S1407, 'Lookup 1961'!$B$2:$B$1300,0))</f>
        <v>J04000991</v>
      </c>
      <c r="W1407" s="11" t="str">
        <f>INDEX('Lookup 1961'!$F$2:$F$1300, MATCH(S1407, 'Lookup 1961'!$B$2:$B$1300,0))</f>
        <v>e381062</v>
      </c>
      <c r="X1407" s="11" t="str">
        <f>INDEX('Lookup 1961'!$C$2:$C$1300, MATCH(V1407, 'Lookup 1961'!$A$2:$A$1300,0))</f>
        <v>West Sussex</v>
      </c>
    </row>
    <row r="1408" spans="1:24" ht="25.05" customHeight="1" x14ac:dyDescent="0.3">
      <c r="A1408" s="4" t="s">
        <v>822</v>
      </c>
      <c r="B1408" s="4" t="s">
        <v>822</v>
      </c>
      <c r="C1408" s="1">
        <v>17</v>
      </c>
      <c r="D1408" s="1">
        <v>10</v>
      </c>
      <c r="E1408" s="1">
        <v>11</v>
      </c>
      <c r="F1408" s="1">
        <v>8</v>
      </c>
      <c r="G1408" s="1">
        <v>12</v>
      </c>
      <c r="H1408" s="1">
        <v>4</v>
      </c>
      <c r="I1408" s="1">
        <v>11</v>
      </c>
      <c r="J1408" s="1">
        <v>8</v>
      </c>
      <c r="K1408" s="6">
        <v>2330</v>
      </c>
      <c r="L1408" s="6">
        <v>573659</v>
      </c>
      <c r="M1408" s="1">
        <v>68</v>
      </c>
      <c r="N1408" s="1">
        <v>10</v>
      </c>
      <c r="O1408" s="1">
        <v>13</v>
      </c>
      <c r="P1408" s="1">
        <v>3.2</v>
      </c>
      <c r="Q1408" s="11">
        <f>'Table H'!$J$209</f>
        <v>0.96073065026538806</v>
      </c>
      <c r="R1408" s="11">
        <f t="shared" si="48"/>
        <v>551131.78410059225</v>
      </c>
      <c r="S1408" s="11" t="str">
        <f t="shared" si="49"/>
        <v>Worthing RD</v>
      </c>
      <c r="T1408" s="11" t="s">
        <v>5310</v>
      </c>
      <c r="V1408" s="11" t="str">
        <f>INDEX('Lookup 1961'!$A$2:$A$1300, MATCH(S1408, 'Lookup 1961'!$B$2:$B$1300,0))</f>
        <v>J04001457</v>
      </c>
      <c r="W1408" s="11" t="str">
        <f>INDEX('Lookup 1961'!$F$2:$F$1300, MATCH(S1408, 'Lookup 1961'!$B$2:$B$1300,0))</f>
        <v>e381063</v>
      </c>
      <c r="X1408" s="11" t="str">
        <f>INDEX('Lookup 1961'!$C$2:$C$1300, MATCH(V1408, 'Lookup 1961'!$A$2:$A$1300,0))</f>
        <v>West Sussex</v>
      </c>
    </row>
    <row r="1409" spans="1:24" ht="25.05" customHeight="1" x14ac:dyDescent="0.3">
      <c r="A1409" s="4" t="s">
        <v>829</v>
      </c>
      <c r="B1409" s="4" t="s">
        <v>829</v>
      </c>
      <c r="S1409" s="11" t="str">
        <f t="shared" si="49"/>
        <v>WARWICK: RD</v>
      </c>
      <c r="T1409" s="11" t="s">
        <v>5310</v>
      </c>
      <c r="V1409" s="11" t="e">
        <f>INDEX('Lookup 1961'!$A$2:$A$1300, MATCH(S1409, 'Lookup 1961'!$B$2:$B$1300,0))</f>
        <v>#N/A</v>
      </c>
      <c r="W1409" s="11" t="e">
        <f>INDEX('Lookup 1961'!$F$2:$F$1300, MATCH(S1409, 'Lookup 1961'!$B$2:$B$1300,0))</f>
        <v>#N/A</v>
      </c>
      <c r="X1409" s="11" t="e">
        <f>INDEX('Lookup 1961'!$C$2:$C$1300, MATCH(V1409, 'Lookup 1961'!$A$2:$A$1300,0))</f>
        <v>#N/A</v>
      </c>
    </row>
    <row r="1410" spans="1:24" ht="25.05" customHeight="1" x14ac:dyDescent="0.3">
      <c r="A1410" s="4" t="s">
        <v>1157</v>
      </c>
      <c r="B1410" s="4" t="s">
        <v>1157</v>
      </c>
      <c r="C1410" s="1">
        <v>22</v>
      </c>
      <c r="D1410" s="1">
        <v>3</v>
      </c>
      <c r="E1410" s="1">
        <v>14</v>
      </c>
      <c r="F1410" s="1">
        <v>4</v>
      </c>
      <c r="G1410" s="1">
        <v>15</v>
      </c>
      <c r="H1410" s="1">
        <v>1</v>
      </c>
      <c r="I1410" s="1">
        <v>14</v>
      </c>
      <c r="J1410" s="1">
        <v>4</v>
      </c>
      <c r="K1410" s="6">
        <v>505</v>
      </c>
      <c r="L1410" s="6">
        <v>134992</v>
      </c>
      <c r="M1410" s="1">
        <v>123.1</v>
      </c>
      <c r="N1410" s="1">
        <v>6</v>
      </c>
      <c r="O1410" s="1">
        <v>18</v>
      </c>
      <c r="P1410" s="1">
        <v>40.4</v>
      </c>
      <c r="Q1410" s="11">
        <f>'Table H'!$J$214</f>
        <v>0.86573136003218254</v>
      </c>
      <c r="R1410" s="11">
        <f t="shared" si="48"/>
        <v>116866.80775346438</v>
      </c>
      <c r="S1410" s="11" t="str">
        <f t="shared" si="49"/>
        <v>Alcester RD</v>
      </c>
      <c r="T1410" s="11" t="s">
        <v>5310</v>
      </c>
      <c r="V1410" s="11" t="str">
        <f>INDEX('Lookup 1961'!$A$2:$A$1300, MATCH(S1410, 'Lookup 1961'!$B$2:$B$1300,0))</f>
        <v>J04000020</v>
      </c>
      <c r="W1410" s="11" t="str">
        <f>INDEX('Lookup 1961'!$F$2:$F$1300, MATCH(S1410, 'Lookup 1961'!$B$2:$B$1300,0))</f>
        <v>e391077</v>
      </c>
      <c r="X1410" s="11" t="str">
        <f>INDEX('Lookup 1961'!$C$2:$C$1300, MATCH(V1410, 'Lookup 1961'!$A$2:$A$1300,0))</f>
        <v>Warwickshire</v>
      </c>
    </row>
    <row r="1411" spans="1:24" ht="25.05" customHeight="1" x14ac:dyDescent="0.3">
      <c r="A1411" s="4" t="s">
        <v>1158</v>
      </c>
      <c r="B1411" s="4" t="s">
        <v>1158</v>
      </c>
      <c r="C1411" s="1">
        <v>23</v>
      </c>
      <c r="D1411" s="1">
        <v>8</v>
      </c>
      <c r="E1411" s="1">
        <v>15</v>
      </c>
      <c r="F1411" s="1">
        <v>8</v>
      </c>
      <c r="G1411" s="1">
        <v>16</v>
      </c>
      <c r="H1411" s="1">
        <v>4</v>
      </c>
      <c r="I1411" s="1">
        <v>15</v>
      </c>
      <c r="J1411" s="1">
        <v>8</v>
      </c>
      <c r="K1411" s="6">
        <v>832</v>
      </c>
      <c r="L1411" s="6">
        <v>221579</v>
      </c>
      <c r="M1411" s="1">
        <v>84.5</v>
      </c>
      <c r="N1411" s="1">
        <v>6</v>
      </c>
      <c r="O1411" s="1">
        <v>17</v>
      </c>
      <c r="P1411" s="1">
        <v>20.9</v>
      </c>
      <c r="Q1411" s="11">
        <f>'Table H'!$J$214</f>
        <v>0.86573136003218254</v>
      </c>
      <c r="R1411" s="11">
        <f t="shared" si="48"/>
        <v>191827.88902457096</v>
      </c>
      <c r="S1411" s="11" t="str">
        <f t="shared" si="49"/>
        <v>Atherstone RD</v>
      </c>
      <c r="T1411" s="11" t="s">
        <v>5310</v>
      </c>
      <c r="V1411" s="11" t="str">
        <f>INDEX('Lookup 1961'!$A$2:$A$1300, MATCH(S1411, 'Lookup 1961'!$B$2:$B$1300,0))</f>
        <v>J04000060</v>
      </c>
      <c r="W1411" s="11" t="str">
        <f>INDEX('Lookup 1961'!$F$2:$F$1300, MATCH(S1411, 'Lookup 1961'!$B$2:$B$1300,0))</f>
        <v>e391079</v>
      </c>
      <c r="X1411" s="11" t="str">
        <f>INDEX('Lookup 1961'!$C$2:$C$1300, MATCH(V1411, 'Lookup 1961'!$A$2:$A$1300,0))</f>
        <v>Warwickshire</v>
      </c>
    </row>
    <row r="1412" spans="1:24" ht="25.05" customHeight="1" x14ac:dyDescent="0.3">
      <c r="A1412" s="4" t="s">
        <v>1159</v>
      </c>
      <c r="B1412" s="4" t="s">
        <v>1159</v>
      </c>
      <c r="C1412" s="1">
        <v>23</v>
      </c>
      <c r="D1412" s="1">
        <v>6</v>
      </c>
      <c r="E1412" s="1">
        <v>16</v>
      </c>
      <c r="F1412" s="1">
        <v>4</v>
      </c>
      <c r="G1412" s="1">
        <v>16</v>
      </c>
      <c r="H1412" s="1">
        <v>8</v>
      </c>
      <c r="I1412" s="1">
        <v>16</v>
      </c>
      <c r="J1412" s="1">
        <v>4</v>
      </c>
      <c r="K1412" s="6">
        <v>2000</v>
      </c>
      <c r="L1412" s="6">
        <v>529478</v>
      </c>
      <c r="M1412" s="1">
        <v>96</v>
      </c>
      <c r="N1412" s="1">
        <v>9</v>
      </c>
      <c r="O1412" s="1">
        <v>1</v>
      </c>
      <c r="P1412" s="1">
        <v>20.9</v>
      </c>
      <c r="Q1412" s="11">
        <f>'Table H'!$J$214</f>
        <v>0.86573136003218254</v>
      </c>
      <c r="R1412" s="11">
        <f t="shared" si="48"/>
        <v>458385.70904711995</v>
      </c>
      <c r="S1412" s="11" t="str">
        <f t="shared" si="49"/>
        <v>Meriden RD</v>
      </c>
      <c r="T1412" s="11" t="s">
        <v>5310</v>
      </c>
      <c r="V1412" s="11" t="str">
        <f>INDEX('Lookup 1961'!$A$2:$A$1300, MATCH(S1412, 'Lookup 1961'!$B$2:$B$1300,0))</f>
        <v>J04000848</v>
      </c>
      <c r="W1412" s="11" t="str">
        <f>INDEX('Lookup 1961'!$F$2:$F$1300, MATCH(S1412, 'Lookup 1961'!$B$2:$B$1300,0))</f>
        <v>e391080</v>
      </c>
      <c r="X1412" s="11" t="str">
        <f>INDEX('Lookup 1961'!$C$2:$C$1300, MATCH(V1412, 'Lookup 1961'!$A$2:$A$1300,0))</f>
        <v>West Midlands</v>
      </c>
    </row>
    <row r="1413" spans="1:24" ht="25.05" customHeight="1" x14ac:dyDescent="0.3">
      <c r="A1413" s="4" t="s">
        <v>832</v>
      </c>
      <c r="B1413" s="4" t="s">
        <v>832</v>
      </c>
      <c r="C1413" s="1">
        <v>23</v>
      </c>
      <c r="D1413" s="1">
        <v>0</v>
      </c>
      <c r="E1413" s="1">
        <v>16</v>
      </c>
      <c r="F1413" s="1">
        <v>4</v>
      </c>
      <c r="G1413" s="1">
        <v>17</v>
      </c>
      <c r="H1413" s="1">
        <v>2</v>
      </c>
      <c r="I1413" s="1">
        <v>16</v>
      </c>
      <c r="J1413" s="1">
        <v>4</v>
      </c>
      <c r="K1413" s="6">
        <v>785</v>
      </c>
      <c r="L1413" s="6">
        <v>207242</v>
      </c>
      <c r="M1413" s="1">
        <v>72.900000000000006</v>
      </c>
      <c r="N1413" s="1">
        <v>8</v>
      </c>
      <c r="O1413" s="1">
        <v>8</v>
      </c>
      <c r="P1413" s="1">
        <v>29.7</v>
      </c>
      <c r="Q1413" s="11">
        <f>'Table H'!$J$214</f>
        <v>0.86573136003218254</v>
      </c>
      <c r="R1413" s="11">
        <f t="shared" si="48"/>
        <v>179415.89851578957</v>
      </c>
      <c r="S1413" s="11" t="str">
        <f t="shared" si="49"/>
        <v>Rugby RD</v>
      </c>
      <c r="T1413" s="11" t="s">
        <v>5310</v>
      </c>
      <c r="V1413" s="11" t="str">
        <f>INDEX('Lookup 1961'!$A$2:$A$1300, MATCH(S1413, 'Lookup 1961'!$B$2:$B$1300,0))</f>
        <v>J04001078</v>
      </c>
      <c r="W1413" s="11" t="str">
        <f>INDEX('Lookup 1961'!$F$2:$F$1300, MATCH(S1413, 'Lookup 1961'!$B$2:$B$1300,0))</f>
        <v>e391084</v>
      </c>
      <c r="X1413" s="11" t="str">
        <f>INDEX('Lookup 1961'!$C$2:$C$1300, MATCH(V1413, 'Lookup 1961'!$A$2:$A$1300,0))</f>
        <v>Warwickshire</v>
      </c>
    </row>
    <row r="1414" spans="1:24" ht="25.05" customHeight="1" x14ac:dyDescent="0.3">
      <c r="A1414" s="4" t="s">
        <v>1160</v>
      </c>
      <c r="B1414" s="4" t="s">
        <v>5314</v>
      </c>
      <c r="C1414" s="1">
        <v>22</v>
      </c>
      <c r="D1414" s="1">
        <v>10</v>
      </c>
      <c r="E1414" s="1">
        <v>16</v>
      </c>
      <c r="F1414" s="1">
        <v>2</v>
      </c>
      <c r="G1414" s="1">
        <v>16</v>
      </c>
      <c r="H1414" s="1">
        <v>11</v>
      </c>
      <c r="I1414" s="1">
        <v>16</v>
      </c>
      <c r="J1414" s="1">
        <v>1</v>
      </c>
      <c r="K1414" s="6">
        <v>283</v>
      </c>
      <c r="L1414" s="6">
        <v>77367</v>
      </c>
      <c r="M1414" s="1">
        <v>73.5</v>
      </c>
      <c r="N1414" s="1">
        <v>7</v>
      </c>
      <c r="O1414" s="1">
        <v>13</v>
      </c>
      <c r="P1414" s="1">
        <v>24.1</v>
      </c>
      <c r="Q1414" s="11">
        <f>'Table H'!$J$214</f>
        <v>0.86573136003218254</v>
      </c>
      <c r="R1414" s="11">
        <f t="shared" si="48"/>
        <v>66979.038131609865</v>
      </c>
      <c r="S1414" s="11" t="str">
        <f t="shared" si="49"/>
        <v>Shipston on Stour RD</v>
      </c>
      <c r="T1414" s="11" t="s">
        <v>5310</v>
      </c>
      <c r="V1414" s="11" t="str">
        <f>INDEX('Lookup 1961'!$A$2:$A$1300, MATCH(S1414, 'Lookup 1961'!$B$2:$B$1300,0))</f>
        <v>J04001137</v>
      </c>
      <c r="W1414" s="11" t="str">
        <f>INDEX('Lookup 1961'!$F$2:$F$1300, MATCH(S1414, 'Lookup 1961'!$B$2:$B$1300,0))</f>
        <v>e391085</v>
      </c>
      <c r="X1414" s="11" t="str">
        <f>INDEX('Lookup 1961'!$C$2:$C$1300, MATCH(V1414, 'Lookup 1961'!$A$2:$A$1300,0))</f>
        <v>Warwickshire</v>
      </c>
    </row>
    <row r="1415" spans="1:24" ht="25.05" customHeight="1" x14ac:dyDescent="0.3">
      <c r="A1415" s="4" t="s">
        <v>1161</v>
      </c>
      <c r="B1415" s="4" t="s">
        <v>1161</v>
      </c>
      <c r="C1415" s="1">
        <v>25</v>
      </c>
      <c r="D1415" s="1">
        <v>6</v>
      </c>
      <c r="E1415" s="1">
        <v>17</v>
      </c>
      <c r="F1415" s="1">
        <v>0</v>
      </c>
      <c r="G1415" s="1">
        <v>17</v>
      </c>
      <c r="H1415" s="1">
        <v>8</v>
      </c>
      <c r="I1415" s="1">
        <v>17</v>
      </c>
      <c r="J1415" s="1">
        <v>0</v>
      </c>
      <c r="K1415" s="6">
        <v>423</v>
      </c>
      <c r="L1415" s="6">
        <v>117266</v>
      </c>
      <c r="M1415" s="1">
        <v>61.6</v>
      </c>
      <c r="N1415" s="1">
        <v>6</v>
      </c>
      <c r="O1415" s="1">
        <v>7</v>
      </c>
      <c r="P1415" s="1">
        <v>5.4</v>
      </c>
      <c r="Q1415" s="11">
        <f>'Table H'!$J$214</f>
        <v>0.86573136003218254</v>
      </c>
      <c r="R1415" s="11">
        <f t="shared" ref="R1415:R1478" si="50">Q1415*L1415</f>
        <v>101520.85366553391</v>
      </c>
      <c r="S1415" s="11" t="str">
        <f t="shared" si="49"/>
        <v>Southam RD</v>
      </c>
      <c r="T1415" s="11" t="s">
        <v>5310</v>
      </c>
      <c r="V1415" s="11" t="str">
        <f>INDEX('Lookup 1961'!$A$2:$A$1300, MATCH(S1415, 'Lookup 1961'!$B$2:$B$1300,0))</f>
        <v>J04001163</v>
      </c>
      <c r="W1415" s="11" t="str">
        <f>INDEX('Lookup 1961'!$F$2:$F$1300, MATCH(S1415, 'Lookup 1961'!$B$2:$B$1300,0))</f>
        <v>e391086</v>
      </c>
      <c r="X1415" s="11" t="str">
        <f>INDEX('Lookup 1961'!$C$2:$C$1300, MATCH(V1415, 'Lookup 1961'!$A$2:$A$1300,0))</f>
        <v>Warwickshire</v>
      </c>
    </row>
    <row r="1416" spans="1:24" ht="25.05" customHeight="1" x14ac:dyDescent="0.3">
      <c r="A1416" s="4" t="s">
        <v>1162</v>
      </c>
      <c r="B1416" s="4" t="s">
        <v>1162</v>
      </c>
      <c r="C1416" s="1">
        <v>24</v>
      </c>
      <c r="D1416" s="1">
        <v>0</v>
      </c>
      <c r="E1416" s="1">
        <v>16</v>
      </c>
      <c r="F1416" s="1">
        <v>0</v>
      </c>
      <c r="G1416" s="1">
        <v>16</v>
      </c>
      <c r="H1416" s="1">
        <v>4</v>
      </c>
      <c r="I1416" s="1">
        <v>15</v>
      </c>
      <c r="J1416" s="1">
        <v>10</v>
      </c>
      <c r="K1416" s="6">
        <v>782</v>
      </c>
      <c r="L1416" s="6">
        <v>203535</v>
      </c>
      <c r="M1416" s="1">
        <v>75.7</v>
      </c>
      <c r="N1416" s="1">
        <v>6</v>
      </c>
      <c r="O1416" s="1">
        <v>17</v>
      </c>
      <c r="P1416" s="1">
        <v>12.9</v>
      </c>
      <c r="Q1416" s="11">
        <f>'Table H'!$J$214</f>
        <v>0.86573136003218254</v>
      </c>
      <c r="R1416" s="11">
        <f t="shared" si="50"/>
        <v>176206.63236415028</v>
      </c>
      <c r="S1416" s="11" t="str">
        <f t="shared" si="49"/>
        <v>Stratford-on-Avon RD</v>
      </c>
      <c r="T1416" s="11" t="s">
        <v>5310</v>
      </c>
      <c r="V1416" s="11" t="str">
        <f>INDEX('Lookup 1961'!$A$2:$A$1300, MATCH(S1416, 'Lookup 1961'!$B$2:$B$1300,0))</f>
        <v>J04001221</v>
      </c>
      <c r="W1416" s="11" t="str">
        <f>INDEX('Lookup 1961'!$F$2:$F$1300, MATCH(S1416, 'Lookup 1961'!$B$2:$B$1300,0))</f>
        <v>e391074</v>
      </c>
      <c r="X1416" s="11" t="str">
        <f>INDEX('Lookup 1961'!$C$2:$C$1300, MATCH(V1416, 'Lookup 1961'!$A$2:$A$1300,0))</f>
        <v>Warwickshire</v>
      </c>
    </row>
    <row r="1417" spans="1:24" ht="25.05" customHeight="1" x14ac:dyDescent="0.3">
      <c r="A1417" s="4" t="s">
        <v>740</v>
      </c>
      <c r="B1417" s="4" t="s">
        <v>740</v>
      </c>
      <c r="C1417" s="1">
        <v>24</v>
      </c>
      <c r="D1417" s="1">
        <v>6</v>
      </c>
      <c r="E1417" s="1">
        <v>16</v>
      </c>
      <c r="F1417" s="1">
        <v>10</v>
      </c>
      <c r="G1417" s="1">
        <v>18</v>
      </c>
      <c r="H1417" s="1">
        <v>1</v>
      </c>
      <c r="I1417" s="1">
        <v>16</v>
      </c>
      <c r="J1417" s="1">
        <v>10</v>
      </c>
      <c r="K1417" s="6">
        <v>540</v>
      </c>
      <c r="L1417" s="6">
        <v>139125</v>
      </c>
      <c r="M1417" s="1">
        <v>90.8</v>
      </c>
      <c r="N1417" s="1">
        <v>6</v>
      </c>
      <c r="O1417" s="1">
        <v>19</v>
      </c>
      <c r="P1417" s="1">
        <v>34</v>
      </c>
      <c r="Q1417" s="11">
        <f>'Table H'!$J$214</f>
        <v>0.86573136003218254</v>
      </c>
      <c r="R1417" s="11">
        <f t="shared" si="50"/>
        <v>120444.8754644774</v>
      </c>
      <c r="S1417" s="11" t="str">
        <f t="shared" si="49"/>
        <v>Tamworth RD</v>
      </c>
      <c r="T1417" s="11" t="s">
        <v>5310</v>
      </c>
      <c r="V1417" s="11" t="str">
        <f>INDEX('Lookup 1961'!$A$2:$A$1300, MATCH(S1417, 'Lookup 1961'!$B$2:$B$1300,0))</f>
        <v>J04001249</v>
      </c>
      <c r="W1417" s="11" t="str">
        <f>INDEX('Lookup 1961'!$F$2:$F$1300, MATCH(S1417, 'Lookup 1961'!$B$2:$B$1300,0))</f>
        <v>e330956</v>
      </c>
      <c r="X1417" s="11" t="str">
        <f>INDEX('Lookup 1961'!$C$2:$C$1300, MATCH(V1417, 'Lookup 1961'!$A$2:$A$1300,0))</f>
        <v>Staffordshire</v>
      </c>
    </row>
    <row r="1418" spans="1:24" ht="25.05" customHeight="1" x14ac:dyDescent="0.3">
      <c r="A1418" s="4" t="s">
        <v>836</v>
      </c>
      <c r="B1418" s="4" t="s">
        <v>836</v>
      </c>
      <c r="C1418" s="1">
        <v>21</v>
      </c>
      <c r="D1418" s="1">
        <v>10</v>
      </c>
      <c r="E1418" s="1">
        <v>15</v>
      </c>
      <c r="F1418" s="1">
        <v>6</v>
      </c>
      <c r="G1418" s="1">
        <v>16</v>
      </c>
      <c r="H1418" s="1">
        <v>0</v>
      </c>
      <c r="I1418" s="1">
        <v>15</v>
      </c>
      <c r="J1418" s="1">
        <v>5</v>
      </c>
      <c r="K1418" s="6">
        <v>996</v>
      </c>
      <c r="L1418" s="6">
        <v>258636</v>
      </c>
      <c r="M1418" s="1">
        <v>86.8</v>
      </c>
      <c r="N1418" s="1">
        <v>9</v>
      </c>
      <c r="O1418" s="1">
        <v>1</v>
      </c>
      <c r="P1418" s="1">
        <v>22.9</v>
      </c>
      <c r="Q1418" s="11">
        <f>'Table H'!$J$214</f>
        <v>0.86573136003218254</v>
      </c>
      <c r="R1418" s="11">
        <f t="shared" si="50"/>
        <v>223909.29603328355</v>
      </c>
      <c r="S1418" s="11" t="str">
        <f t="shared" si="49"/>
        <v>Warwick RD</v>
      </c>
      <c r="T1418" s="11" t="s">
        <v>5310</v>
      </c>
      <c r="V1418" s="11" t="str">
        <f>INDEX('Lookup 1961'!$A$2:$A$1300, MATCH(S1418, 'Lookup 1961'!$B$2:$B$1300,0))</f>
        <v>J04001350</v>
      </c>
      <c r="W1418" s="11" t="str">
        <f>INDEX('Lookup 1961'!$F$2:$F$1300, MATCH(S1418, 'Lookup 1961'!$B$2:$B$1300,0))</f>
        <v>e391089</v>
      </c>
      <c r="X1418" s="11" t="str">
        <f>INDEX('Lookup 1961'!$C$2:$C$1300, MATCH(V1418, 'Lookup 1961'!$A$2:$A$1300,0))</f>
        <v>Warwickshire</v>
      </c>
    </row>
    <row r="1419" spans="1:24" ht="25.05" customHeight="1" x14ac:dyDescent="0.3">
      <c r="A1419" s="4" t="s">
        <v>839</v>
      </c>
      <c r="B1419" s="4" t="s">
        <v>839</v>
      </c>
      <c r="S1419" s="11" t="str">
        <f t="shared" ref="S1419:S1482" si="51">_xlfn.CONCAT(B1419," ",T1419)</f>
        <v>WESTMORLAND: RD</v>
      </c>
      <c r="T1419" s="11" t="s">
        <v>5310</v>
      </c>
      <c r="V1419" s="11" t="e">
        <f>INDEX('Lookup 1961'!$A$2:$A$1300, MATCH(S1419, 'Lookup 1961'!$B$2:$B$1300,0))</f>
        <v>#N/A</v>
      </c>
      <c r="W1419" s="11" t="e">
        <f>INDEX('Lookup 1961'!$F$2:$F$1300, MATCH(S1419, 'Lookup 1961'!$B$2:$B$1300,0))</f>
        <v>#N/A</v>
      </c>
      <c r="X1419" s="11" t="e">
        <f>INDEX('Lookup 1961'!$C$2:$C$1300, MATCH(V1419, 'Lookup 1961'!$A$2:$A$1300,0))</f>
        <v>#N/A</v>
      </c>
    </row>
    <row r="1420" spans="1:24" ht="25.05" customHeight="1" x14ac:dyDescent="0.3">
      <c r="A1420" s="4" t="s">
        <v>1163</v>
      </c>
      <c r="B1420" s="4" t="s">
        <v>1163</v>
      </c>
      <c r="C1420" s="1">
        <v>22</v>
      </c>
      <c r="D1420" s="1">
        <v>2</v>
      </c>
      <c r="E1420" s="1">
        <v>14</v>
      </c>
      <c r="F1420" s="1">
        <v>10</v>
      </c>
      <c r="G1420" s="1">
        <v>15</v>
      </c>
      <c r="H1420" s="1">
        <v>10</v>
      </c>
      <c r="I1420" s="1">
        <v>12</v>
      </c>
      <c r="J1420" s="1">
        <v>4</v>
      </c>
      <c r="K1420" s="6">
        <v>491</v>
      </c>
      <c r="L1420" s="6">
        <v>125783</v>
      </c>
      <c r="M1420" s="1">
        <v>71.5</v>
      </c>
      <c r="N1420" s="1">
        <v>5</v>
      </c>
      <c r="O1420" s="1">
        <v>11</v>
      </c>
      <c r="P1420" s="1">
        <v>14.2</v>
      </c>
      <c r="Q1420" s="11">
        <f>'Table H'!$J$219</f>
        <v>0.94073419655264445</v>
      </c>
      <c r="R1420" s="11">
        <f t="shared" si="50"/>
        <v>118328.36944498128</v>
      </c>
      <c r="S1420" s="11" t="str">
        <f t="shared" si="51"/>
        <v>North Westmorland RD</v>
      </c>
      <c r="T1420" s="11" t="s">
        <v>5310</v>
      </c>
      <c r="V1420" s="11" t="str">
        <f>INDEX('Lookup 1961'!$A$2:$A$1300, MATCH(S1420, 'Lookup 1961'!$B$2:$B$1300,0))</f>
        <v>J04000927</v>
      </c>
      <c r="W1420" s="11" t="str">
        <f>INDEX('Lookup 1961'!$F$2:$F$1300, MATCH(S1420, 'Lookup 1961'!$B$2:$B$1300,0))</f>
        <v>e401094</v>
      </c>
      <c r="X1420" s="11" t="str">
        <f>INDEX('Lookup 1961'!$C$2:$C$1300, MATCH(V1420, 'Lookup 1961'!$A$2:$A$1300,0))</f>
        <v>Cumbria</v>
      </c>
    </row>
    <row r="1421" spans="1:24" ht="25.05" customHeight="1" x14ac:dyDescent="0.3">
      <c r="A1421" s="4" t="s">
        <v>1164</v>
      </c>
      <c r="B1421" s="4" t="s">
        <v>1164</v>
      </c>
      <c r="C1421" s="1">
        <v>24</v>
      </c>
      <c r="D1421" s="1">
        <v>6</v>
      </c>
      <c r="E1421" s="1">
        <v>16</v>
      </c>
      <c r="F1421" s="1">
        <v>2</v>
      </c>
      <c r="G1421" s="1">
        <v>16</v>
      </c>
      <c r="H1421" s="1">
        <v>8</v>
      </c>
      <c r="I1421" s="1">
        <v>14</v>
      </c>
      <c r="J1421" s="1">
        <v>2</v>
      </c>
      <c r="K1421" s="6">
        <v>791</v>
      </c>
      <c r="L1421" s="6">
        <v>200206</v>
      </c>
      <c r="M1421" s="1">
        <v>68.7</v>
      </c>
      <c r="N1421" s="1">
        <v>8</v>
      </c>
      <c r="O1421" s="1">
        <v>12</v>
      </c>
      <c r="P1421" s="1">
        <v>9.6</v>
      </c>
      <c r="Q1421" s="11">
        <f>'Table H'!$J$219</f>
        <v>0.94073419655264445</v>
      </c>
      <c r="R1421" s="11">
        <f t="shared" si="50"/>
        <v>188340.63055501872</v>
      </c>
      <c r="S1421" s="11" t="str">
        <f t="shared" si="51"/>
        <v>South Westmorland RD</v>
      </c>
      <c r="T1421" s="11" t="s">
        <v>5310</v>
      </c>
      <c r="V1421" s="11" t="str">
        <f>INDEX('Lookup 1961'!$A$2:$A$1300, MATCH(S1421, 'Lookup 1961'!$B$2:$B$1300,0))</f>
        <v>J04001161</v>
      </c>
      <c r="W1421" s="11" t="str">
        <f>INDEX('Lookup 1961'!$F$2:$F$1300, MATCH(S1421, 'Lookup 1961'!$B$2:$B$1300,0))</f>
        <v>e401095</v>
      </c>
      <c r="X1421" s="11" t="str">
        <f>INDEX('Lookup 1961'!$C$2:$C$1300, MATCH(V1421, 'Lookup 1961'!$A$2:$A$1300,0))</f>
        <v>Cumbria</v>
      </c>
    </row>
    <row r="1422" spans="1:24" ht="25.05" customHeight="1" x14ac:dyDescent="0.3">
      <c r="A1422" s="4" t="s">
        <v>844</v>
      </c>
      <c r="B1422" s="4" t="s">
        <v>844</v>
      </c>
      <c r="S1422" s="11" t="str">
        <f t="shared" si="51"/>
        <v>WILTS: RD</v>
      </c>
      <c r="T1422" s="11" t="s">
        <v>5310</v>
      </c>
      <c r="V1422" s="11" t="e">
        <f>INDEX('Lookup 1961'!$A$2:$A$1300, MATCH(S1422, 'Lookup 1961'!$B$2:$B$1300,0))</f>
        <v>#N/A</v>
      </c>
      <c r="W1422" s="11" t="e">
        <f>INDEX('Lookup 1961'!$F$2:$F$1300, MATCH(S1422, 'Lookup 1961'!$B$2:$B$1300,0))</f>
        <v>#N/A</v>
      </c>
      <c r="X1422" s="11" t="e">
        <f>INDEX('Lookup 1961'!$C$2:$C$1300, MATCH(V1422, 'Lookup 1961'!$A$2:$A$1300,0))</f>
        <v>#N/A</v>
      </c>
    </row>
    <row r="1423" spans="1:24" ht="25.05" customHeight="1" x14ac:dyDescent="0.3">
      <c r="A1423" s="4" t="s">
        <v>1165</v>
      </c>
      <c r="B1423" s="4" t="s">
        <v>1165</v>
      </c>
      <c r="C1423" s="1">
        <v>18</v>
      </c>
      <c r="D1423" s="1">
        <v>8</v>
      </c>
      <c r="E1423" s="1">
        <v>12</v>
      </c>
      <c r="F1423" s="1">
        <v>6</v>
      </c>
      <c r="G1423" s="1">
        <v>13</v>
      </c>
      <c r="H1423" s="1">
        <v>2</v>
      </c>
      <c r="I1423" s="1">
        <v>12</v>
      </c>
      <c r="J1423" s="1">
        <v>6</v>
      </c>
      <c r="K1423" s="6">
        <v>922</v>
      </c>
      <c r="L1423" s="6">
        <v>230508</v>
      </c>
      <c r="M1423" s="1">
        <v>37.799999999999997</v>
      </c>
      <c r="N1423" s="1">
        <v>5</v>
      </c>
      <c r="O1423" s="1">
        <v>14</v>
      </c>
      <c r="P1423" s="1">
        <v>9.6</v>
      </c>
      <c r="Q1423" s="11">
        <f>'Table H'!$J$224</f>
        <v>0.72568177488822616</v>
      </c>
      <c r="R1423" s="11">
        <f t="shared" si="50"/>
        <v>167275.45456593524</v>
      </c>
      <c r="S1423" s="11" t="str">
        <f t="shared" si="51"/>
        <v>Amesbury RD</v>
      </c>
      <c r="T1423" s="11" t="s">
        <v>5310</v>
      </c>
      <c r="V1423" s="11" t="str">
        <f>INDEX('Lookup 1961'!$A$2:$A$1300, MATCH(S1423, 'Lookup 1961'!$B$2:$B$1300,0))</f>
        <v>J04000038</v>
      </c>
      <c r="W1423" s="11" t="str">
        <f>INDEX('Lookup 1961'!$F$2:$F$1300, MATCH(S1423, 'Lookup 1961'!$B$2:$B$1300,0))</f>
        <v>e421115</v>
      </c>
      <c r="X1423" s="11" t="str">
        <f>INDEX('Lookup 1961'!$C$2:$C$1300, MATCH(V1423, 'Lookup 1961'!$A$2:$A$1300,0))</f>
        <v>Wiltshire</v>
      </c>
    </row>
    <row r="1424" spans="1:24" ht="25.05" customHeight="1" x14ac:dyDescent="0.3">
      <c r="A1424" s="4" t="s">
        <v>1166</v>
      </c>
      <c r="B1424" s="4" t="s">
        <v>1166</v>
      </c>
      <c r="C1424" s="1">
        <v>21</v>
      </c>
      <c r="D1424" s="1">
        <v>2</v>
      </c>
      <c r="E1424" s="1">
        <v>14</v>
      </c>
      <c r="F1424" s="1">
        <v>8</v>
      </c>
      <c r="G1424" s="1">
        <v>15</v>
      </c>
      <c r="H1424" s="1">
        <v>10</v>
      </c>
      <c r="I1424" s="1">
        <v>14</v>
      </c>
      <c r="J1424" s="1">
        <v>10</v>
      </c>
      <c r="K1424" s="6">
        <v>360</v>
      </c>
      <c r="L1424" s="6">
        <v>88267</v>
      </c>
      <c r="M1424" s="1">
        <v>32.1</v>
      </c>
      <c r="N1424" s="1">
        <v>4</v>
      </c>
      <c r="O1424" s="1">
        <v>17</v>
      </c>
      <c r="P1424" s="1">
        <v>10.7</v>
      </c>
      <c r="Q1424" s="11">
        <f>'Table H'!$J$224</f>
        <v>0.72568177488822616</v>
      </c>
      <c r="R1424" s="11">
        <f t="shared" si="50"/>
        <v>64053.753224059059</v>
      </c>
      <c r="S1424" s="11" t="str">
        <f t="shared" si="51"/>
        <v>Bradford and Melksham RD</v>
      </c>
      <c r="T1424" s="11" t="s">
        <v>5310</v>
      </c>
      <c r="V1424" s="11" t="str">
        <f>INDEX('Lookup 1961'!$A$2:$A$1300, MATCH(S1424, 'Lookup 1961'!$B$2:$B$1300,0))</f>
        <v>J04000185</v>
      </c>
      <c r="W1424" s="11" t="str">
        <f>INDEX('Lookup 1961'!$F$2:$F$1300, MATCH(S1424, 'Lookup 1961'!$B$2:$B$1300,0))</f>
        <v>e421116</v>
      </c>
      <c r="X1424" s="11" t="str">
        <f>INDEX('Lookup 1961'!$C$2:$C$1300, MATCH(V1424, 'Lookup 1961'!$A$2:$A$1300,0))</f>
        <v>Wiltshire</v>
      </c>
    </row>
    <row r="1425" spans="1:24" ht="25.05" customHeight="1" x14ac:dyDescent="0.3">
      <c r="A1425" s="4" t="s">
        <v>1167</v>
      </c>
      <c r="B1425" s="4" t="s">
        <v>1167</v>
      </c>
      <c r="C1425" s="1">
        <v>19</v>
      </c>
      <c r="D1425" s="1">
        <v>6</v>
      </c>
      <c r="E1425" s="1">
        <v>14</v>
      </c>
      <c r="F1425" s="1">
        <v>0</v>
      </c>
      <c r="G1425" s="1">
        <v>15</v>
      </c>
      <c r="H1425" s="1">
        <v>3</v>
      </c>
      <c r="I1425" s="1">
        <v>14</v>
      </c>
      <c r="J1425" s="1">
        <v>0</v>
      </c>
      <c r="K1425" s="6">
        <v>1041</v>
      </c>
      <c r="L1425" s="6">
        <v>260924</v>
      </c>
      <c r="M1425" s="1">
        <v>26.9</v>
      </c>
      <c r="N1425" s="1">
        <v>5</v>
      </c>
      <c r="O1425" s="1">
        <v>0</v>
      </c>
      <c r="P1425" s="1">
        <v>7.9</v>
      </c>
      <c r="Q1425" s="11">
        <f>'Table H'!$J$224</f>
        <v>0.72568177488822616</v>
      </c>
      <c r="R1425" s="11">
        <f t="shared" si="50"/>
        <v>189347.79143093553</v>
      </c>
      <c r="S1425" s="11" t="str">
        <f t="shared" si="51"/>
        <v>Calne and Chippenham RD</v>
      </c>
      <c r="T1425" s="11" t="s">
        <v>5310</v>
      </c>
      <c r="V1425" s="11" t="str">
        <f>INDEX('Lookup 1961'!$A$2:$A$1300, MATCH(S1425, 'Lookup 1961'!$B$2:$B$1300,0))</f>
        <v>J04000252</v>
      </c>
      <c r="W1425" s="11" t="str">
        <f>INDEX('Lookup 1961'!$F$2:$F$1300, MATCH(S1425, 'Lookup 1961'!$B$2:$B$1300,0))</f>
        <v>e421117</v>
      </c>
      <c r="X1425" s="11" t="str">
        <f>INDEX('Lookup 1961'!$C$2:$C$1300, MATCH(V1425, 'Lookup 1961'!$A$2:$A$1300,0))</f>
        <v>Wiltshire</v>
      </c>
    </row>
    <row r="1426" spans="1:24" ht="25.05" customHeight="1" x14ac:dyDescent="0.3">
      <c r="A1426" s="4" t="s">
        <v>1168</v>
      </c>
      <c r="B1426" s="4" t="s">
        <v>1168</v>
      </c>
      <c r="C1426" s="1">
        <v>19</v>
      </c>
      <c r="D1426" s="1">
        <v>6</v>
      </c>
      <c r="E1426" s="1">
        <v>12</v>
      </c>
      <c r="F1426" s="1">
        <v>11</v>
      </c>
      <c r="G1426" s="1">
        <v>13</v>
      </c>
      <c r="H1426" s="1">
        <v>10</v>
      </c>
      <c r="I1426" s="1">
        <v>12</v>
      </c>
      <c r="J1426" s="1">
        <v>9</v>
      </c>
      <c r="K1426" s="6">
        <v>500</v>
      </c>
      <c r="L1426" s="6">
        <v>126181</v>
      </c>
      <c r="M1426" s="1">
        <v>56.1</v>
      </c>
      <c r="N1426" s="1">
        <v>5</v>
      </c>
      <c r="O1426" s="1">
        <v>5</v>
      </c>
      <c r="P1426" s="1">
        <v>8</v>
      </c>
      <c r="Q1426" s="11">
        <f>'Table H'!$J$224</f>
        <v>0.72568177488822616</v>
      </c>
      <c r="R1426" s="11">
        <f t="shared" si="50"/>
        <v>91567.25203717126</v>
      </c>
      <c r="S1426" s="11" t="str">
        <f t="shared" si="51"/>
        <v>Cricklade and Wootton Bassett RD</v>
      </c>
      <c r="T1426" s="11" t="s">
        <v>5310</v>
      </c>
      <c r="V1426" s="11" t="str">
        <f>INDEX('Lookup 1961'!$A$2:$A$1300, MATCH(S1426, 'Lookup 1961'!$B$2:$B$1300,0))</f>
        <v>J04000365</v>
      </c>
      <c r="W1426" s="11" t="str">
        <f>INDEX('Lookup 1961'!$F$2:$F$1300, MATCH(S1426, 'Lookup 1961'!$B$2:$B$1300,0))</f>
        <v>e421118</v>
      </c>
      <c r="X1426" s="11" t="str">
        <f>INDEX('Lookup 1961'!$C$2:$C$1300, MATCH(V1426, 'Lookup 1961'!$A$2:$A$1300,0))</f>
        <v>Wiltshire</v>
      </c>
    </row>
    <row r="1427" spans="1:24" ht="25.05" customHeight="1" x14ac:dyDescent="0.3">
      <c r="A1427" s="4" t="s">
        <v>847</v>
      </c>
      <c r="B1427" s="4" t="s">
        <v>847</v>
      </c>
      <c r="C1427" s="1">
        <v>20</v>
      </c>
      <c r="D1427" s="1">
        <v>4</v>
      </c>
      <c r="E1427" s="1">
        <v>15</v>
      </c>
      <c r="F1427" s="1">
        <v>4</v>
      </c>
      <c r="G1427" s="1">
        <v>16</v>
      </c>
      <c r="H1427" s="1">
        <v>4</v>
      </c>
      <c r="I1427" s="1">
        <v>15</v>
      </c>
      <c r="J1427" s="1">
        <v>4</v>
      </c>
      <c r="K1427" s="6">
        <v>398</v>
      </c>
      <c r="L1427" s="6">
        <v>98220</v>
      </c>
      <c r="M1427" s="1">
        <v>35.200000000000003</v>
      </c>
      <c r="N1427" s="1">
        <v>4</v>
      </c>
      <c r="O1427" s="1">
        <v>7</v>
      </c>
      <c r="P1427" s="1">
        <v>4.9000000000000004</v>
      </c>
      <c r="Q1427" s="11">
        <f>'Table H'!$J$224</f>
        <v>0.72568177488822616</v>
      </c>
      <c r="R1427" s="11">
        <f t="shared" si="50"/>
        <v>71276.463929521575</v>
      </c>
      <c r="S1427" s="11" t="str">
        <f t="shared" si="51"/>
        <v>Devizes RD</v>
      </c>
      <c r="T1427" s="11" t="s">
        <v>5310</v>
      </c>
      <c r="V1427" s="11" t="str">
        <f>INDEX('Lookup 1961'!$A$2:$A$1300, MATCH(S1427, 'Lookup 1961'!$B$2:$B$1300,0))</f>
        <v>J04000406</v>
      </c>
      <c r="W1427" s="11" t="str">
        <f>INDEX('Lookup 1961'!$F$2:$F$1300, MATCH(S1427, 'Lookup 1961'!$B$2:$B$1300,0))</f>
        <v>e421119</v>
      </c>
      <c r="X1427" s="11" t="str">
        <f>INDEX('Lookup 1961'!$C$2:$C$1300, MATCH(V1427, 'Lookup 1961'!$A$2:$A$1300,0))</f>
        <v>Wiltshire</v>
      </c>
    </row>
    <row r="1428" spans="1:24" ht="25.05" customHeight="1" x14ac:dyDescent="0.3">
      <c r="A1428" s="4" t="s">
        <v>1169</v>
      </c>
      <c r="B1428" s="4" t="s">
        <v>1169</v>
      </c>
      <c r="C1428" s="1">
        <v>22</v>
      </c>
      <c r="D1428" s="1">
        <v>0</v>
      </c>
      <c r="E1428" s="1">
        <v>14</v>
      </c>
      <c r="F1428" s="1">
        <v>6</v>
      </c>
      <c r="G1428" s="1">
        <v>15</v>
      </c>
      <c r="H1428" s="1">
        <v>8</v>
      </c>
      <c r="I1428" s="1">
        <v>14</v>
      </c>
      <c r="J1428" s="1">
        <v>6</v>
      </c>
      <c r="K1428" s="6">
        <v>891</v>
      </c>
      <c r="L1428" s="6">
        <v>218071</v>
      </c>
      <c r="M1428" s="1">
        <v>77.7</v>
      </c>
      <c r="N1428" s="1">
        <v>6</v>
      </c>
      <c r="O1428" s="1">
        <v>16</v>
      </c>
      <c r="P1428" s="1">
        <v>15.1</v>
      </c>
      <c r="Q1428" s="11">
        <f>'Table H'!$J$224</f>
        <v>0.72568177488822616</v>
      </c>
      <c r="R1428" s="11">
        <f t="shared" si="50"/>
        <v>158250.15033165037</v>
      </c>
      <c r="S1428" s="11" t="str">
        <f t="shared" si="51"/>
        <v>Highworth RD</v>
      </c>
      <c r="T1428" s="11" t="s">
        <v>5310</v>
      </c>
      <c r="V1428" s="11" t="str">
        <f>INDEX('Lookup 1961'!$A$2:$A$1300, MATCH(S1428, 'Lookup 1961'!$B$2:$B$1300,0))</f>
        <v>J04000623</v>
      </c>
      <c r="W1428" s="11" t="str">
        <f>INDEX('Lookup 1961'!$F$2:$F$1300, MATCH(S1428, 'Lookup 1961'!$B$2:$B$1300,0))</f>
        <v>e421120</v>
      </c>
      <c r="X1428" s="11" t="str">
        <f>INDEX('Lookup 1961'!$C$2:$C$1300, MATCH(V1428, 'Lookup 1961'!$A$2:$A$1300,0))</f>
        <v>Wiltshire</v>
      </c>
    </row>
    <row r="1429" spans="1:24" ht="25.05" customHeight="1" x14ac:dyDescent="0.3">
      <c r="A1429" s="4" t="s">
        <v>848</v>
      </c>
      <c r="B1429" s="4" t="s">
        <v>848</v>
      </c>
      <c r="C1429" s="1">
        <v>20</v>
      </c>
      <c r="D1429" s="1">
        <v>0</v>
      </c>
      <c r="E1429" s="1">
        <v>13</v>
      </c>
      <c r="F1429" s="1">
        <v>0</v>
      </c>
      <c r="G1429" s="1">
        <v>13</v>
      </c>
      <c r="H1429" s="1">
        <v>6</v>
      </c>
      <c r="I1429" s="1">
        <v>13</v>
      </c>
      <c r="J1429" s="1">
        <v>0</v>
      </c>
      <c r="K1429" s="6">
        <v>345</v>
      </c>
      <c r="L1429" s="6">
        <v>85693</v>
      </c>
      <c r="M1429" s="1">
        <v>53</v>
      </c>
      <c r="N1429" s="1">
        <v>5</v>
      </c>
      <c r="O1429" s="1">
        <v>19</v>
      </c>
      <c r="P1429" s="1">
        <v>11.9</v>
      </c>
      <c r="Q1429" s="11">
        <f>'Table H'!$J$224</f>
        <v>0.72568177488822616</v>
      </c>
      <c r="R1429" s="11">
        <f t="shared" si="50"/>
        <v>62185.848335496761</v>
      </c>
      <c r="S1429" s="11" t="str">
        <f t="shared" si="51"/>
        <v>Malmesbury RD</v>
      </c>
      <c r="T1429" s="11" t="s">
        <v>5310</v>
      </c>
      <c r="V1429" s="11" t="str">
        <f>INDEX('Lookup 1961'!$A$2:$A$1300, MATCH(S1429, 'Lookup 1961'!$B$2:$B$1300,0))</f>
        <v>J04000816</v>
      </c>
      <c r="W1429" s="11" t="str">
        <f>INDEX('Lookup 1961'!$F$2:$F$1300, MATCH(S1429, 'Lookup 1961'!$B$2:$B$1300,0))</f>
        <v>e421121</v>
      </c>
      <c r="X1429" s="11" t="str">
        <f>INDEX('Lookup 1961'!$C$2:$C$1300, MATCH(V1429, 'Lookup 1961'!$A$2:$A$1300,0))</f>
        <v>Wiltshire</v>
      </c>
    </row>
    <row r="1430" spans="1:24" ht="25.05" customHeight="1" x14ac:dyDescent="0.3">
      <c r="A1430" s="4" t="s">
        <v>1170</v>
      </c>
      <c r="B1430" s="4" t="s">
        <v>1170</v>
      </c>
      <c r="C1430" s="1">
        <v>21</v>
      </c>
      <c r="D1430" s="1">
        <v>0</v>
      </c>
      <c r="E1430" s="1">
        <v>16</v>
      </c>
      <c r="F1430" s="1">
        <v>0</v>
      </c>
      <c r="G1430" s="1">
        <v>16</v>
      </c>
      <c r="H1430" s="1">
        <v>10</v>
      </c>
      <c r="I1430" s="1">
        <v>16</v>
      </c>
      <c r="J1430" s="1">
        <v>0</v>
      </c>
      <c r="K1430" s="6">
        <v>319</v>
      </c>
      <c r="L1430" s="6">
        <v>81928</v>
      </c>
      <c r="M1430" s="1">
        <v>58.8</v>
      </c>
      <c r="N1430" s="1">
        <v>5</v>
      </c>
      <c r="O1430" s="1">
        <v>19</v>
      </c>
      <c r="P1430" s="1">
        <v>22.2</v>
      </c>
      <c r="Q1430" s="11">
        <f>'Table H'!$J$224</f>
        <v>0.72568177488822616</v>
      </c>
      <c r="R1430" s="11">
        <f t="shared" si="50"/>
        <v>59453.656453042589</v>
      </c>
      <c r="S1430" s="11" t="str">
        <f t="shared" si="51"/>
        <v>Marlborough and Ramsbury RD</v>
      </c>
      <c r="T1430" s="11" t="s">
        <v>5310</v>
      </c>
      <c r="V1430" s="11" t="str">
        <f>INDEX('Lookup 1961'!$A$2:$A$1300, MATCH(S1430, 'Lookup 1961'!$B$2:$B$1300,0))</f>
        <v>J04000832</v>
      </c>
      <c r="W1430" s="11" t="str">
        <f>INDEX('Lookup 1961'!$F$2:$F$1300, MATCH(S1430, 'Lookup 1961'!$B$2:$B$1300,0))</f>
        <v>e421122</v>
      </c>
      <c r="X1430" s="11" t="str">
        <f>INDEX('Lookup 1961'!$C$2:$C$1300, MATCH(V1430, 'Lookup 1961'!$A$2:$A$1300,0))</f>
        <v>Wiltshire</v>
      </c>
    </row>
    <row r="1431" spans="1:24" ht="25.05" customHeight="1" x14ac:dyDescent="0.3">
      <c r="A1431" s="4" t="s">
        <v>1171</v>
      </c>
      <c r="B1431" s="4" t="s">
        <v>1171</v>
      </c>
      <c r="C1431" s="1">
        <v>18</v>
      </c>
      <c r="D1431" s="1">
        <v>4</v>
      </c>
      <c r="E1431" s="1">
        <v>13</v>
      </c>
      <c r="F1431" s="1">
        <v>6</v>
      </c>
      <c r="G1431" s="1">
        <v>15</v>
      </c>
      <c r="H1431" s="1">
        <v>0</v>
      </c>
      <c r="I1431" s="1">
        <v>13</v>
      </c>
      <c r="J1431" s="1">
        <v>6</v>
      </c>
      <c r="K1431" s="6">
        <v>370</v>
      </c>
      <c r="L1431" s="6">
        <v>94056</v>
      </c>
      <c r="M1431" s="1">
        <v>78.8</v>
      </c>
      <c r="N1431" s="1">
        <v>5</v>
      </c>
      <c r="O1431" s="1">
        <v>14</v>
      </c>
      <c r="P1431" s="1">
        <v>34.4</v>
      </c>
      <c r="Q1431" s="11">
        <f>'Table H'!$J$224</f>
        <v>0.72568177488822616</v>
      </c>
      <c r="R1431" s="11">
        <f t="shared" si="50"/>
        <v>68254.725018886995</v>
      </c>
      <c r="S1431" s="11" t="str">
        <f t="shared" si="51"/>
        <v>Mere and Tisbury RD</v>
      </c>
      <c r="T1431" s="11" t="s">
        <v>5310</v>
      </c>
      <c r="V1431" s="11" t="str">
        <f>INDEX('Lookup 1961'!$A$2:$A$1300, MATCH(S1431, 'Lookup 1961'!$B$2:$B$1300,0))</f>
        <v>J04000847</v>
      </c>
      <c r="W1431" s="11" t="str">
        <f>INDEX('Lookup 1961'!$F$2:$F$1300, MATCH(S1431, 'Lookup 1961'!$B$2:$B$1300,0))</f>
        <v>e421123</v>
      </c>
      <c r="X1431" s="11" t="str">
        <f>INDEX('Lookup 1961'!$C$2:$C$1300, MATCH(V1431, 'Lookup 1961'!$A$2:$A$1300,0))</f>
        <v>Wiltshire</v>
      </c>
    </row>
    <row r="1432" spans="1:24" ht="25.05" customHeight="1" x14ac:dyDescent="0.3">
      <c r="A1432" s="4" t="s">
        <v>1172</v>
      </c>
      <c r="B1432" s="4" t="s">
        <v>1172</v>
      </c>
      <c r="C1432" s="1">
        <v>19</v>
      </c>
      <c r="D1432" s="1">
        <v>0</v>
      </c>
      <c r="E1432" s="1">
        <v>13</v>
      </c>
      <c r="F1432" s="1">
        <v>4</v>
      </c>
      <c r="G1432" s="1">
        <v>13</v>
      </c>
      <c r="H1432" s="1">
        <v>6</v>
      </c>
      <c r="I1432" s="1">
        <v>13</v>
      </c>
      <c r="J1432" s="1">
        <v>4</v>
      </c>
      <c r="K1432" s="6">
        <v>625</v>
      </c>
      <c r="L1432" s="6">
        <v>160151</v>
      </c>
      <c r="M1432" s="1">
        <v>79.2</v>
      </c>
      <c r="N1432" s="1">
        <v>5</v>
      </c>
      <c r="O1432" s="1">
        <v>16</v>
      </c>
      <c r="P1432" s="1">
        <v>13.5</v>
      </c>
      <c r="Q1432" s="11">
        <f>'Table H'!$J$224</f>
        <v>0.72568177488822616</v>
      </c>
      <c r="R1432" s="11">
        <f t="shared" si="50"/>
        <v>116218.6619301243</v>
      </c>
      <c r="S1432" s="11" t="str">
        <f t="shared" si="51"/>
        <v>Pewsey RD</v>
      </c>
      <c r="T1432" s="11" t="s">
        <v>5310</v>
      </c>
      <c r="V1432" s="11" t="str">
        <f>INDEX('Lookup 1961'!$A$2:$A$1300, MATCH(S1432, 'Lookup 1961'!$B$2:$B$1300,0))</f>
        <v>J04000992</v>
      </c>
      <c r="W1432" s="11" t="str">
        <f>INDEX('Lookup 1961'!$F$2:$F$1300, MATCH(S1432, 'Lookup 1961'!$B$2:$B$1300,0))</f>
        <v>e421124</v>
      </c>
      <c r="X1432" s="11" t="str">
        <f>INDEX('Lookup 1961'!$C$2:$C$1300, MATCH(V1432, 'Lookup 1961'!$A$2:$A$1300,0))</f>
        <v>Wiltshire</v>
      </c>
    </row>
    <row r="1433" spans="1:24" ht="25.05" customHeight="1" x14ac:dyDescent="0.3">
      <c r="A1433" s="4" t="s">
        <v>1173</v>
      </c>
      <c r="B1433" s="4" t="s">
        <v>1173</v>
      </c>
      <c r="C1433" s="1">
        <v>20</v>
      </c>
      <c r="D1433" s="1">
        <v>0</v>
      </c>
      <c r="E1433" s="1">
        <v>13</v>
      </c>
      <c r="F1433" s="1">
        <v>0</v>
      </c>
      <c r="G1433" s="1">
        <v>13</v>
      </c>
      <c r="H1433" s="1">
        <v>4</v>
      </c>
      <c r="I1433" s="1">
        <v>13</v>
      </c>
      <c r="J1433" s="1">
        <v>0</v>
      </c>
      <c r="K1433" s="6">
        <v>625</v>
      </c>
      <c r="L1433" s="6">
        <v>160151</v>
      </c>
      <c r="M1433" s="1">
        <v>79.2</v>
      </c>
      <c r="N1433" s="1">
        <v>5</v>
      </c>
      <c r="O1433" s="1">
        <v>16</v>
      </c>
      <c r="P1433" s="1">
        <v>13.5</v>
      </c>
      <c r="Q1433" s="11">
        <f>'Table H'!$J$224</f>
        <v>0.72568177488822616</v>
      </c>
      <c r="R1433" s="11">
        <f t="shared" si="50"/>
        <v>116218.6619301243</v>
      </c>
      <c r="S1433" s="11" t="str">
        <f t="shared" si="51"/>
        <v>Salisbury and Wilton RD</v>
      </c>
      <c r="T1433" s="11" t="s">
        <v>5310</v>
      </c>
      <c r="V1433" s="11" t="str">
        <f>INDEX('Lookup 1961'!$A$2:$A$1300, MATCH(S1433, 'Lookup 1961'!$B$2:$B$1300,0))</f>
        <v>J04001096</v>
      </c>
      <c r="W1433" s="11" t="str">
        <f>INDEX('Lookup 1961'!$F$2:$F$1300, MATCH(S1433, 'Lookup 1961'!$B$2:$B$1300,0))</f>
        <v>e421125</v>
      </c>
      <c r="X1433" s="11" t="str">
        <f>INDEX('Lookup 1961'!$C$2:$C$1300, MATCH(V1433, 'Lookup 1961'!$A$2:$A$1300,0))</f>
        <v>Wiltshire</v>
      </c>
    </row>
    <row r="1434" spans="1:24" ht="25.05" customHeight="1" x14ac:dyDescent="0.3">
      <c r="A1434" s="4" t="s">
        <v>1174</v>
      </c>
      <c r="B1434" s="4" t="s">
        <v>5389</v>
      </c>
      <c r="C1434" s="1">
        <v>18</v>
      </c>
      <c r="D1434" s="1">
        <v>4</v>
      </c>
      <c r="E1434" s="1">
        <v>12</v>
      </c>
      <c r="F1434" s="1">
        <v>10</v>
      </c>
      <c r="G1434" s="1">
        <v>13</v>
      </c>
      <c r="H1434" s="1">
        <v>4</v>
      </c>
      <c r="I1434" s="1">
        <v>12</v>
      </c>
      <c r="J1434" s="1">
        <v>10</v>
      </c>
      <c r="K1434" s="6">
        <v>380</v>
      </c>
      <c r="L1434" s="6">
        <v>92191</v>
      </c>
      <c r="M1434" s="1">
        <v>39.299999999999997</v>
      </c>
      <c r="N1434" s="1">
        <v>4</v>
      </c>
      <c r="O1434" s="1">
        <v>8</v>
      </c>
      <c r="P1434" s="1">
        <v>0.2</v>
      </c>
      <c r="Q1434" s="11">
        <f>'Table H'!$J$224</f>
        <v>0.72568177488822616</v>
      </c>
      <c r="R1434" s="11">
        <f t="shared" si="50"/>
        <v>66901.328508720457</v>
      </c>
      <c r="S1434" s="11" t="str">
        <f t="shared" si="51"/>
        <v>Warminster and Westbury RD</v>
      </c>
      <c r="T1434" s="11" t="s">
        <v>5310</v>
      </c>
      <c r="V1434" s="11" t="str">
        <f>INDEX('Lookup 1961'!$A$2:$A$1300, MATCH(S1434, 'Lookup 1961'!$B$2:$B$1300,0))</f>
        <v>J04001343</v>
      </c>
      <c r="W1434" s="11" t="str">
        <f>INDEX('Lookup 1961'!$F$2:$F$1300, MATCH(S1434, 'Lookup 1961'!$B$2:$B$1300,0))</f>
        <v>e421126</v>
      </c>
      <c r="X1434" s="11" t="str">
        <f>INDEX('Lookup 1961'!$C$2:$C$1300, MATCH(V1434, 'Lookup 1961'!$A$2:$A$1300,0))</f>
        <v>Wiltshire</v>
      </c>
    </row>
    <row r="1435" spans="1:24" ht="25.05" customHeight="1" x14ac:dyDescent="0.3">
      <c r="A1435" s="4" t="s">
        <v>858</v>
      </c>
      <c r="B1435" s="4" t="s">
        <v>858</v>
      </c>
      <c r="S1435" s="11" t="str">
        <f t="shared" si="51"/>
        <v>WORCESTER: RD</v>
      </c>
      <c r="T1435" s="11" t="s">
        <v>5310</v>
      </c>
      <c r="V1435" s="11" t="e">
        <f>INDEX('Lookup 1961'!$A$2:$A$1300, MATCH(S1435, 'Lookup 1961'!$B$2:$B$1300,0))</f>
        <v>#N/A</v>
      </c>
      <c r="W1435" s="11" t="e">
        <f>INDEX('Lookup 1961'!$F$2:$F$1300, MATCH(S1435, 'Lookup 1961'!$B$2:$B$1300,0))</f>
        <v>#N/A</v>
      </c>
      <c r="X1435" s="11" t="e">
        <f>INDEX('Lookup 1961'!$C$2:$C$1300, MATCH(V1435, 'Lookup 1961'!$A$2:$A$1300,0))</f>
        <v>#N/A</v>
      </c>
    </row>
    <row r="1436" spans="1:24" ht="25.05" customHeight="1" x14ac:dyDescent="0.3">
      <c r="A1436" s="4" t="s">
        <v>866</v>
      </c>
      <c r="B1436" s="4" t="s">
        <v>866</v>
      </c>
      <c r="C1436" s="1">
        <v>20</v>
      </c>
      <c r="D1436" s="1">
        <v>10</v>
      </c>
      <c r="E1436" s="1">
        <v>14</v>
      </c>
      <c r="F1436" s="1">
        <v>10</v>
      </c>
      <c r="G1436" s="1">
        <v>15</v>
      </c>
      <c r="H1436" s="1">
        <v>6</v>
      </c>
      <c r="I1436" s="1">
        <v>14</v>
      </c>
      <c r="J1436" s="1">
        <v>10</v>
      </c>
      <c r="K1436" s="6">
        <v>1330</v>
      </c>
      <c r="L1436" s="6">
        <v>329132</v>
      </c>
      <c r="M1436" s="1">
        <v>85.8</v>
      </c>
      <c r="N1436" s="1">
        <v>7</v>
      </c>
      <c r="O1436" s="1">
        <v>16</v>
      </c>
      <c r="P1436" s="1">
        <v>23.5</v>
      </c>
      <c r="Q1436" s="11">
        <f>'Table H'!$J$229</f>
        <v>0.89228336090344473</v>
      </c>
      <c r="R1436" s="11">
        <f t="shared" si="50"/>
        <v>293679.00714087259</v>
      </c>
      <c r="S1436" s="11" t="str">
        <f t="shared" si="51"/>
        <v>Bromsgrove RD</v>
      </c>
      <c r="T1436" s="11" t="s">
        <v>5310</v>
      </c>
      <c r="V1436" s="11" t="str">
        <f>INDEX('Lookup 1961'!$A$2:$A$1300, MATCH(S1436, 'Lookup 1961'!$B$2:$B$1300,0))</f>
        <v>J04000219</v>
      </c>
      <c r="W1436" s="11" t="str">
        <f>INDEX('Lookup 1961'!$F$2:$F$1300, MATCH(S1436, 'Lookup 1961'!$B$2:$B$1300,0))</f>
        <v>e431140</v>
      </c>
      <c r="X1436" s="11" t="str">
        <f>INDEX('Lookup 1961'!$C$2:$C$1300, MATCH(V1436, 'Lookup 1961'!$A$2:$A$1300,0))</f>
        <v>Hereford And Worcs</v>
      </c>
    </row>
    <row r="1437" spans="1:24" ht="25.05" customHeight="1" x14ac:dyDescent="0.3">
      <c r="A1437" s="4" t="s">
        <v>860</v>
      </c>
      <c r="B1437" s="4" t="s">
        <v>860</v>
      </c>
      <c r="C1437" s="1">
        <v>20</v>
      </c>
      <c r="D1437" s="1">
        <v>4</v>
      </c>
      <c r="E1437" s="1">
        <v>15</v>
      </c>
      <c r="F1437" s="1">
        <v>0</v>
      </c>
      <c r="G1437" s="1">
        <v>15</v>
      </c>
      <c r="H1437" s="1">
        <v>0</v>
      </c>
      <c r="I1437" s="1">
        <v>15</v>
      </c>
      <c r="J1437" s="1">
        <v>0</v>
      </c>
      <c r="K1437" s="6">
        <v>600</v>
      </c>
      <c r="L1437" s="6">
        <v>150507</v>
      </c>
      <c r="M1437" s="1">
        <v>87</v>
      </c>
      <c r="N1437" s="1">
        <v>9</v>
      </c>
      <c r="O1437" s="1">
        <v>17</v>
      </c>
      <c r="P1437" s="1">
        <v>71.099999999999994</v>
      </c>
      <c r="Q1437" s="11">
        <f>'Table H'!$J$229</f>
        <v>0.89228336090344473</v>
      </c>
      <c r="R1437" s="11">
        <f t="shared" si="50"/>
        <v>134294.89179949477</v>
      </c>
      <c r="S1437" s="11" t="str">
        <f t="shared" si="51"/>
        <v>Droitwich RD</v>
      </c>
      <c r="T1437" s="11" t="s">
        <v>5310</v>
      </c>
      <c r="V1437" s="11" t="str">
        <f>INDEX('Lookup 1961'!$A$2:$A$1300, MATCH(S1437, 'Lookup 1961'!$B$2:$B$1300,0))</f>
        <v>J04000429</v>
      </c>
      <c r="W1437" s="11" t="str">
        <f>INDEX('Lookup 1961'!$F$2:$F$1300, MATCH(S1437, 'Lookup 1961'!$B$2:$B$1300,0))</f>
        <v>e431141</v>
      </c>
      <c r="X1437" s="11" t="str">
        <f>INDEX('Lookup 1961'!$C$2:$C$1300, MATCH(V1437, 'Lookup 1961'!$A$2:$A$1300,0))</f>
        <v>Hereford And Worcs</v>
      </c>
    </row>
    <row r="1438" spans="1:24" ht="25.05" customHeight="1" x14ac:dyDescent="0.3">
      <c r="A1438" s="4" t="s">
        <v>861</v>
      </c>
      <c r="B1438" s="4" t="s">
        <v>861</v>
      </c>
      <c r="C1438" s="1">
        <v>20</v>
      </c>
      <c r="D1438" s="1">
        <v>10</v>
      </c>
      <c r="E1438" s="1">
        <v>14</v>
      </c>
      <c r="F1438" s="1">
        <v>4</v>
      </c>
      <c r="G1438" s="1">
        <v>15</v>
      </c>
      <c r="H1438" s="1">
        <v>4</v>
      </c>
      <c r="I1438" s="1">
        <v>14</v>
      </c>
      <c r="J1438" s="1">
        <v>4</v>
      </c>
      <c r="K1438" s="6">
        <v>695</v>
      </c>
      <c r="L1438" s="6">
        <v>174129</v>
      </c>
      <c r="M1438" s="1">
        <v>111.6</v>
      </c>
      <c r="N1438" s="1">
        <v>8</v>
      </c>
      <c r="O1438" s="1">
        <v>2</v>
      </c>
      <c r="P1438" s="1">
        <v>56</v>
      </c>
      <c r="Q1438" s="11">
        <f>'Table H'!$J$229</f>
        <v>0.89228336090344473</v>
      </c>
      <c r="R1438" s="11">
        <f t="shared" si="50"/>
        <v>155372.40935075592</v>
      </c>
      <c r="S1438" s="11" t="str">
        <f t="shared" si="51"/>
        <v>Evesham RD</v>
      </c>
      <c r="T1438" s="11" t="s">
        <v>5310</v>
      </c>
      <c r="V1438" s="11" t="str">
        <f>INDEX('Lookup 1961'!$A$2:$A$1300, MATCH(S1438, 'Lookup 1961'!$B$2:$B$1300,0))</f>
        <v>J04000485</v>
      </c>
      <c r="W1438" s="11" t="str">
        <f>INDEX('Lookup 1961'!$F$2:$F$1300, MATCH(S1438, 'Lookup 1961'!$B$2:$B$1300,0))</f>
        <v>e431142</v>
      </c>
      <c r="X1438" s="11" t="str">
        <f>INDEX('Lookup 1961'!$C$2:$C$1300, MATCH(V1438, 'Lookup 1961'!$A$2:$A$1300,0))</f>
        <v>Hereford And Worcs</v>
      </c>
    </row>
    <row r="1439" spans="1:24" ht="25.05" customHeight="1" x14ac:dyDescent="0.3">
      <c r="A1439" s="4" t="s">
        <v>863</v>
      </c>
      <c r="B1439" s="4" t="s">
        <v>863</v>
      </c>
      <c r="C1439" s="1">
        <v>19</v>
      </c>
      <c r="D1439" s="1">
        <v>11</v>
      </c>
      <c r="E1439" s="1">
        <v>15</v>
      </c>
      <c r="F1439" s="1">
        <v>8</v>
      </c>
      <c r="G1439" s="1">
        <v>15</v>
      </c>
      <c r="H1439" s="1">
        <v>10</v>
      </c>
      <c r="I1439" s="1">
        <v>15</v>
      </c>
      <c r="J1439" s="1">
        <v>8</v>
      </c>
      <c r="K1439" s="6">
        <v>456</v>
      </c>
      <c r="L1439" s="6">
        <v>111618</v>
      </c>
      <c r="M1439" s="1">
        <v>56.8</v>
      </c>
      <c r="N1439" s="1">
        <v>7</v>
      </c>
      <c r="O1439" s="1">
        <v>14</v>
      </c>
      <c r="P1439" s="1">
        <v>33</v>
      </c>
      <c r="Q1439" s="11">
        <f>'Table H'!$J$229</f>
        <v>0.89228336090344473</v>
      </c>
      <c r="R1439" s="11">
        <f t="shared" si="50"/>
        <v>99594.884177320695</v>
      </c>
      <c r="S1439" s="11" t="str">
        <f t="shared" si="51"/>
        <v>Kidderminster RD</v>
      </c>
      <c r="T1439" s="11" t="s">
        <v>5310</v>
      </c>
      <c r="V1439" s="11" t="str">
        <f>INDEX('Lookup 1961'!$A$2:$A$1300, MATCH(S1439, 'Lookup 1961'!$B$2:$B$1300,0))</f>
        <v>J04000692</v>
      </c>
      <c r="W1439" s="11" t="str">
        <f>INDEX('Lookup 1961'!$F$2:$F$1300, MATCH(S1439, 'Lookup 1961'!$B$2:$B$1300,0))</f>
        <v>e431143</v>
      </c>
      <c r="X1439" s="11" t="str">
        <f>INDEX('Lookup 1961'!$C$2:$C$1300, MATCH(V1439, 'Lookup 1961'!$A$2:$A$1300,0))</f>
        <v>Hereford And Worcs</v>
      </c>
    </row>
    <row r="1440" spans="1:24" ht="25.05" customHeight="1" x14ac:dyDescent="0.3">
      <c r="A1440" s="4" t="s">
        <v>1175</v>
      </c>
      <c r="B1440" s="4" t="s">
        <v>1175</v>
      </c>
      <c r="C1440" s="1">
        <v>21</v>
      </c>
      <c r="D1440" s="1">
        <v>6</v>
      </c>
      <c r="E1440" s="1">
        <v>15</v>
      </c>
      <c r="F1440" s="1">
        <v>8</v>
      </c>
      <c r="G1440" s="1">
        <v>16</v>
      </c>
      <c r="H1440" s="1">
        <v>2</v>
      </c>
      <c r="I1440" s="1">
        <v>15</v>
      </c>
      <c r="J1440" s="1">
        <v>4</v>
      </c>
      <c r="K1440" s="6">
        <v>333</v>
      </c>
      <c r="L1440" s="6">
        <v>83671</v>
      </c>
      <c r="M1440" s="1">
        <v>90.2</v>
      </c>
      <c r="N1440" s="1">
        <v>5</v>
      </c>
      <c r="O1440" s="1">
        <v>8</v>
      </c>
      <c r="P1440" s="1">
        <v>36.6</v>
      </c>
      <c r="Q1440" s="11">
        <f>'Table H'!$J$229</f>
        <v>0.89228336090344473</v>
      </c>
      <c r="R1440" s="11">
        <f t="shared" si="50"/>
        <v>74658.241090152122</v>
      </c>
      <c r="S1440" s="11" t="str">
        <f t="shared" si="51"/>
        <v>Martley RD</v>
      </c>
      <c r="T1440" s="11" t="s">
        <v>5310</v>
      </c>
      <c r="V1440" s="11" t="str">
        <f>INDEX('Lookup 1961'!$A$2:$A$1300, MATCH(S1440, 'Lookup 1961'!$B$2:$B$1300,0))</f>
        <v>J04000837</v>
      </c>
      <c r="W1440" s="11" t="str">
        <f>INDEX('Lookup 1961'!$F$2:$F$1300, MATCH(S1440, 'Lookup 1961'!$B$2:$B$1300,0))</f>
        <v>e431144</v>
      </c>
      <c r="X1440" s="11" t="str">
        <f>INDEX('Lookup 1961'!$C$2:$C$1300, MATCH(V1440, 'Lookup 1961'!$A$2:$A$1300,0))</f>
        <v>Hereford And Worcs</v>
      </c>
    </row>
    <row r="1441" spans="1:24" ht="25.05" customHeight="1" x14ac:dyDescent="0.3">
      <c r="A1441" s="4" t="s">
        <v>1176</v>
      </c>
      <c r="B1441" s="4" t="s">
        <v>1176</v>
      </c>
      <c r="C1441" s="1">
        <v>21</v>
      </c>
      <c r="D1441" s="1">
        <v>6</v>
      </c>
      <c r="E1441" s="1">
        <v>16</v>
      </c>
      <c r="F1441" s="1">
        <v>4</v>
      </c>
      <c r="G1441" s="1">
        <v>17</v>
      </c>
      <c r="H1441" s="1">
        <v>8</v>
      </c>
      <c r="I1441" s="1">
        <v>16</v>
      </c>
      <c r="J1441" s="1">
        <v>4</v>
      </c>
      <c r="K1441" s="6">
        <v>572</v>
      </c>
      <c r="L1441" s="6">
        <v>157490</v>
      </c>
      <c r="M1441" s="1">
        <v>123.9</v>
      </c>
      <c r="N1441" s="1">
        <v>7</v>
      </c>
      <c r="O1441" s="1">
        <v>8</v>
      </c>
      <c r="P1441" s="1">
        <v>66.099999999999994</v>
      </c>
      <c r="Q1441" s="11">
        <f>'Table H'!$J$229</f>
        <v>0.89228336090344473</v>
      </c>
      <c r="R1441" s="11">
        <f t="shared" si="50"/>
        <v>140525.70650868351</v>
      </c>
      <c r="S1441" s="11" t="str">
        <f t="shared" si="51"/>
        <v>Pershore RD</v>
      </c>
      <c r="T1441" s="11" t="s">
        <v>5310</v>
      </c>
      <c r="V1441" s="11" t="str">
        <f>INDEX('Lookup 1961'!$A$2:$A$1300, MATCH(S1441, 'Lookup 1961'!$B$2:$B$1300,0))</f>
        <v>J04000986</v>
      </c>
      <c r="W1441" s="11" t="str">
        <f>INDEX('Lookup 1961'!$F$2:$F$1300, MATCH(S1441, 'Lookup 1961'!$B$2:$B$1300,0))</f>
        <v>e431145</v>
      </c>
      <c r="X1441" s="11" t="str">
        <f>INDEX('Lookup 1961'!$C$2:$C$1300, MATCH(V1441, 'Lookup 1961'!$A$2:$A$1300,0))</f>
        <v>Hereford And Worcs</v>
      </c>
    </row>
    <row r="1442" spans="1:24" ht="25.05" customHeight="1" x14ac:dyDescent="0.3">
      <c r="A1442" s="4" t="s">
        <v>1177</v>
      </c>
      <c r="B1442" s="4" t="s">
        <v>1177</v>
      </c>
      <c r="C1442" s="1">
        <v>21</v>
      </c>
      <c r="D1442" s="1">
        <v>0</v>
      </c>
      <c r="E1442" s="1">
        <v>13</v>
      </c>
      <c r="F1442" s="1">
        <v>8</v>
      </c>
      <c r="G1442" s="1">
        <v>14</v>
      </c>
      <c r="H1442" s="1">
        <v>8</v>
      </c>
      <c r="I1442" s="1">
        <v>13</v>
      </c>
      <c r="J1442" s="1">
        <v>8</v>
      </c>
      <c r="K1442" s="6">
        <v>150</v>
      </c>
      <c r="L1442" s="6">
        <v>36997</v>
      </c>
      <c r="M1442" s="1">
        <v>89.6</v>
      </c>
      <c r="N1442" s="1">
        <v>4</v>
      </c>
      <c r="O1442" s="1">
        <v>14</v>
      </c>
      <c r="P1442" s="1">
        <v>22.4</v>
      </c>
      <c r="Q1442" s="11">
        <f>'Table H'!$J$229</f>
        <v>0.89228336090344473</v>
      </c>
      <c r="R1442" s="11">
        <f t="shared" si="50"/>
        <v>33011.807503344746</v>
      </c>
      <c r="S1442" s="11" t="str">
        <f t="shared" si="51"/>
        <v>Tenbury RD</v>
      </c>
      <c r="T1442" s="11" t="s">
        <v>5310</v>
      </c>
      <c r="V1442" s="11" t="str">
        <f>INDEX('Lookup 1961'!$A$2:$A$1300, MATCH(S1442, 'Lookup 1961'!$B$2:$B$1300,0))</f>
        <v>J04001257</v>
      </c>
      <c r="W1442" s="11" t="str">
        <f>INDEX('Lookup 1961'!$F$2:$F$1300, MATCH(S1442, 'Lookup 1961'!$B$2:$B$1300,0))</f>
        <v>e431146</v>
      </c>
      <c r="X1442" s="11" t="str">
        <f>INDEX('Lookup 1961'!$C$2:$C$1300, MATCH(V1442, 'Lookup 1961'!$A$2:$A$1300,0))</f>
        <v>Hereford And Worcs</v>
      </c>
    </row>
    <row r="1443" spans="1:24" ht="25.05" customHeight="1" x14ac:dyDescent="0.3">
      <c r="A1443" s="4" t="s">
        <v>1178</v>
      </c>
      <c r="B1443" s="4" t="s">
        <v>5315</v>
      </c>
      <c r="C1443" s="1">
        <v>21</v>
      </c>
      <c r="D1443" s="1">
        <v>2</v>
      </c>
      <c r="E1443" s="1">
        <v>16</v>
      </c>
      <c r="F1443" s="1">
        <v>6</v>
      </c>
      <c r="G1443" s="1">
        <v>18</v>
      </c>
      <c r="H1443" s="1">
        <v>2</v>
      </c>
      <c r="I1443" s="1">
        <v>16</v>
      </c>
      <c r="J1443" s="1">
        <v>6</v>
      </c>
      <c r="K1443" s="6">
        <v>475</v>
      </c>
      <c r="L1443" s="6">
        <v>126201</v>
      </c>
      <c r="M1443" s="1">
        <v>70.3</v>
      </c>
      <c r="N1443" s="1">
        <v>7</v>
      </c>
      <c r="O1443" s="1">
        <v>1</v>
      </c>
      <c r="P1443" s="1">
        <v>39.799999999999997</v>
      </c>
      <c r="Q1443" s="11">
        <f>'Table H'!$J$229</f>
        <v>0.89228336090344473</v>
      </c>
      <c r="R1443" s="11">
        <f t="shared" si="50"/>
        <v>112607.05242937563</v>
      </c>
      <c r="S1443" s="11" t="str">
        <f t="shared" si="51"/>
        <v>Upton upon Severn RD</v>
      </c>
      <c r="T1443" s="11" t="s">
        <v>5310</v>
      </c>
      <c r="V1443" s="11" t="str">
        <f>INDEX('Lookup 1961'!$A$2:$A$1300, MATCH(S1443, 'Lookup 1961'!$B$2:$B$1300,0))</f>
        <v>J04001311</v>
      </c>
      <c r="W1443" s="11" t="str">
        <f>INDEX('Lookup 1961'!$F$2:$F$1300, MATCH(S1443, 'Lookup 1961'!$B$2:$B$1300,0))</f>
        <v>e431147</v>
      </c>
      <c r="X1443" s="11" t="str">
        <f>INDEX('Lookup 1961'!$C$2:$C$1300, MATCH(V1443, 'Lookup 1961'!$A$2:$A$1300,0))</f>
        <v>Hereford And Worcs</v>
      </c>
    </row>
    <row r="1444" spans="1:24" ht="25.05" customHeight="1" x14ac:dyDescent="0.3">
      <c r="A1444" s="4" t="s">
        <v>870</v>
      </c>
      <c r="B1444" s="4" t="s">
        <v>870</v>
      </c>
      <c r="S1444" s="11" t="str">
        <f t="shared" si="51"/>
        <v>YORK, EAST RIDING: RD</v>
      </c>
      <c r="T1444" s="11" t="s">
        <v>5310</v>
      </c>
      <c r="V1444" s="11" t="e">
        <f>INDEX('Lookup 1961'!$A$2:$A$1300, MATCH(S1444, 'Lookup 1961'!$B$2:$B$1300,0))</f>
        <v>#N/A</v>
      </c>
      <c r="W1444" s="11" t="e">
        <f>INDEX('Lookup 1961'!$F$2:$F$1300, MATCH(S1444, 'Lookup 1961'!$B$2:$B$1300,0))</f>
        <v>#N/A</v>
      </c>
      <c r="X1444" s="11" t="e">
        <f>INDEX('Lookup 1961'!$C$2:$C$1300, MATCH(V1444, 'Lookup 1961'!$A$2:$A$1300,0))</f>
        <v>#N/A</v>
      </c>
    </row>
    <row r="1445" spans="1:24" ht="25.05" customHeight="1" x14ac:dyDescent="0.3">
      <c r="A1445" s="4" t="s">
        <v>871</v>
      </c>
      <c r="B1445" s="4" t="s">
        <v>871</v>
      </c>
      <c r="C1445" s="1">
        <v>23</v>
      </c>
      <c r="D1445" s="1">
        <v>0</v>
      </c>
      <c r="E1445" s="1">
        <v>16</v>
      </c>
      <c r="F1445" s="1">
        <v>4</v>
      </c>
      <c r="G1445" s="1">
        <v>17</v>
      </c>
      <c r="H1445" s="1">
        <v>4</v>
      </c>
      <c r="I1445" s="1">
        <v>16</v>
      </c>
      <c r="J1445" s="1">
        <v>4</v>
      </c>
      <c r="K1445" s="6">
        <v>848</v>
      </c>
      <c r="L1445" s="6">
        <v>208438</v>
      </c>
      <c r="M1445" s="1">
        <v>81.7</v>
      </c>
      <c r="N1445" s="1">
        <v>8</v>
      </c>
      <c r="O1445" s="1">
        <v>15</v>
      </c>
      <c r="P1445" s="1">
        <v>41.6</v>
      </c>
      <c r="Q1445" s="11">
        <f>'Table H'!$J$234</f>
        <v>0.85835860658435847</v>
      </c>
      <c r="R1445" s="11">
        <f t="shared" si="50"/>
        <v>178914.55123923052</v>
      </c>
      <c r="S1445" s="11" t="str">
        <f t="shared" si="51"/>
        <v>Beverley RD</v>
      </c>
      <c r="T1445" s="11" t="s">
        <v>5310</v>
      </c>
      <c r="V1445" s="11" t="str">
        <f>INDEX('Lookup 1961'!$A$2:$A$1300, MATCH(S1445, 'Lookup 1961'!$B$2:$B$1300,0))</f>
        <v>J04000133</v>
      </c>
      <c r="W1445" s="11" t="str">
        <f>INDEX('Lookup 1961'!$F$2:$F$1300, MATCH(S1445, 'Lookup 1961'!$B$2:$B$1300,0))</f>
        <v>e441158</v>
      </c>
      <c r="X1445" s="11" t="str">
        <f>INDEX('Lookup 1961'!$C$2:$C$1300, MATCH(V1445, 'Lookup 1961'!$A$2:$A$1300,0))</f>
        <v>Humberside</v>
      </c>
    </row>
    <row r="1446" spans="1:24" ht="25.05" customHeight="1" x14ac:dyDescent="0.3">
      <c r="A1446" s="4" t="s">
        <v>872</v>
      </c>
      <c r="B1446" s="4" t="s">
        <v>872</v>
      </c>
      <c r="C1446" s="1">
        <v>22</v>
      </c>
      <c r="D1446" s="1">
        <v>0</v>
      </c>
      <c r="E1446" s="1">
        <v>15</v>
      </c>
      <c r="F1446" s="1">
        <v>7</v>
      </c>
      <c r="G1446" s="1">
        <v>16</v>
      </c>
      <c r="H1446" s="1">
        <v>0</v>
      </c>
      <c r="I1446" s="1">
        <v>15</v>
      </c>
      <c r="J1446" s="1">
        <v>7</v>
      </c>
      <c r="K1446" s="6">
        <v>277</v>
      </c>
      <c r="L1446" s="6">
        <v>77412</v>
      </c>
      <c r="M1446" s="1">
        <v>84.1</v>
      </c>
      <c r="N1446" s="1">
        <v>5</v>
      </c>
      <c r="O1446" s="1">
        <v>17</v>
      </c>
      <c r="P1446" s="1">
        <v>23.9</v>
      </c>
      <c r="Q1446" s="11">
        <f>'Table H'!$J$234</f>
        <v>0.85835860658435847</v>
      </c>
      <c r="R1446" s="11">
        <f t="shared" si="50"/>
        <v>66447.256452908361</v>
      </c>
      <c r="S1446" s="11" t="str">
        <f t="shared" si="51"/>
        <v>Bridlington RD</v>
      </c>
      <c r="T1446" s="11" t="s">
        <v>5310</v>
      </c>
      <c r="V1446" s="11" t="str">
        <f>INDEX('Lookup 1961'!$A$2:$A$1300, MATCH(S1446, 'Lookup 1961'!$B$2:$B$1300,0))</f>
        <v>J04000204</v>
      </c>
      <c r="W1446" s="11" t="str">
        <f>INDEX('Lookup 1961'!$F$2:$F$1300, MATCH(S1446, 'Lookup 1961'!$B$2:$B$1300,0))</f>
        <v>e441159</v>
      </c>
      <c r="X1446" s="11" t="str">
        <f>INDEX('Lookup 1961'!$C$2:$C$1300, MATCH(V1446, 'Lookup 1961'!$A$2:$A$1300,0))</f>
        <v>Humberside</v>
      </c>
    </row>
    <row r="1447" spans="1:24" ht="25.05" customHeight="1" x14ac:dyDescent="0.3">
      <c r="A1447" s="4" t="s">
        <v>1179</v>
      </c>
      <c r="B1447" s="4" t="s">
        <v>1179</v>
      </c>
      <c r="C1447" s="1">
        <v>22</v>
      </c>
      <c r="D1447" s="1">
        <v>4</v>
      </c>
      <c r="E1447" s="1">
        <v>16</v>
      </c>
      <c r="F1447" s="1">
        <v>2</v>
      </c>
      <c r="G1447" s="1">
        <v>16</v>
      </c>
      <c r="H1447" s="1">
        <v>10</v>
      </c>
      <c r="I1447" s="1">
        <v>16</v>
      </c>
      <c r="J1447" s="1">
        <v>2</v>
      </c>
      <c r="K1447" s="6">
        <v>438</v>
      </c>
      <c r="L1447" s="6">
        <v>112264</v>
      </c>
      <c r="M1447" s="1">
        <v>79.8</v>
      </c>
      <c r="N1447" s="1">
        <v>6</v>
      </c>
      <c r="O1447" s="1">
        <v>15</v>
      </c>
      <c r="P1447" s="1">
        <v>35.1</v>
      </c>
      <c r="Q1447" s="11">
        <f>'Table H'!$J$234</f>
        <v>0.85835860658435847</v>
      </c>
      <c r="R1447" s="11">
        <f t="shared" si="50"/>
        <v>96362.770609586427</v>
      </c>
      <c r="S1447" s="11" t="str">
        <f t="shared" si="51"/>
        <v>Derwent RD</v>
      </c>
      <c r="T1447" s="11" t="s">
        <v>5310</v>
      </c>
      <c r="V1447" s="11" t="str">
        <f>INDEX('Lookup 1961'!$A$2:$A$1300, MATCH(S1447, 'Lookup 1961'!$B$2:$B$1300,0))</f>
        <v>J04000402</v>
      </c>
      <c r="W1447" s="11" t="str">
        <f>INDEX('Lookup 1961'!$F$2:$F$1300, MATCH(S1447, 'Lookup 1961'!$B$2:$B$1300,0))</f>
        <v>e441160</v>
      </c>
      <c r="X1447" s="11" t="str">
        <f>INDEX('Lookup 1961'!$C$2:$C$1300, MATCH(V1447, 'Lookup 1961'!$A$2:$A$1300,0))</f>
        <v>North Yorkshire</v>
      </c>
    </row>
    <row r="1448" spans="1:24" ht="25.05" customHeight="1" x14ac:dyDescent="0.3">
      <c r="A1448" s="4" t="s">
        <v>874</v>
      </c>
      <c r="B1448" s="4" t="s">
        <v>874</v>
      </c>
      <c r="C1448" s="1">
        <v>19</v>
      </c>
      <c r="D1448" s="1">
        <v>8</v>
      </c>
      <c r="E1448" s="1">
        <v>16</v>
      </c>
      <c r="F1448" s="1">
        <v>2</v>
      </c>
      <c r="G1448" s="1">
        <v>17</v>
      </c>
      <c r="H1448" s="1">
        <v>4</v>
      </c>
      <c r="I1448" s="1">
        <v>16</v>
      </c>
      <c r="J1448" s="1">
        <v>2</v>
      </c>
      <c r="K1448" s="6">
        <v>263</v>
      </c>
      <c r="L1448" s="6">
        <v>65657</v>
      </c>
      <c r="M1448" s="1">
        <v>59.2</v>
      </c>
      <c r="N1448" s="1">
        <v>6</v>
      </c>
      <c r="O1448" s="1">
        <v>2</v>
      </c>
      <c r="P1448" s="1">
        <v>68.7</v>
      </c>
      <c r="Q1448" s="11">
        <f>'Table H'!$J$234</f>
        <v>0.85835860658435847</v>
      </c>
      <c r="R1448" s="11">
        <f t="shared" si="50"/>
        <v>56357.251032509223</v>
      </c>
      <c r="S1448" s="11" t="str">
        <f t="shared" si="51"/>
        <v>Driffield RD</v>
      </c>
      <c r="T1448" s="11" t="s">
        <v>5310</v>
      </c>
      <c r="V1448" s="11" t="str">
        <f>INDEX('Lookup 1961'!$A$2:$A$1300, MATCH(S1448, 'Lookup 1961'!$B$2:$B$1300,0))</f>
        <v>J04000426</v>
      </c>
      <c r="W1448" s="11" t="str">
        <f>INDEX('Lookup 1961'!$F$2:$F$1300, MATCH(S1448, 'Lookup 1961'!$B$2:$B$1300,0))</f>
        <v>e441161</v>
      </c>
      <c r="X1448" s="11" t="str">
        <f>INDEX('Lookup 1961'!$C$2:$C$1300, MATCH(V1448, 'Lookup 1961'!$A$2:$A$1300,0))</f>
        <v>Humberside</v>
      </c>
    </row>
    <row r="1449" spans="1:24" ht="25.05" customHeight="1" x14ac:dyDescent="0.3">
      <c r="A1449" s="4" t="s">
        <v>1180</v>
      </c>
      <c r="B1449" s="4" t="s">
        <v>1180</v>
      </c>
      <c r="C1449" s="1">
        <v>21</v>
      </c>
      <c r="D1449" s="1">
        <v>10</v>
      </c>
      <c r="E1449" s="1">
        <v>15</v>
      </c>
      <c r="F1449" s="1">
        <v>8</v>
      </c>
      <c r="G1449" s="1">
        <v>16</v>
      </c>
      <c r="H1449" s="1">
        <v>0</v>
      </c>
      <c r="I1449" s="1">
        <v>15</v>
      </c>
      <c r="J1449" s="1">
        <v>8</v>
      </c>
      <c r="K1449" s="6">
        <v>870</v>
      </c>
      <c r="L1449" s="6">
        <v>214735</v>
      </c>
      <c r="M1449" s="1">
        <v>89.6</v>
      </c>
      <c r="N1449" s="1">
        <v>8</v>
      </c>
      <c r="O1449" s="1">
        <v>7</v>
      </c>
      <c r="P1449" s="1">
        <v>34.799999999999997</v>
      </c>
      <c r="Q1449" s="11">
        <f>'Table H'!$J$234</f>
        <v>0.85835860658435847</v>
      </c>
      <c r="R1449" s="11">
        <f t="shared" si="50"/>
        <v>184319.63538489223</v>
      </c>
      <c r="S1449" s="11" t="str">
        <f t="shared" si="51"/>
        <v>Holderness RD</v>
      </c>
      <c r="T1449" s="11" t="s">
        <v>5310</v>
      </c>
      <c r="V1449" s="11" t="str">
        <f>INDEX('Lookup 1961'!$A$2:$A$1300, MATCH(S1449, 'Lookup 1961'!$B$2:$B$1300,0))</f>
        <v>J04000631</v>
      </c>
      <c r="W1449" s="11" t="str">
        <f>INDEX('Lookup 1961'!$F$2:$F$1300, MATCH(S1449, 'Lookup 1961'!$B$2:$B$1300,0))</f>
        <v>e441162</v>
      </c>
      <c r="X1449" s="11" t="str">
        <f>INDEX('Lookup 1961'!$C$2:$C$1300, MATCH(V1449, 'Lookup 1961'!$A$2:$A$1300,0))</f>
        <v>Humberside</v>
      </c>
    </row>
    <row r="1450" spans="1:24" ht="25.05" customHeight="1" x14ac:dyDescent="0.3">
      <c r="A1450" s="4" t="s">
        <v>1181</v>
      </c>
      <c r="B1450" s="4" t="s">
        <v>1181</v>
      </c>
      <c r="C1450" s="1">
        <v>21</v>
      </c>
      <c r="D1450" s="1">
        <v>8</v>
      </c>
      <c r="E1450" s="1">
        <v>16</v>
      </c>
      <c r="F1450" s="1">
        <v>2</v>
      </c>
      <c r="G1450" s="1">
        <v>17</v>
      </c>
      <c r="H1450" s="1">
        <v>4</v>
      </c>
      <c r="I1450" s="1">
        <v>16</v>
      </c>
      <c r="J1450" s="1">
        <v>2</v>
      </c>
      <c r="K1450" s="6">
        <v>267</v>
      </c>
      <c r="L1450" s="6">
        <v>70378</v>
      </c>
      <c r="M1450" s="1">
        <v>60.4</v>
      </c>
      <c r="N1450" s="1">
        <v>4</v>
      </c>
      <c r="O1450" s="1">
        <v>15</v>
      </c>
      <c r="P1450" s="1">
        <v>18.3</v>
      </c>
      <c r="Q1450" s="11">
        <f>'Table H'!$J$234</f>
        <v>0.85835860658435847</v>
      </c>
      <c r="R1450" s="11">
        <f t="shared" si="50"/>
        <v>60409.56201419398</v>
      </c>
      <c r="S1450" s="11" t="str">
        <f t="shared" si="51"/>
        <v>Howden RD</v>
      </c>
      <c r="T1450" s="11" t="s">
        <v>5310</v>
      </c>
      <c r="V1450" s="11" t="str">
        <f>INDEX('Lookup 1961'!$A$2:$A$1300, MATCH(S1450, 'Lookup 1961'!$B$2:$B$1300,0))</f>
        <v>J04000653</v>
      </c>
      <c r="W1450" s="11" t="str">
        <f>INDEX('Lookup 1961'!$F$2:$F$1300, MATCH(S1450, 'Lookup 1961'!$B$2:$B$1300,0))</f>
        <v>e441163</v>
      </c>
      <c r="X1450" s="11" t="str">
        <f>INDEX('Lookup 1961'!$C$2:$C$1300, MATCH(V1450, 'Lookup 1961'!$A$2:$A$1300,0))</f>
        <v>Humberside</v>
      </c>
    </row>
    <row r="1451" spans="1:24" ht="25.05" customHeight="1" x14ac:dyDescent="0.3">
      <c r="A1451" s="4" t="s">
        <v>878</v>
      </c>
      <c r="B1451" s="4" t="s">
        <v>878</v>
      </c>
      <c r="C1451" s="1">
        <v>22</v>
      </c>
      <c r="D1451" s="1">
        <v>0</v>
      </c>
      <c r="E1451" s="1">
        <v>14</v>
      </c>
      <c r="F1451" s="1">
        <v>9</v>
      </c>
      <c r="G1451" s="1">
        <v>15</v>
      </c>
      <c r="H1451" s="1">
        <v>3</v>
      </c>
      <c r="I1451" s="1">
        <v>14</v>
      </c>
      <c r="J1451" s="1">
        <v>9</v>
      </c>
      <c r="K1451" s="6">
        <v>178</v>
      </c>
      <c r="L1451" s="6">
        <v>45414</v>
      </c>
      <c r="M1451" s="1">
        <v>71.400000000000006</v>
      </c>
      <c r="N1451" s="1">
        <v>4</v>
      </c>
      <c r="O1451" s="1">
        <v>10</v>
      </c>
      <c r="P1451" s="1">
        <v>16.399999999999999</v>
      </c>
      <c r="Q1451" s="11">
        <f>'Table H'!$J$234</f>
        <v>0.85835860658435847</v>
      </c>
      <c r="R1451" s="11">
        <f t="shared" si="50"/>
        <v>38981.497759422055</v>
      </c>
      <c r="S1451" s="11" t="str">
        <f t="shared" si="51"/>
        <v>Norton RD</v>
      </c>
      <c r="T1451" s="11" t="s">
        <v>5310</v>
      </c>
      <c r="V1451" s="11" t="str">
        <f>INDEX('Lookup 1961'!$A$2:$A$1300, MATCH(S1451, 'Lookup 1961'!$B$2:$B$1300,0))</f>
        <v>J04000939</v>
      </c>
      <c r="W1451" s="11" t="str">
        <f>INDEX('Lookup 1961'!$F$2:$F$1300, MATCH(S1451, 'Lookup 1961'!$B$2:$B$1300,0))</f>
        <v>e441164</v>
      </c>
      <c r="X1451" s="11" t="str">
        <f>INDEX('Lookup 1961'!$C$2:$C$1300, MATCH(V1451, 'Lookup 1961'!$A$2:$A$1300,0))</f>
        <v>North Yorkshire</v>
      </c>
    </row>
    <row r="1452" spans="1:24" ht="25.05" customHeight="1" x14ac:dyDescent="0.3">
      <c r="A1452" s="4" t="s">
        <v>1182</v>
      </c>
      <c r="B1452" s="4" t="s">
        <v>1182</v>
      </c>
      <c r="C1452" s="1">
        <v>22</v>
      </c>
      <c r="D1452" s="1">
        <v>0</v>
      </c>
      <c r="E1452" s="1">
        <v>15</v>
      </c>
      <c r="F1452" s="1">
        <v>2</v>
      </c>
      <c r="G1452" s="1">
        <v>15</v>
      </c>
      <c r="H1452" s="1">
        <v>11</v>
      </c>
      <c r="I1452" s="1">
        <v>14</v>
      </c>
      <c r="J1452" s="1">
        <v>11</v>
      </c>
      <c r="K1452" s="6">
        <v>460</v>
      </c>
      <c r="L1452" s="6">
        <v>117074</v>
      </c>
      <c r="M1452" s="1">
        <v>99.1</v>
      </c>
      <c r="N1452" s="1">
        <v>5</v>
      </c>
      <c r="O1452" s="1">
        <v>18</v>
      </c>
      <c r="P1452" s="1">
        <v>35.700000000000003</v>
      </c>
      <c r="Q1452" s="11">
        <f>'Table H'!$J$234</f>
        <v>0.85835860658435847</v>
      </c>
      <c r="R1452" s="11">
        <f t="shared" si="50"/>
        <v>100491.47550725719</v>
      </c>
      <c r="S1452" s="11" t="str">
        <f t="shared" si="51"/>
        <v>Pocklington RD</v>
      </c>
      <c r="T1452" s="11" t="s">
        <v>5310</v>
      </c>
      <c r="V1452" s="11" t="str">
        <f>INDEX('Lookup 1961'!$A$2:$A$1300, MATCH(S1452, 'Lookup 1961'!$B$2:$B$1300,0))</f>
        <v>J04000998</v>
      </c>
      <c r="W1452" s="11" t="str">
        <f>INDEX('Lookup 1961'!$F$2:$F$1300, MATCH(S1452, 'Lookup 1961'!$B$2:$B$1300,0))</f>
        <v>e441165</v>
      </c>
      <c r="X1452" s="11" t="str">
        <f>INDEX('Lookup 1961'!$C$2:$C$1300, MATCH(V1452, 'Lookup 1961'!$A$2:$A$1300,0))</f>
        <v>Humberside</v>
      </c>
    </row>
    <row r="1453" spans="1:24" ht="25.05" customHeight="1" x14ac:dyDescent="0.3">
      <c r="A1453" s="4" t="s">
        <v>880</v>
      </c>
      <c r="B1453" s="4" t="s">
        <v>880</v>
      </c>
      <c r="S1453" s="11" t="str">
        <f t="shared" si="51"/>
        <v>YORK, NORTH RIDING: RD</v>
      </c>
      <c r="T1453" s="11" t="s">
        <v>5310</v>
      </c>
      <c r="V1453" s="11" t="e">
        <f>INDEX('Lookup 1961'!$A$2:$A$1300, MATCH(S1453, 'Lookup 1961'!$B$2:$B$1300,0))</f>
        <v>#N/A</v>
      </c>
      <c r="W1453" s="11" t="e">
        <f>INDEX('Lookup 1961'!$F$2:$F$1300, MATCH(S1453, 'Lookup 1961'!$B$2:$B$1300,0))</f>
        <v>#N/A</v>
      </c>
      <c r="X1453" s="11" t="e">
        <f>INDEX('Lookup 1961'!$C$2:$C$1300, MATCH(V1453, 'Lookup 1961'!$A$2:$A$1300,0))</f>
        <v>#N/A</v>
      </c>
    </row>
    <row r="1454" spans="1:24" ht="25.05" customHeight="1" x14ac:dyDescent="0.3">
      <c r="A1454" s="4" t="s">
        <v>1183</v>
      </c>
      <c r="B1454" s="4" t="s">
        <v>1183</v>
      </c>
      <c r="C1454" s="1">
        <v>22</v>
      </c>
      <c r="D1454" s="1">
        <v>6</v>
      </c>
      <c r="E1454" s="1">
        <v>16</v>
      </c>
      <c r="F1454" s="1">
        <v>0</v>
      </c>
      <c r="G1454" s="1">
        <v>17</v>
      </c>
      <c r="H1454" s="1">
        <v>0</v>
      </c>
      <c r="I1454" s="1">
        <v>15</v>
      </c>
      <c r="J1454" s="1">
        <v>4</v>
      </c>
      <c r="K1454" s="6">
        <v>95</v>
      </c>
      <c r="L1454" s="6">
        <v>23875</v>
      </c>
      <c r="M1454" s="1">
        <v>73.599999999999994</v>
      </c>
      <c r="N1454" s="1">
        <v>5</v>
      </c>
      <c r="O1454" s="1">
        <v>12</v>
      </c>
      <c r="P1454" s="1">
        <v>22.1</v>
      </c>
      <c r="Q1454" s="11">
        <f>'Table H'!$J$239</f>
        <v>0.84486298179656438</v>
      </c>
      <c r="R1454" s="11">
        <f t="shared" si="50"/>
        <v>20171.103690392974</v>
      </c>
      <c r="S1454" s="11" t="str">
        <f t="shared" si="51"/>
        <v>Aysgarth RD</v>
      </c>
      <c r="T1454" s="11" t="s">
        <v>5310</v>
      </c>
      <c r="V1454" s="11" t="str">
        <f>INDEX('Lookup 1961'!$A$2:$A$1300, MATCH(S1454, 'Lookup 1961'!$B$2:$B$1300,0))</f>
        <v>J04000067</v>
      </c>
      <c r="W1454" s="11" t="str">
        <f>INDEX('Lookup 1961'!$F$2:$F$1300, MATCH(S1454, 'Lookup 1961'!$B$2:$B$1300,0))</f>
        <v>e451179</v>
      </c>
      <c r="X1454" s="11" t="str">
        <f>INDEX('Lookup 1961'!$C$2:$C$1300, MATCH(V1454, 'Lookup 1961'!$A$2:$A$1300,0))</f>
        <v>North Yorkshire</v>
      </c>
    </row>
    <row r="1455" spans="1:24" ht="25.05" customHeight="1" x14ac:dyDescent="0.3">
      <c r="A1455" s="4" t="s">
        <v>1184</v>
      </c>
      <c r="B1455" s="4" t="s">
        <v>1184</v>
      </c>
      <c r="C1455" s="1">
        <v>20</v>
      </c>
      <c r="D1455" s="1">
        <v>5</v>
      </c>
      <c r="E1455" s="1">
        <v>14</v>
      </c>
      <c r="F1455" s="1">
        <v>7</v>
      </c>
      <c r="G1455" s="1">
        <v>15</v>
      </c>
      <c r="H1455" s="1">
        <v>1</v>
      </c>
      <c r="I1455" s="1">
        <v>14</v>
      </c>
      <c r="J1455" s="1">
        <v>7</v>
      </c>
      <c r="K1455" s="6">
        <v>270</v>
      </c>
      <c r="L1455" s="6">
        <v>61282</v>
      </c>
      <c r="M1455" s="1">
        <v>49.3</v>
      </c>
      <c r="N1455" s="1">
        <v>5</v>
      </c>
      <c r="O1455" s="1">
        <v>10</v>
      </c>
      <c r="P1455" s="1">
        <v>7.3</v>
      </c>
      <c r="Q1455" s="11">
        <f>'Table H'!$J$239</f>
        <v>0.84486298179656438</v>
      </c>
      <c r="R1455" s="11">
        <f t="shared" si="50"/>
        <v>51774.893250457062</v>
      </c>
      <c r="S1455" s="11" t="str">
        <f t="shared" si="51"/>
        <v>Bedale RD</v>
      </c>
      <c r="T1455" s="11" t="s">
        <v>5310</v>
      </c>
      <c r="V1455" s="11" t="str">
        <f>INDEX('Lookup 1961'!$A$2:$A$1300, MATCH(S1455, 'Lookup 1961'!$B$2:$B$1300,0))</f>
        <v>J04000110</v>
      </c>
      <c r="W1455" s="11" t="str">
        <f>INDEX('Lookup 1961'!$F$2:$F$1300, MATCH(S1455, 'Lookup 1961'!$B$2:$B$1300,0))</f>
        <v>e451180</v>
      </c>
      <c r="X1455" s="11" t="str">
        <f>INDEX('Lookup 1961'!$C$2:$C$1300, MATCH(V1455, 'Lookup 1961'!$A$2:$A$1300,0))</f>
        <v>North Yorkshire</v>
      </c>
    </row>
    <row r="1456" spans="1:24" ht="25.05" customHeight="1" x14ac:dyDescent="0.3">
      <c r="A1456" s="4" t="s">
        <v>1185</v>
      </c>
      <c r="B1456" s="4" t="s">
        <v>1185</v>
      </c>
      <c r="C1456" s="1">
        <v>21</v>
      </c>
      <c r="D1456" s="1">
        <v>6</v>
      </c>
      <c r="E1456" s="1">
        <v>15</v>
      </c>
      <c r="F1456" s="1">
        <v>0</v>
      </c>
      <c r="G1456" s="1">
        <v>15</v>
      </c>
      <c r="H1456" s="1">
        <v>2</v>
      </c>
      <c r="I1456" s="1">
        <v>15</v>
      </c>
      <c r="J1456" s="1">
        <v>0</v>
      </c>
      <c r="K1456" s="6">
        <v>53</v>
      </c>
      <c r="L1456" s="6">
        <v>13761</v>
      </c>
      <c r="M1456" s="1">
        <v>34</v>
      </c>
      <c r="N1456" s="1">
        <v>4</v>
      </c>
      <c r="O1456" s="1">
        <v>7</v>
      </c>
      <c r="P1456" s="1">
        <v>5.9</v>
      </c>
      <c r="Q1456" s="11">
        <f>'Table H'!$J$239</f>
        <v>0.84486298179656438</v>
      </c>
      <c r="R1456" s="11">
        <f t="shared" si="50"/>
        <v>11626.159492502522</v>
      </c>
      <c r="S1456" s="11" t="str">
        <f t="shared" si="51"/>
        <v>Croft RD</v>
      </c>
      <c r="T1456" s="11" t="s">
        <v>5310</v>
      </c>
      <c r="V1456" s="11" t="str">
        <f>INDEX('Lookup 1961'!$A$2:$A$1300, MATCH(S1456, 'Lookup 1961'!$B$2:$B$1300,0))</f>
        <v>J04000366</v>
      </c>
      <c r="W1456" s="11" t="str">
        <f>INDEX('Lookup 1961'!$F$2:$F$1300, MATCH(S1456, 'Lookup 1961'!$B$2:$B$1300,0))</f>
        <v>e451181</v>
      </c>
      <c r="X1456" s="11" t="str">
        <f>INDEX('Lookup 1961'!$C$2:$C$1300, MATCH(V1456, 'Lookup 1961'!$A$2:$A$1300,0))</f>
        <v>North Yorkshire</v>
      </c>
    </row>
    <row r="1457" spans="1:24" ht="25.05" customHeight="1" x14ac:dyDescent="0.3">
      <c r="A1457" s="4" t="s">
        <v>1186</v>
      </c>
      <c r="B1457" s="4" t="s">
        <v>1186</v>
      </c>
      <c r="C1457" s="1">
        <v>22</v>
      </c>
      <c r="D1457" s="1">
        <v>8</v>
      </c>
      <c r="E1457" s="1">
        <v>14</v>
      </c>
      <c r="F1457" s="1">
        <v>7</v>
      </c>
      <c r="G1457" s="1">
        <v>15</v>
      </c>
      <c r="H1457" s="1">
        <v>5</v>
      </c>
      <c r="I1457" s="1">
        <v>14</v>
      </c>
      <c r="J1457" s="1">
        <v>7</v>
      </c>
      <c r="K1457" s="6">
        <v>395</v>
      </c>
      <c r="L1457" s="6">
        <v>91221</v>
      </c>
      <c r="M1457" s="1">
        <v>55.2</v>
      </c>
      <c r="N1457" s="1">
        <v>5</v>
      </c>
      <c r="O1457" s="1">
        <v>17</v>
      </c>
      <c r="P1457" s="1">
        <v>11.9</v>
      </c>
      <c r="Q1457" s="11">
        <f>'Table H'!$J$239</f>
        <v>0.84486298179656438</v>
      </c>
      <c r="R1457" s="11">
        <f t="shared" si="50"/>
        <v>77069.246062464401</v>
      </c>
      <c r="S1457" s="11" t="str">
        <f t="shared" si="51"/>
        <v>Easingwold RD</v>
      </c>
      <c r="T1457" s="11" t="s">
        <v>5310</v>
      </c>
      <c r="V1457" s="11" t="str">
        <f>INDEX('Lookup 1961'!$A$2:$A$1300, MATCH(S1457, 'Lookup 1961'!$B$2:$B$1300,0))</f>
        <v>J04000444</v>
      </c>
      <c r="W1457" s="11" t="str">
        <f>INDEX('Lookup 1961'!$F$2:$F$1300, MATCH(S1457, 'Lookup 1961'!$B$2:$B$1300,0))</f>
        <v>e451182</v>
      </c>
      <c r="X1457" s="11" t="str">
        <f>INDEX('Lookup 1961'!$C$2:$C$1300, MATCH(V1457, 'Lookup 1961'!$A$2:$A$1300,0))</f>
        <v>North Yorkshire</v>
      </c>
    </row>
    <row r="1458" spans="1:24" ht="25.05" customHeight="1" x14ac:dyDescent="0.3">
      <c r="A1458" s="4" t="s">
        <v>1187</v>
      </c>
      <c r="B1458" s="4" t="s">
        <v>1187</v>
      </c>
      <c r="C1458" s="1">
        <v>20</v>
      </c>
      <c r="D1458" s="1">
        <v>2</v>
      </c>
      <c r="E1458" s="1">
        <v>13</v>
      </c>
      <c r="F1458" s="1">
        <v>4</v>
      </c>
      <c r="G1458" s="1">
        <v>14</v>
      </c>
      <c r="H1458" s="1">
        <v>0</v>
      </c>
      <c r="I1458" s="1">
        <v>13</v>
      </c>
      <c r="J1458" s="1">
        <v>4</v>
      </c>
      <c r="K1458" s="6">
        <v>720</v>
      </c>
      <c r="L1458" s="6">
        <v>179328</v>
      </c>
      <c r="M1458" s="1">
        <v>43.9</v>
      </c>
      <c r="N1458" s="1">
        <v>5</v>
      </c>
      <c r="O1458" s="1">
        <v>16</v>
      </c>
      <c r="P1458" s="1">
        <v>4.3</v>
      </c>
      <c r="Q1458" s="11">
        <f>'Table H'!$J$239</f>
        <v>0.84486298179656438</v>
      </c>
      <c r="R1458" s="11">
        <f t="shared" si="50"/>
        <v>151507.58879961428</v>
      </c>
      <c r="S1458" s="11" t="str">
        <f t="shared" si="51"/>
        <v>Flaxton RD</v>
      </c>
      <c r="T1458" s="11" t="s">
        <v>5310</v>
      </c>
      <c r="V1458" s="11" t="str">
        <f>INDEX('Lookup 1961'!$A$2:$A$1300, MATCH(S1458, 'Lookup 1961'!$B$2:$B$1300,0))</f>
        <v>J04000506</v>
      </c>
      <c r="W1458" s="11" t="str">
        <f>INDEX('Lookup 1961'!$F$2:$F$1300, MATCH(S1458, 'Lookup 1961'!$B$2:$B$1300,0))</f>
        <v>e451183</v>
      </c>
      <c r="X1458" s="11" t="str">
        <f>INDEX('Lookup 1961'!$C$2:$C$1300, MATCH(V1458, 'Lookup 1961'!$A$2:$A$1300,0))</f>
        <v>North Yorkshire</v>
      </c>
    </row>
    <row r="1459" spans="1:24" ht="25.05" customHeight="1" x14ac:dyDescent="0.3">
      <c r="A1459" s="4" t="s">
        <v>1188</v>
      </c>
      <c r="B1459" s="4" t="s">
        <v>1188</v>
      </c>
      <c r="C1459" s="1">
        <v>24</v>
      </c>
      <c r="D1459" s="1">
        <v>10</v>
      </c>
      <c r="E1459" s="1">
        <v>16</v>
      </c>
      <c r="F1459" s="1">
        <v>3</v>
      </c>
      <c r="G1459" s="1">
        <v>16</v>
      </c>
      <c r="H1459" s="1">
        <v>11</v>
      </c>
      <c r="I1459" s="1">
        <v>16</v>
      </c>
      <c r="J1459" s="1">
        <v>3</v>
      </c>
      <c r="K1459" s="6">
        <v>160</v>
      </c>
      <c r="L1459" s="6">
        <v>42707</v>
      </c>
      <c r="M1459" s="1">
        <v>86.3</v>
      </c>
      <c r="N1459" s="1">
        <v>5</v>
      </c>
      <c r="O1459" s="1">
        <v>15</v>
      </c>
      <c r="P1459" s="1">
        <v>12.8</v>
      </c>
      <c r="Q1459" s="11">
        <f>'Table H'!$J$239</f>
        <v>0.84486298179656438</v>
      </c>
      <c r="R1459" s="11">
        <f t="shared" si="50"/>
        <v>36081.563363585876</v>
      </c>
      <c r="S1459" s="11" t="str">
        <f t="shared" si="51"/>
        <v>Helmsley RD</v>
      </c>
      <c r="T1459" s="11" t="s">
        <v>5310</v>
      </c>
      <c r="V1459" s="11" t="str">
        <f>INDEX('Lookup 1961'!$A$2:$A$1300, MATCH(S1459, 'Lookup 1961'!$B$2:$B$1300,0))</f>
        <v>J04000601</v>
      </c>
      <c r="W1459" s="11" t="str">
        <f>INDEX('Lookup 1961'!$F$2:$F$1300, MATCH(S1459, 'Lookup 1961'!$B$2:$B$1300,0))</f>
        <v>e451184</v>
      </c>
      <c r="X1459" s="11" t="str">
        <f>INDEX('Lookup 1961'!$C$2:$C$1300, MATCH(V1459, 'Lookup 1961'!$A$2:$A$1300,0))</f>
        <v>North Yorkshire</v>
      </c>
    </row>
    <row r="1460" spans="1:24" ht="25.05" customHeight="1" x14ac:dyDescent="0.3">
      <c r="A1460" s="4" t="s">
        <v>1189</v>
      </c>
      <c r="B1460" s="4" t="s">
        <v>5323</v>
      </c>
      <c r="C1460" s="1">
        <v>21</v>
      </c>
      <c r="D1460" s="1">
        <v>8</v>
      </c>
      <c r="E1460" s="1">
        <v>15</v>
      </c>
      <c r="F1460" s="1">
        <v>2</v>
      </c>
      <c r="G1460" s="1">
        <v>15</v>
      </c>
      <c r="H1460" s="1">
        <v>8</v>
      </c>
      <c r="I1460" s="1">
        <v>15</v>
      </c>
      <c r="J1460" s="1">
        <v>2</v>
      </c>
      <c r="K1460" s="6">
        <v>126</v>
      </c>
      <c r="L1460" s="6">
        <v>32028</v>
      </c>
      <c r="M1460" s="1">
        <v>76.400000000000006</v>
      </c>
      <c r="N1460" s="1">
        <v>4</v>
      </c>
      <c r="O1460" s="1">
        <v>17</v>
      </c>
      <c r="P1460" s="1">
        <v>18.8</v>
      </c>
      <c r="Q1460" s="11">
        <f>'Table H'!$J$239</f>
        <v>0.84486298179656438</v>
      </c>
      <c r="R1460" s="11">
        <f t="shared" si="50"/>
        <v>27059.271580980363</v>
      </c>
      <c r="S1460" s="11" t="str">
        <f t="shared" si="51"/>
        <v>Kirkby Moorside RD</v>
      </c>
      <c r="T1460" s="11" t="s">
        <v>5310</v>
      </c>
      <c r="V1460" s="11" t="str">
        <f>INDEX('Lookup 1961'!$A$2:$A$1300, MATCH(S1460, 'Lookup 1961'!$B$2:$B$1300,0))</f>
        <v>J04000706</v>
      </c>
      <c r="W1460" s="11" t="str">
        <f>INDEX('Lookup 1961'!$F$2:$F$1300, MATCH(S1460, 'Lookup 1961'!$B$2:$B$1300,0))</f>
        <v>e451185</v>
      </c>
      <c r="X1460" s="11" t="str">
        <f>INDEX('Lookup 1961'!$C$2:$C$1300, MATCH(V1460, 'Lookup 1961'!$A$2:$A$1300,0))</f>
        <v>North Yorkshire</v>
      </c>
    </row>
    <row r="1461" spans="1:24" ht="25.05" customHeight="1" x14ac:dyDescent="0.3">
      <c r="A1461" s="4" t="s">
        <v>1190</v>
      </c>
      <c r="B1461" s="4" t="s">
        <v>1190</v>
      </c>
      <c r="C1461" s="1">
        <v>21</v>
      </c>
      <c r="D1461" s="1">
        <v>6</v>
      </c>
      <c r="E1461" s="1">
        <v>15</v>
      </c>
      <c r="F1461" s="1">
        <v>4</v>
      </c>
      <c r="G1461" s="1">
        <v>16</v>
      </c>
      <c r="H1461" s="1">
        <v>4</v>
      </c>
      <c r="I1461" s="1">
        <v>15</v>
      </c>
      <c r="J1461" s="1">
        <v>4</v>
      </c>
      <c r="K1461" s="6">
        <v>190</v>
      </c>
      <c r="L1461" s="6">
        <v>49735</v>
      </c>
      <c r="M1461" s="1">
        <v>63.4</v>
      </c>
      <c r="N1461" s="1">
        <v>5</v>
      </c>
      <c r="O1461" s="1">
        <v>15</v>
      </c>
      <c r="P1461" s="1">
        <v>14.6</v>
      </c>
      <c r="Q1461" s="11">
        <f>'Table H'!$J$239</f>
        <v>0.84486298179656438</v>
      </c>
      <c r="R1461" s="11">
        <f t="shared" si="50"/>
        <v>42019.260399652128</v>
      </c>
      <c r="S1461" s="11" t="str">
        <f t="shared" si="51"/>
        <v>Leyburn RD</v>
      </c>
      <c r="T1461" s="11" t="s">
        <v>5310</v>
      </c>
      <c r="V1461" s="11" t="str">
        <f>INDEX('Lookup 1961'!$A$2:$A$1300, MATCH(S1461, 'Lookup 1961'!$B$2:$B$1300,0))</f>
        <v>J04000741</v>
      </c>
      <c r="W1461" s="11" t="str">
        <f>INDEX('Lookup 1961'!$F$2:$F$1300, MATCH(S1461, 'Lookup 1961'!$B$2:$B$1300,0))</f>
        <v>e451186</v>
      </c>
      <c r="X1461" s="11" t="str">
        <f>INDEX('Lookup 1961'!$C$2:$C$1300, MATCH(V1461, 'Lookup 1961'!$A$2:$A$1300,0))</f>
        <v>North Yorkshire</v>
      </c>
    </row>
    <row r="1462" spans="1:24" ht="25.05" customHeight="1" x14ac:dyDescent="0.3">
      <c r="A1462" s="4" t="s">
        <v>887</v>
      </c>
      <c r="B1462" s="4" t="s">
        <v>887</v>
      </c>
      <c r="C1462" s="1">
        <v>24</v>
      </c>
      <c r="D1462" s="1">
        <v>0</v>
      </c>
      <c r="E1462" s="1">
        <v>15</v>
      </c>
      <c r="F1462" s="1">
        <v>9</v>
      </c>
      <c r="G1462" s="1">
        <v>16</v>
      </c>
      <c r="H1462" s="1">
        <v>3</v>
      </c>
      <c r="I1462" s="1">
        <v>14</v>
      </c>
      <c r="J1462" s="1">
        <v>9</v>
      </c>
      <c r="K1462" s="6">
        <v>135</v>
      </c>
      <c r="L1462" s="6">
        <v>34688</v>
      </c>
      <c r="M1462" s="1">
        <v>70.400000000000006</v>
      </c>
      <c r="N1462" s="1">
        <v>4</v>
      </c>
      <c r="O1462" s="1">
        <v>18</v>
      </c>
      <c r="P1462" s="1">
        <v>14.8</v>
      </c>
      <c r="Q1462" s="11">
        <f>'Table H'!$J$239</f>
        <v>0.84486298179656438</v>
      </c>
      <c r="R1462" s="11">
        <f t="shared" si="50"/>
        <v>29306.607112559224</v>
      </c>
      <c r="S1462" s="11" t="str">
        <f t="shared" si="51"/>
        <v>Malton RD</v>
      </c>
      <c r="T1462" s="11" t="s">
        <v>5310</v>
      </c>
      <c r="V1462" s="11" t="str">
        <f>INDEX('Lookup 1961'!$A$2:$A$1300, MATCH(S1462, 'Lookup 1961'!$B$2:$B$1300,0))</f>
        <v>J04000818</v>
      </c>
      <c r="W1462" s="11" t="str">
        <f>INDEX('Lookup 1961'!$F$2:$F$1300, MATCH(S1462, 'Lookup 1961'!$B$2:$B$1300,0))</f>
        <v>e451187</v>
      </c>
      <c r="X1462" s="11" t="str">
        <f>INDEX('Lookup 1961'!$C$2:$C$1300, MATCH(V1462, 'Lookup 1961'!$A$2:$A$1300,0))</f>
        <v>North Yorkshire</v>
      </c>
    </row>
    <row r="1463" spans="1:24" ht="25.05" customHeight="1" x14ac:dyDescent="0.3">
      <c r="A1463" s="4" t="s">
        <v>1191</v>
      </c>
      <c r="B1463" s="4" t="s">
        <v>1191</v>
      </c>
      <c r="C1463" s="1">
        <v>18</v>
      </c>
      <c r="D1463" s="1">
        <v>10</v>
      </c>
      <c r="E1463" s="1">
        <v>13</v>
      </c>
      <c r="F1463" s="1">
        <v>4</v>
      </c>
      <c r="G1463" s="1">
        <v>13</v>
      </c>
      <c r="H1463" s="1">
        <v>4</v>
      </c>
      <c r="I1463" s="1">
        <v>13</v>
      </c>
      <c r="J1463" s="1">
        <v>4</v>
      </c>
      <c r="K1463" s="6">
        <v>138</v>
      </c>
      <c r="L1463" s="6">
        <v>34789</v>
      </c>
      <c r="M1463" s="1">
        <v>58.1</v>
      </c>
      <c r="N1463" s="1">
        <v>13</v>
      </c>
      <c r="O1463" s="1">
        <v>18</v>
      </c>
      <c r="P1463" s="1">
        <v>11.4</v>
      </c>
      <c r="Q1463" s="11">
        <f>'Table H'!$J$239</f>
        <v>0.84486298179656438</v>
      </c>
      <c r="R1463" s="11">
        <f t="shared" si="50"/>
        <v>29391.93827372068</v>
      </c>
      <c r="S1463" s="11" t="str">
        <f t="shared" si="51"/>
        <v>Masham RD</v>
      </c>
      <c r="T1463" s="11" t="s">
        <v>5310</v>
      </c>
      <c r="V1463" s="11" t="str">
        <f>INDEX('Lookup 1961'!$A$2:$A$1300, MATCH(S1463, 'Lookup 1961'!$B$2:$B$1300,0))</f>
        <v>J04000839</v>
      </c>
      <c r="W1463" s="11" t="str">
        <f>INDEX('Lookup 1961'!$F$2:$F$1300, MATCH(S1463, 'Lookup 1961'!$B$2:$B$1300,0))</f>
        <v>e451188</v>
      </c>
      <c r="X1463" s="11" t="str">
        <f>INDEX('Lookup 1961'!$C$2:$C$1300, MATCH(V1463, 'Lookup 1961'!$A$2:$A$1300,0))</f>
        <v>North Yorkshire</v>
      </c>
    </row>
    <row r="1464" spans="1:24" ht="25.05" customHeight="1" x14ac:dyDescent="0.3">
      <c r="A1464" s="4" t="s">
        <v>888</v>
      </c>
      <c r="B1464" s="4" t="s">
        <v>888</v>
      </c>
      <c r="C1464" s="1">
        <v>32</v>
      </c>
      <c r="D1464" s="1">
        <v>4</v>
      </c>
      <c r="E1464" s="1">
        <v>20</v>
      </c>
      <c r="F1464" s="1">
        <v>2</v>
      </c>
      <c r="G1464" s="1">
        <v>21</v>
      </c>
      <c r="H1464" s="1">
        <v>10</v>
      </c>
      <c r="I1464" s="1">
        <v>20</v>
      </c>
      <c r="J1464" s="1">
        <v>0</v>
      </c>
      <c r="K1464" s="6">
        <v>285</v>
      </c>
      <c r="L1464" s="6">
        <v>75723</v>
      </c>
      <c r="M1464" s="1">
        <v>100.1</v>
      </c>
      <c r="N1464" s="1">
        <v>9</v>
      </c>
      <c r="O1464" s="1">
        <v>5</v>
      </c>
      <c r="P1464" s="1">
        <v>28</v>
      </c>
      <c r="Q1464" s="11">
        <f>'Table H'!$J$239</f>
        <v>0.84486298179656438</v>
      </c>
      <c r="R1464" s="11">
        <f t="shared" si="50"/>
        <v>63975.559570581245</v>
      </c>
      <c r="S1464" s="11" t="str">
        <f t="shared" si="51"/>
        <v>Northallerton RD</v>
      </c>
      <c r="T1464" s="11" t="s">
        <v>5310</v>
      </c>
      <c r="V1464" s="11" t="str">
        <f>INDEX('Lookup 1961'!$A$2:$A$1300, MATCH(S1464, 'Lookup 1961'!$B$2:$B$1300,0))</f>
        <v>J04000929</v>
      </c>
      <c r="W1464" s="11" t="str">
        <f>INDEX('Lookup 1961'!$F$2:$F$1300, MATCH(S1464, 'Lookup 1961'!$B$2:$B$1300,0))</f>
        <v>e451189</v>
      </c>
      <c r="X1464" s="11" t="str">
        <f>INDEX('Lookup 1961'!$C$2:$C$1300, MATCH(V1464, 'Lookup 1961'!$A$2:$A$1300,0))</f>
        <v>North Yorkshire</v>
      </c>
    </row>
    <row r="1465" spans="1:24" ht="25.05" customHeight="1" x14ac:dyDescent="0.3">
      <c r="A1465" s="4" t="s">
        <v>889</v>
      </c>
      <c r="B1465" s="4" t="s">
        <v>889</v>
      </c>
      <c r="C1465" s="1">
        <v>22</v>
      </c>
      <c r="D1465" s="1">
        <v>6</v>
      </c>
      <c r="E1465" s="1">
        <v>15</v>
      </c>
      <c r="F1465" s="1">
        <v>10</v>
      </c>
      <c r="G1465" s="1">
        <v>16</v>
      </c>
      <c r="H1465" s="1">
        <v>4</v>
      </c>
      <c r="I1465" s="1">
        <v>15</v>
      </c>
      <c r="J1465" s="1">
        <v>10</v>
      </c>
      <c r="K1465" s="6">
        <v>126</v>
      </c>
      <c r="L1465" s="6">
        <v>32536</v>
      </c>
      <c r="M1465" s="1">
        <v>70.2</v>
      </c>
      <c r="N1465" s="1">
        <v>4</v>
      </c>
      <c r="O1465" s="1">
        <v>18</v>
      </c>
      <c r="P1465" s="1">
        <v>19.7</v>
      </c>
      <c r="Q1465" s="11">
        <f>'Table H'!$J$239</f>
        <v>0.84486298179656438</v>
      </c>
      <c r="R1465" s="11">
        <f t="shared" si="50"/>
        <v>27488.461975733018</v>
      </c>
      <c r="S1465" s="11" t="str">
        <f t="shared" si="51"/>
        <v>Pickering RD</v>
      </c>
      <c r="T1465" s="11" t="s">
        <v>5310</v>
      </c>
      <c r="V1465" s="11" t="str">
        <f>INDEX('Lookup 1961'!$A$2:$A$1300, MATCH(S1465, 'Lookup 1961'!$B$2:$B$1300,0))</f>
        <v>J04000993</v>
      </c>
      <c r="W1465" s="11" t="str">
        <f>INDEX('Lookup 1961'!$F$2:$F$1300, MATCH(S1465, 'Lookup 1961'!$B$2:$B$1300,0))</f>
        <v>e451190</v>
      </c>
      <c r="X1465" s="11" t="str">
        <f>INDEX('Lookup 1961'!$C$2:$C$1300, MATCH(V1465, 'Lookup 1961'!$A$2:$A$1300,0))</f>
        <v>North Yorkshire</v>
      </c>
    </row>
    <row r="1466" spans="1:24" ht="25.05" customHeight="1" x14ac:dyDescent="0.3">
      <c r="A1466" s="4" t="s">
        <v>1192</v>
      </c>
      <c r="B1466" s="4" t="s">
        <v>1192</v>
      </c>
      <c r="C1466" s="1">
        <v>21</v>
      </c>
      <c r="D1466" s="1">
        <v>10</v>
      </c>
      <c r="E1466" s="1">
        <v>15</v>
      </c>
      <c r="F1466" s="1">
        <v>4</v>
      </c>
      <c r="G1466" s="1">
        <v>16</v>
      </c>
      <c r="H1466" s="1">
        <v>4</v>
      </c>
      <c r="I1466" s="1">
        <v>15</v>
      </c>
      <c r="J1466" s="1">
        <v>4</v>
      </c>
      <c r="K1466" s="6">
        <v>52</v>
      </c>
      <c r="L1466" s="6">
        <v>14116</v>
      </c>
      <c r="M1466" s="1">
        <v>65</v>
      </c>
      <c r="N1466" s="1">
        <v>5</v>
      </c>
      <c r="O1466" s="1">
        <v>5</v>
      </c>
      <c r="P1466" s="1">
        <v>11.9</v>
      </c>
      <c r="Q1466" s="11">
        <f>'Table H'!$J$239</f>
        <v>0.84486298179656438</v>
      </c>
      <c r="R1466" s="11">
        <f t="shared" si="50"/>
        <v>11926.085851040303</v>
      </c>
      <c r="S1466" s="11" t="str">
        <f t="shared" si="51"/>
        <v>Reeth RD</v>
      </c>
      <c r="T1466" s="11" t="s">
        <v>5310</v>
      </c>
      <c r="V1466" s="11" t="str">
        <f>INDEX('Lookup 1961'!$A$2:$A$1300, MATCH(S1466, 'Lookup 1961'!$B$2:$B$1300,0))</f>
        <v>J04001039</v>
      </c>
      <c r="W1466" s="11" t="str">
        <f>INDEX('Lookup 1961'!$F$2:$F$1300, MATCH(S1466, 'Lookup 1961'!$B$2:$B$1300,0))</f>
        <v>e451191</v>
      </c>
      <c r="X1466" s="11" t="str">
        <f>INDEX('Lookup 1961'!$C$2:$C$1300, MATCH(V1466, 'Lookup 1961'!$A$2:$A$1300,0))</f>
        <v>North Yorkshire</v>
      </c>
    </row>
    <row r="1467" spans="1:24" ht="25.05" customHeight="1" x14ac:dyDescent="0.3">
      <c r="A1467" s="4" t="s">
        <v>789</v>
      </c>
      <c r="B1467" s="4" t="s">
        <v>789</v>
      </c>
      <c r="C1467" s="1">
        <v>20</v>
      </c>
      <c r="D1467" s="1">
        <v>1</v>
      </c>
      <c r="E1467" s="1">
        <v>13</v>
      </c>
      <c r="F1467" s="1">
        <v>4</v>
      </c>
      <c r="G1467" s="1">
        <v>13</v>
      </c>
      <c r="H1467" s="1">
        <v>10</v>
      </c>
      <c r="I1467" s="1">
        <v>13</v>
      </c>
      <c r="J1467" s="1">
        <v>2</v>
      </c>
      <c r="K1467" s="6">
        <v>835</v>
      </c>
      <c r="L1467" s="6">
        <v>176560</v>
      </c>
      <c r="M1467" s="1">
        <v>27.8</v>
      </c>
      <c r="N1467" s="1">
        <v>3</v>
      </c>
      <c r="O1467" s="1">
        <v>19</v>
      </c>
      <c r="P1467" s="1">
        <v>16.899999999999999</v>
      </c>
      <c r="Q1467" s="11">
        <f>'Table H'!$J$239</f>
        <v>0.84486298179656438</v>
      </c>
      <c r="R1467" s="11">
        <f t="shared" si="50"/>
        <v>149169.00806600141</v>
      </c>
      <c r="S1467" s="11" t="str">
        <f t="shared" si="51"/>
        <v>Richmond RD</v>
      </c>
      <c r="T1467" s="11" t="s">
        <v>5310</v>
      </c>
      <c r="V1467" s="11" t="str">
        <f>INDEX('Lookup 1961'!$A$2:$A$1300, MATCH(S1467, 'Lookup 1961'!$B$2:$B$1300,0))</f>
        <v>J04001048</v>
      </c>
      <c r="W1467" s="11" t="str">
        <f>INDEX('Lookup 1961'!$F$2:$F$1300, MATCH(S1467, 'Lookup 1961'!$B$2:$B$1300,0))</f>
        <v>e451192</v>
      </c>
      <c r="X1467" s="11" t="str">
        <f>INDEX('Lookup 1961'!$C$2:$C$1300, MATCH(V1467, 'Lookup 1961'!$A$2:$A$1300,0))</f>
        <v>North Yorkshire</v>
      </c>
    </row>
    <row r="1468" spans="1:24" ht="25.05" customHeight="1" x14ac:dyDescent="0.3">
      <c r="A1468" s="4" t="s">
        <v>882</v>
      </c>
      <c r="B1468" s="4" t="s">
        <v>882</v>
      </c>
      <c r="C1468" s="1">
        <v>22</v>
      </c>
      <c r="D1468" s="1">
        <v>0</v>
      </c>
      <c r="E1468" s="1">
        <v>15</v>
      </c>
      <c r="F1468" s="1">
        <v>0</v>
      </c>
      <c r="G1468" s="1">
        <v>15</v>
      </c>
      <c r="H1468" s="1">
        <v>8</v>
      </c>
      <c r="I1468" s="1">
        <v>15</v>
      </c>
      <c r="J1468" s="1">
        <v>0</v>
      </c>
      <c r="K1468" s="6">
        <v>267</v>
      </c>
      <c r="L1468" s="6">
        <v>68845</v>
      </c>
      <c r="M1468" s="1">
        <v>41.1</v>
      </c>
      <c r="N1468" s="1">
        <v>6</v>
      </c>
      <c r="O1468" s="1">
        <v>12</v>
      </c>
      <c r="P1468" s="1">
        <v>5.7</v>
      </c>
      <c r="Q1468" s="11">
        <f>'Table H'!$J$239</f>
        <v>0.84486298179656438</v>
      </c>
      <c r="R1468" s="11">
        <f t="shared" si="50"/>
        <v>58164.591981784477</v>
      </c>
      <c r="S1468" s="11" t="str">
        <f t="shared" si="51"/>
        <v>Scarborough RD</v>
      </c>
      <c r="T1468" s="11" t="s">
        <v>5310</v>
      </c>
      <c r="V1468" s="11" t="str">
        <f>INDEX('Lookup 1961'!$A$2:$A$1300, MATCH(S1468, 'Lookup 1961'!$B$2:$B$1300,0))</f>
        <v>J04001108</v>
      </c>
      <c r="W1468" s="11" t="str">
        <f>INDEX('Lookup 1961'!$F$2:$F$1300, MATCH(S1468, 'Lookup 1961'!$B$2:$B$1300,0))</f>
        <v>e451193</v>
      </c>
      <c r="X1468" s="11" t="str">
        <f>INDEX('Lookup 1961'!$C$2:$C$1300, MATCH(V1468, 'Lookup 1961'!$A$2:$A$1300,0))</f>
        <v>North Yorkshire</v>
      </c>
    </row>
    <row r="1469" spans="1:24" ht="25.05" customHeight="1" x14ac:dyDescent="0.3">
      <c r="A1469" s="4" t="s">
        <v>1193</v>
      </c>
      <c r="B1469" s="4" t="s">
        <v>1193</v>
      </c>
      <c r="C1469" s="1">
        <v>21</v>
      </c>
      <c r="D1469" s="1">
        <v>0</v>
      </c>
      <c r="E1469" s="1">
        <v>14</v>
      </c>
      <c r="F1469" s="1">
        <v>6</v>
      </c>
      <c r="G1469" s="1">
        <v>14</v>
      </c>
      <c r="H1469" s="1">
        <v>8</v>
      </c>
      <c r="I1469" s="1">
        <v>14</v>
      </c>
      <c r="J1469" s="1">
        <v>6</v>
      </c>
      <c r="K1469" s="6">
        <v>280</v>
      </c>
      <c r="L1469" s="6">
        <v>70339</v>
      </c>
      <c r="M1469" s="1">
        <v>38.6</v>
      </c>
      <c r="N1469" s="1">
        <v>9</v>
      </c>
      <c r="O1469" s="1">
        <v>8</v>
      </c>
      <c r="P1469" s="1">
        <v>10.1</v>
      </c>
      <c r="Q1469" s="11">
        <f>'Table H'!$J$239</f>
        <v>0.84486298179656438</v>
      </c>
      <c r="R1469" s="11">
        <f t="shared" si="50"/>
        <v>59426.817276588539</v>
      </c>
      <c r="S1469" s="11" t="str">
        <f t="shared" si="51"/>
        <v>Startforth RD</v>
      </c>
      <c r="T1469" s="11" t="s">
        <v>5310</v>
      </c>
      <c r="V1469" s="11" t="str">
        <f>INDEX('Lookup 1961'!$A$2:$A$1300, MATCH(S1469, 'Lookup 1961'!$B$2:$B$1300,0))</f>
        <v>J04001204</v>
      </c>
      <c r="W1469" s="11" t="str">
        <f>INDEX('Lookup 1961'!$F$2:$F$1300, MATCH(S1469, 'Lookup 1961'!$B$2:$B$1300,0))</f>
        <v>e451194</v>
      </c>
      <c r="X1469" s="11" t="str">
        <f>INDEX('Lookup 1961'!$C$2:$C$1300, MATCH(V1469, 'Lookup 1961'!$A$2:$A$1300,0))</f>
        <v>Durham</v>
      </c>
    </row>
    <row r="1470" spans="1:24" ht="25.05" customHeight="1" x14ac:dyDescent="0.3">
      <c r="A1470" s="4" t="s">
        <v>1194</v>
      </c>
      <c r="B1470" s="4" t="s">
        <v>1194</v>
      </c>
      <c r="C1470" s="1">
        <v>24</v>
      </c>
      <c r="D1470" s="1">
        <v>0</v>
      </c>
      <c r="E1470" s="1">
        <v>16</v>
      </c>
      <c r="F1470" s="1">
        <v>0</v>
      </c>
      <c r="G1470" s="1">
        <v>16</v>
      </c>
      <c r="H1470" s="1">
        <v>6</v>
      </c>
      <c r="I1470" s="1">
        <v>16</v>
      </c>
      <c r="J1470" s="1">
        <v>0</v>
      </c>
      <c r="K1470" s="6">
        <v>600</v>
      </c>
      <c r="L1470" s="6">
        <v>161886</v>
      </c>
      <c r="M1470" s="1">
        <v>64.8</v>
      </c>
      <c r="N1470" s="1">
        <v>6</v>
      </c>
      <c r="O1470" s="1">
        <v>16</v>
      </c>
      <c r="P1470" s="1">
        <v>7.3</v>
      </c>
      <c r="Q1470" s="11">
        <f>'Table H'!$J$239</f>
        <v>0.84486298179656438</v>
      </c>
      <c r="R1470" s="11">
        <f t="shared" si="50"/>
        <v>136771.48867111863</v>
      </c>
      <c r="S1470" s="11" t="str">
        <f t="shared" si="51"/>
        <v>Stokesley RD</v>
      </c>
      <c r="T1470" s="11" t="s">
        <v>5310</v>
      </c>
      <c r="V1470" s="11" t="str">
        <f>INDEX('Lookup 1961'!$A$2:$A$1300, MATCH(S1470, 'Lookup 1961'!$B$2:$B$1300,0))</f>
        <v>J04001214</v>
      </c>
      <c r="W1470" s="11" t="str">
        <f>INDEX('Lookup 1961'!$F$2:$F$1300, MATCH(S1470, 'Lookup 1961'!$B$2:$B$1300,0))</f>
        <v>e451195</v>
      </c>
      <c r="X1470" s="11" t="str">
        <f>INDEX('Lookup 1961'!$C$2:$C$1300, MATCH(V1470, 'Lookup 1961'!$A$2:$A$1300,0))</f>
        <v>Cleveland</v>
      </c>
    </row>
    <row r="1471" spans="1:24" ht="25.05" customHeight="1" x14ac:dyDescent="0.3">
      <c r="A1471" s="4" t="s">
        <v>1195</v>
      </c>
      <c r="B1471" s="4" t="s">
        <v>1195</v>
      </c>
      <c r="C1471" s="1">
        <v>22</v>
      </c>
      <c r="D1471" s="1">
        <v>2</v>
      </c>
      <c r="E1471" s="1">
        <v>15</v>
      </c>
      <c r="F1471" s="1">
        <v>8</v>
      </c>
      <c r="G1471" s="1">
        <v>16</v>
      </c>
      <c r="H1471" s="1">
        <v>6</v>
      </c>
      <c r="I1471" s="1">
        <v>15</v>
      </c>
      <c r="J1471" s="1">
        <v>0</v>
      </c>
      <c r="K1471" s="6">
        <v>485</v>
      </c>
      <c r="L1471" s="6">
        <v>113720</v>
      </c>
      <c r="M1471" s="1">
        <v>48.3</v>
      </c>
      <c r="N1471" s="1">
        <v>6</v>
      </c>
      <c r="O1471" s="1">
        <v>1</v>
      </c>
      <c r="P1471" s="1">
        <v>4</v>
      </c>
      <c r="Q1471" s="11">
        <f>'Table H'!$J$239</f>
        <v>0.84486298179656438</v>
      </c>
      <c r="R1471" s="11">
        <f t="shared" si="50"/>
        <v>96077.818289905306</v>
      </c>
      <c r="S1471" s="11" t="str">
        <f t="shared" si="51"/>
        <v>Thirsk RD</v>
      </c>
      <c r="T1471" s="11" t="s">
        <v>5310</v>
      </c>
      <c r="V1471" s="11" t="str">
        <f>INDEX('Lookup 1961'!$A$2:$A$1300, MATCH(S1471, 'Lookup 1961'!$B$2:$B$1300,0))</f>
        <v>J04001269</v>
      </c>
      <c r="W1471" s="11" t="str">
        <f>INDEX('Lookup 1961'!$F$2:$F$1300, MATCH(S1471, 'Lookup 1961'!$B$2:$B$1300,0))</f>
        <v>e451196</v>
      </c>
      <c r="X1471" s="11" t="str">
        <f>INDEX('Lookup 1961'!$C$2:$C$1300, MATCH(V1471, 'Lookup 1961'!$A$2:$A$1300,0))</f>
        <v>North Yorkshire</v>
      </c>
    </row>
    <row r="1472" spans="1:24" ht="25.05" customHeight="1" x14ac:dyDescent="0.3">
      <c r="A1472" s="4" t="s">
        <v>1196</v>
      </c>
      <c r="B1472" s="4" t="s">
        <v>1196</v>
      </c>
      <c r="C1472" s="1">
        <v>20</v>
      </c>
      <c r="D1472" s="1">
        <v>5</v>
      </c>
      <c r="E1472" s="1">
        <v>13</v>
      </c>
      <c r="F1472" s="1">
        <v>11</v>
      </c>
      <c r="G1472" s="1">
        <v>14</v>
      </c>
      <c r="H1472" s="1">
        <v>2</v>
      </c>
      <c r="I1472" s="1">
        <v>13</v>
      </c>
      <c r="J1472" s="1">
        <v>11</v>
      </c>
      <c r="K1472" s="6">
        <v>140</v>
      </c>
      <c r="L1472" s="6">
        <v>28257</v>
      </c>
      <c r="M1472" s="1">
        <v>20.5</v>
      </c>
      <c r="N1472" s="1">
        <v>5</v>
      </c>
      <c r="O1472" s="1">
        <v>3</v>
      </c>
      <c r="P1472" s="1">
        <v>24.3</v>
      </c>
      <c r="Q1472" s="11">
        <f>'Table H'!$J$239</f>
        <v>0.84486298179656438</v>
      </c>
      <c r="R1472" s="11">
        <f t="shared" si="50"/>
        <v>23873.293276625518</v>
      </c>
      <c r="S1472" s="11" t="str">
        <f t="shared" si="51"/>
        <v>Wath RD</v>
      </c>
      <c r="T1472" s="11" t="s">
        <v>5310</v>
      </c>
      <c r="V1472" s="11" t="str">
        <f>INDEX('Lookup 1961'!$A$2:$A$1300, MATCH(S1472, 'Lookup 1961'!$B$2:$B$1300,0))</f>
        <v>J04001355</v>
      </c>
      <c r="W1472" s="11" t="str">
        <f>INDEX('Lookup 1961'!$F$2:$F$1300, MATCH(S1472, 'Lookup 1961'!$B$2:$B$1300,0))</f>
        <v>e451197</v>
      </c>
      <c r="X1472" s="11" t="str">
        <f>INDEX('Lookup 1961'!$C$2:$C$1300, MATCH(V1472, 'Lookup 1961'!$A$2:$A$1300,0))</f>
        <v>North Yorkshire</v>
      </c>
    </row>
    <row r="1473" spans="1:24" ht="25.05" customHeight="1" x14ac:dyDescent="0.3">
      <c r="A1473" s="4" t="s">
        <v>893</v>
      </c>
      <c r="B1473" s="4" t="s">
        <v>893</v>
      </c>
      <c r="C1473" s="1">
        <v>26</v>
      </c>
      <c r="D1473" s="1">
        <v>0</v>
      </c>
      <c r="E1473" s="1">
        <v>17</v>
      </c>
      <c r="F1473" s="1">
        <v>6</v>
      </c>
      <c r="G1473" s="1">
        <v>17</v>
      </c>
      <c r="H1473" s="1">
        <v>8</v>
      </c>
      <c r="I1473" s="1">
        <v>17</v>
      </c>
      <c r="J1473" s="1">
        <v>6</v>
      </c>
      <c r="K1473" s="6">
        <v>386</v>
      </c>
      <c r="L1473" s="6">
        <v>100877</v>
      </c>
      <c r="M1473" s="1">
        <v>65.3</v>
      </c>
      <c r="N1473" s="1">
        <v>7</v>
      </c>
      <c r="O1473" s="1">
        <v>4</v>
      </c>
      <c r="P1473" s="1">
        <v>11.2</v>
      </c>
      <c r="Q1473" s="11">
        <f>'Table H'!$J$239</f>
        <v>0.84486298179656438</v>
      </c>
      <c r="R1473" s="11">
        <f t="shared" si="50"/>
        <v>85227.243014692023</v>
      </c>
      <c r="S1473" s="11" t="str">
        <f t="shared" si="51"/>
        <v>Whitby RD</v>
      </c>
      <c r="T1473" s="11" t="s">
        <v>5310</v>
      </c>
      <c r="V1473" s="11" t="str">
        <f>INDEX('Lookup 1961'!$A$2:$A$1300, MATCH(S1473, 'Lookup 1961'!$B$2:$B$1300,0))</f>
        <v>J04001399</v>
      </c>
      <c r="W1473" s="11" t="str">
        <f>INDEX('Lookup 1961'!$F$2:$F$1300, MATCH(S1473, 'Lookup 1961'!$B$2:$B$1300,0))</f>
        <v>e451198</v>
      </c>
      <c r="X1473" s="11" t="str">
        <f>INDEX('Lookup 1961'!$C$2:$C$1300, MATCH(V1473, 'Lookup 1961'!$A$2:$A$1300,0))</f>
        <v>North Yorkshire</v>
      </c>
    </row>
    <row r="1474" spans="1:24" ht="25.05" customHeight="1" x14ac:dyDescent="0.3">
      <c r="A1474" s="4" t="s">
        <v>894</v>
      </c>
      <c r="B1474" s="4" t="s">
        <v>894</v>
      </c>
      <c r="S1474" s="11" t="str">
        <f t="shared" si="51"/>
        <v>YORK, WEST RIDING: RD</v>
      </c>
      <c r="T1474" s="11" t="s">
        <v>5310</v>
      </c>
      <c r="V1474" s="11" t="e">
        <f>INDEX('Lookup 1961'!$A$2:$A$1300, MATCH(S1474, 'Lookup 1961'!$B$2:$B$1300,0))</f>
        <v>#N/A</v>
      </c>
      <c r="W1474" s="11" t="e">
        <f>INDEX('Lookup 1961'!$F$2:$F$1300, MATCH(S1474, 'Lookup 1961'!$B$2:$B$1300,0))</f>
        <v>#N/A</v>
      </c>
      <c r="X1474" s="11" t="e">
        <f>INDEX('Lookup 1961'!$C$2:$C$1300, MATCH(V1474, 'Lookup 1961'!$A$2:$A$1300,0))</f>
        <v>#N/A</v>
      </c>
    </row>
    <row r="1475" spans="1:24" ht="25.05" customHeight="1" x14ac:dyDescent="0.3">
      <c r="A1475" s="4" t="s">
        <v>1197</v>
      </c>
      <c r="B1475" s="4" t="s">
        <v>1197</v>
      </c>
      <c r="C1475" s="1">
        <v>20</v>
      </c>
      <c r="D1475" s="1">
        <v>0</v>
      </c>
      <c r="E1475" s="1">
        <v>15</v>
      </c>
      <c r="F1475" s="1">
        <v>0</v>
      </c>
      <c r="G1475" s="1">
        <v>15</v>
      </c>
      <c r="H1475" s="1">
        <v>6</v>
      </c>
      <c r="I1475" s="1">
        <v>15</v>
      </c>
      <c r="J1475" s="1">
        <v>0</v>
      </c>
      <c r="K1475" s="6">
        <v>285</v>
      </c>
      <c r="L1475" s="6">
        <v>73429</v>
      </c>
      <c r="M1475" s="1">
        <v>90.6</v>
      </c>
      <c r="N1475" s="1">
        <v>10</v>
      </c>
      <c r="O1475" s="1">
        <v>19</v>
      </c>
      <c r="P1475" s="1">
        <v>41.9</v>
      </c>
      <c r="Q1475" s="11">
        <f>'Table H'!$J$244</f>
        <v>0.84492683621770548</v>
      </c>
      <c r="R1475" s="11">
        <f t="shared" si="50"/>
        <v>62042.132656629896</v>
      </c>
      <c r="S1475" s="11" t="str">
        <f t="shared" si="51"/>
        <v>Bowland RD</v>
      </c>
      <c r="T1475" s="11" t="s">
        <v>5310</v>
      </c>
      <c r="V1475" s="11" t="str">
        <f>INDEX('Lookup 1961'!$A$2:$A$1300, MATCH(S1475, 'Lookup 1961'!$B$2:$B$1300,0))</f>
        <v>J04000181</v>
      </c>
      <c r="W1475" s="11" t="str">
        <f>INDEX('Lookup 1961'!$F$2:$F$1300, MATCH(S1475, 'Lookup 1961'!$B$2:$B$1300,0))</f>
        <v>e461278</v>
      </c>
      <c r="X1475" s="11" t="str">
        <f>INDEX('Lookup 1961'!$C$2:$C$1300, MATCH(V1475, 'Lookup 1961'!$A$2:$A$1300,0))</f>
        <v>Lancashire</v>
      </c>
    </row>
    <row r="1476" spans="1:24" ht="25.05" customHeight="1" x14ac:dyDescent="0.3">
      <c r="A1476" s="4" t="s">
        <v>1198</v>
      </c>
      <c r="B1476" s="4" t="s">
        <v>90</v>
      </c>
      <c r="C1476" s="1">
        <v>22</v>
      </c>
      <c r="D1476" s="1">
        <v>11</v>
      </c>
      <c r="E1476" s="1">
        <v>14</v>
      </c>
      <c r="F1476" s="1">
        <v>11</v>
      </c>
      <c r="G1476" s="1">
        <v>15</v>
      </c>
      <c r="H1476" s="1">
        <v>11</v>
      </c>
      <c r="I1476" s="1">
        <v>14</v>
      </c>
      <c r="J1476" s="1">
        <v>11</v>
      </c>
      <c r="K1476" s="6">
        <v>1881</v>
      </c>
      <c r="L1476" s="6">
        <v>491263</v>
      </c>
      <c r="M1476" s="1">
        <v>68.5</v>
      </c>
      <c r="N1476" s="1">
        <v>6</v>
      </c>
      <c r="O1476" s="1">
        <v>4</v>
      </c>
      <c r="P1476" s="1">
        <v>9.5</v>
      </c>
      <c r="Q1476" s="11">
        <f>'Table H'!$J$244</f>
        <v>0.84492683621770548</v>
      </c>
      <c r="R1476" s="11">
        <f t="shared" si="50"/>
        <v>415081.29234081862</v>
      </c>
      <c r="S1476" s="11" t="str">
        <f t="shared" si="51"/>
        <v>Doncaster RD</v>
      </c>
      <c r="T1476" s="11" t="s">
        <v>5310</v>
      </c>
      <c r="V1476" s="11" t="str">
        <f>INDEX('Lookup 1961'!$A$2:$A$1300, MATCH(S1476, 'Lookup 1961'!$B$2:$B$1300,0))</f>
        <v>J04000415</v>
      </c>
      <c r="W1476" s="11" t="str">
        <f>INDEX('Lookup 1961'!$F$2:$F$1300, MATCH(S1476, 'Lookup 1961'!$B$2:$B$1300,0))</f>
        <v>e461279</v>
      </c>
      <c r="X1476" s="11" t="str">
        <f>INDEX('Lookup 1961'!$C$2:$C$1300, MATCH(V1476, 'Lookup 1961'!$A$2:$A$1300,0))</f>
        <v>South Yorkshire</v>
      </c>
    </row>
    <row r="1477" spans="1:24" ht="25.05" customHeight="1" x14ac:dyDescent="0.3">
      <c r="A1477" s="4" t="s">
        <v>898</v>
      </c>
      <c r="B1477" s="4" t="s">
        <v>898</v>
      </c>
      <c r="C1477" s="1">
        <v>18</v>
      </c>
      <c r="D1477" s="1">
        <v>10</v>
      </c>
      <c r="E1477" s="1">
        <v>12</v>
      </c>
      <c r="F1477" s="1">
        <v>10</v>
      </c>
      <c r="G1477" s="1">
        <v>13</v>
      </c>
      <c r="H1477" s="1">
        <v>11</v>
      </c>
      <c r="I1477" s="1">
        <v>12</v>
      </c>
      <c r="J1477" s="1">
        <v>8</v>
      </c>
      <c r="K1477" s="6">
        <v>205</v>
      </c>
      <c r="L1477" s="6">
        <v>53186</v>
      </c>
      <c r="M1477" s="1">
        <v>46.3</v>
      </c>
      <c r="N1477" s="1">
        <v>3</v>
      </c>
      <c r="O1477" s="1">
        <v>14</v>
      </c>
      <c r="P1477" s="1">
        <v>4.8</v>
      </c>
      <c r="Q1477" s="11">
        <f>'Table H'!$J$244</f>
        <v>0.84492683621770548</v>
      </c>
      <c r="R1477" s="11">
        <f t="shared" si="50"/>
        <v>44938.278711074883</v>
      </c>
      <c r="S1477" s="11" t="str">
        <f t="shared" si="51"/>
        <v>Goole RD</v>
      </c>
      <c r="T1477" s="11" t="s">
        <v>5310</v>
      </c>
      <c r="V1477" s="11" t="str">
        <f>INDEX('Lookup 1961'!$A$2:$A$1300, MATCH(S1477, 'Lookup 1961'!$B$2:$B$1300,0))</f>
        <v>J04000543</v>
      </c>
      <c r="W1477" s="11" t="str">
        <f>INDEX('Lookup 1961'!$F$2:$F$1300, MATCH(S1477, 'Lookup 1961'!$B$2:$B$1300,0))</f>
        <v>e461280</v>
      </c>
      <c r="X1477" s="11" t="str">
        <f>INDEX('Lookup 1961'!$C$2:$C$1300, MATCH(V1477, 'Lookup 1961'!$A$2:$A$1300,0))</f>
        <v>Humberside</v>
      </c>
    </row>
    <row r="1478" spans="1:24" ht="25.05" customHeight="1" x14ac:dyDescent="0.3">
      <c r="A1478" s="4" t="s">
        <v>929</v>
      </c>
      <c r="B1478" s="4" t="s">
        <v>929</v>
      </c>
      <c r="C1478" s="1">
        <v>25</v>
      </c>
      <c r="D1478" s="1">
        <v>3</v>
      </c>
      <c r="E1478" s="1">
        <v>18</v>
      </c>
      <c r="F1478" s="1">
        <v>3</v>
      </c>
      <c r="G1478" s="1">
        <v>20</v>
      </c>
      <c r="H1478" s="1">
        <v>9</v>
      </c>
      <c r="I1478" s="1">
        <v>18</v>
      </c>
      <c r="J1478" s="1">
        <v>3</v>
      </c>
      <c r="K1478" s="6">
        <v>1236</v>
      </c>
      <c r="L1478" s="6">
        <v>343230</v>
      </c>
      <c r="M1478" s="1">
        <v>55.8</v>
      </c>
      <c r="N1478" s="1">
        <v>6</v>
      </c>
      <c r="O1478" s="1">
        <v>4</v>
      </c>
      <c r="P1478" s="1">
        <v>12.4</v>
      </c>
      <c r="Q1478" s="11">
        <f>'Table H'!$J$244</f>
        <v>0.84492683621770548</v>
      </c>
      <c r="R1478" s="11">
        <f t="shared" si="50"/>
        <v>290004.23799500306</v>
      </c>
      <c r="S1478" s="11" t="str">
        <f t="shared" si="51"/>
        <v>Hemsworth RD</v>
      </c>
      <c r="T1478" s="11" t="s">
        <v>5310</v>
      </c>
      <c r="V1478" s="11" t="str">
        <f>INDEX('Lookup 1961'!$A$2:$A$1300, MATCH(S1478, 'Lookup 1961'!$B$2:$B$1300,0))</f>
        <v>J04000605</v>
      </c>
      <c r="W1478" s="11" t="str">
        <f>INDEX('Lookup 1961'!$F$2:$F$1300, MATCH(S1478, 'Lookup 1961'!$B$2:$B$1300,0))</f>
        <v>e461281</v>
      </c>
      <c r="X1478" s="11" t="str">
        <f>INDEX('Lookup 1961'!$C$2:$C$1300, MATCH(V1478, 'Lookup 1961'!$A$2:$A$1300,0))</f>
        <v>West Yorkshire</v>
      </c>
    </row>
    <row r="1479" spans="1:24" ht="25.05" customHeight="1" x14ac:dyDescent="0.3">
      <c r="A1479" s="4" t="s">
        <v>1199</v>
      </c>
      <c r="B1479" s="4" t="s">
        <v>1199</v>
      </c>
      <c r="C1479" s="1">
        <v>24</v>
      </c>
      <c r="D1479" s="1">
        <v>11</v>
      </c>
      <c r="E1479" s="1">
        <v>18</v>
      </c>
      <c r="F1479" s="1">
        <v>5</v>
      </c>
      <c r="G1479" s="1">
        <v>18</v>
      </c>
      <c r="H1479" s="1">
        <v>6</v>
      </c>
      <c r="I1479" s="1">
        <v>18</v>
      </c>
      <c r="J1479" s="1">
        <v>6</v>
      </c>
      <c r="K1479" s="6">
        <v>187</v>
      </c>
      <c r="L1479" s="6">
        <v>48119</v>
      </c>
      <c r="M1479" s="1">
        <v>35.700000000000003</v>
      </c>
      <c r="N1479" s="1">
        <v>10</v>
      </c>
      <c r="O1479" s="1">
        <v>14</v>
      </c>
      <c r="P1479" s="1">
        <v>0.3</v>
      </c>
      <c r="Q1479" s="11">
        <f>'Table H'!$J$244</f>
        <v>0.84492683621770548</v>
      </c>
      <c r="R1479" s="11">
        <f t="shared" ref="R1479:R1495" si="52">Q1479*L1479</f>
        <v>40657.034431959772</v>
      </c>
      <c r="S1479" s="11" t="str">
        <f t="shared" si="51"/>
        <v>Hepton RD</v>
      </c>
      <c r="T1479" s="11" t="s">
        <v>5310</v>
      </c>
      <c r="V1479" s="11" t="str">
        <f>INDEX('Lookup 1961'!$A$2:$A$1300, MATCH(S1479, 'Lookup 1961'!$B$2:$B$1300,0))</f>
        <v>J04000610</v>
      </c>
      <c r="W1479" s="11" t="str">
        <f>INDEX('Lookup 1961'!$F$2:$F$1300, MATCH(S1479, 'Lookup 1961'!$B$2:$B$1300,0))</f>
        <v>e461283</v>
      </c>
      <c r="X1479" s="11" t="str">
        <f>INDEX('Lookup 1961'!$C$2:$C$1300, MATCH(V1479, 'Lookup 1961'!$A$2:$A$1300,0))</f>
        <v>West Yorkshire</v>
      </c>
    </row>
    <row r="1480" spans="1:24" ht="25.05" customHeight="1" x14ac:dyDescent="0.3">
      <c r="A1480" s="4" t="s">
        <v>1200</v>
      </c>
      <c r="B1480" s="4" t="s">
        <v>1200</v>
      </c>
      <c r="C1480" s="1">
        <v>24</v>
      </c>
      <c r="D1480" s="1">
        <v>0</v>
      </c>
      <c r="E1480" s="1">
        <v>15</v>
      </c>
      <c r="F1480" s="1">
        <v>0</v>
      </c>
      <c r="G1480" s="1">
        <v>15</v>
      </c>
      <c r="H1480" s="1">
        <v>0</v>
      </c>
      <c r="I1480" s="1">
        <v>15</v>
      </c>
      <c r="J1480" s="1">
        <v>0</v>
      </c>
      <c r="K1480" s="6">
        <v>575</v>
      </c>
      <c r="L1480" s="6">
        <v>155292</v>
      </c>
      <c r="M1480" s="1">
        <v>77</v>
      </c>
      <c r="N1480" s="1">
        <v>6</v>
      </c>
      <c r="O1480" s="1">
        <v>2</v>
      </c>
      <c r="P1480" s="1">
        <v>7.7</v>
      </c>
      <c r="Q1480" s="11">
        <f>'Table H'!$J$244</f>
        <v>0.84492683621770548</v>
      </c>
      <c r="R1480" s="11">
        <f t="shared" si="52"/>
        <v>131210.37824991992</v>
      </c>
      <c r="S1480" s="11" t="str">
        <f t="shared" si="51"/>
        <v>Kiveton Park RD</v>
      </c>
      <c r="T1480" s="11" t="s">
        <v>5310</v>
      </c>
      <c r="V1480" s="11" t="str">
        <f>INDEX('Lookup 1961'!$A$2:$A$1300, MATCH(S1480, 'Lookup 1961'!$B$2:$B$1300,0))</f>
        <v>J04000709</v>
      </c>
      <c r="W1480" s="11" t="str">
        <f>INDEX('Lookup 1961'!$F$2:$F$1300, MATCH(S1480, 'Lookup 1961'!$B$2:$B$1300,0))</f>
        <v>e461284</v>
      </c>
      <c r="X1480" s="11" t="str">
        <f>INDEX('Lookup 1961'!$C$2:$C$1300, MATCH(V1480, 'Lookup 1961'!$A$2:$A$1300,0))</f>
        <v>South Yorkshire</v>
      </c>
    </row>
    <row r="1481" spans="1:24" ht="25.05" customHeight="1" x14ac:dyDescent="0.3">
      <c r="A1481" s="4" t="s">
        <v>1201</v>
      </c>
      <c r="B1481" s="4" t="s">
        <v>1201</v>
      </c>
      <c r="C1481" s="1">
        <v>20</v>
      </c>
      <c r="D1481" s="1">
        <v>10</v>
      </c>
      <c r="E1481" s="1">
        <v>14</v>
      </c>
      <c r="F1481" s="1">
        <v>0</v>
      </c>
      <c r="G1481" s="1">
        <v>14</v>
      </c>
      <c r="H1481" s="1">
        <v>6</v>
      </c>
      <c r="I1481" s="1">
        <v>13</v>
      </c>
      <c r="J1481" s="1">
        <v>6</v>
      </c>
      <c r="K1481" s="6">
        <v>429</v>
      </c>
      <c r="L1481" s="6">
        <v>112930</v>
      </c>
      <c r="M1481" s="1">
        <v>47.9</v>
      </c>
      <c r="N1481" s="1">
        <v>4</v>
      </c>
      <c r="O1481" s="1">
        <v>16</v>
      </c>
      <c r="P1481" s="1">
        <v>1</v>
      </c>
      <c r="Q1481" s="11">
        <f>'Table H'!$J$244</f>
        <v>0.84492683621770548</v>
      </c>
      <c r="R1481" s="11">
        <f t="shared" si="52"/>
        <v>95417.587614065473</v>
      </c>
      <c r="S1481" s="11" t="str">
        <f t="shared" si="51"/>
        <v>Nidderdale RD</v>
      </c>
      <c r="T1481" s="11" t="s">
        <v>5310</v>
      </c>
      <c r="V1481" s="11" t="str">
        <f>INDEX('Lookup 1961'!$A$2:$A$1300, MATCH(S1481, 'Lookup 1961'!$B$2:$B$1300,0))</f>
        <v>J04000919</v>
      </c>
      <c r="W1481" s="11" t="str">
        <f>INDEX('Lookup 1961'!$F$2:$F$1300, MATCH(S1481, 'Lookup 1961'!$B$2:$B$1300,0))</f>
        <v>e461285</v>
      </c>
      <c r="X1481" s="11" t="str">
        <f>INDEX('Lookup 1961'!$C$2:$C$1300, MATCH(V1481, 'Lookup 1961'!$A$2:$A$1300,0))</f>
        <v>North Yorkshire</v>
      </c>
    </row>
    <row r="1482" spans="1:24" ht="25.05" customHeight="1" x14ac:dyDescent="0.3">
      <c r="A1482" s="4" t="s">
        <v>1202</v>
      </c>
      <c r="B1482" s="4" t="s">
        <v>1202</v>
      </c>
      <c r="C1482" s="1">
        <v>20</v>
      </c>
      <c r="D1482" s="1">
        <v>8</v>
      </c>
      <c r="E1482" s="1">
        <v>14</v>
      </c>
      <c r="F1482" s="1">
        <v>2</v>
      </c>
      <c r="G1482" s="1">
        <v>15</v>
      </c>
      <c r="H1482" s="1">
        <v>2</v>
      </c>
      <c r="I1482" s="1">
        <v>13</v>
      </c>
      <c r="J1482" s="1">
        <v>9</v>
      </c>
      <c r="K1482" s="6">
        <v>194</v>
      </c>
      <c r="L1482" s="6">
        <v>51542</v>
      </c>
      <c r="M1482" s="1">
        <v>55.1</v>
      </c>
      <c r="N1482" s="1">
        <v>4</v>
      </c>
      <c r="O1482" s="1">
        <v>12</v>
      </c>
      <c r="P1482" s="1">
        <v>7.9</v>
      </c>
      <c r="Q1482" s="11">
        <f>'Table H'!$J$244</f>
        <v>0.84492683621770548</v>
      </c>
      <c r="R1482" s="11">
        <f t="shared" si="52"/>
        <v>43549.218992332979</v>
      </c>
      <c r="S1482" s="11" t="str">
        <f t="shared" si="51"/>
        <v>Osgoldcross RD</v>
      </c>
      <c r="T1482" s="11" t="s">
        <v>5310</v>
      </c>
      <c r="V1482" s="11" t="str">
        <f>INDEX('Lookup 1961'!$A$2:$A$1300, MATCH(S1482, 'Lookup 1961'!$B$2:$B$1300,0))</f>
        <v>J04000958</v>
      </c>
      <c r="W1482" s="11" t="str">
        <f>INDEX('Lookup 1961'!$F$2:$F$1300, MATCH(S1482, 'Lookup 1961'!$B$2:$B$1300,0))</f>
        <v>e461287</v>
      </c>
      <c r="X1482" s="11" t="str">
        <f>INDEX('Lookup 1961'!$C$2:$C$1300, MATCH(V1482, 'Lookup 1961'!$A$2:$A$1300,0))</f>
        <v>North Yorkshire</v>
      </c>
    </row>
    <row r="1483" spans="1:24" ht="25.05" customHeight="1" x14ac:dyDescent="0.3">
      <c r="A1483" s="4" t="s">
        <v>944</v>
      </c>
      <c r="B1483" s="4" t="s">
        <v>944</v>
      </c>
      <c r="C1483" s="1">
        <v>22</v>
      </c>
      <c r="D1483" s="1">
        <v>6</v>
      </c>
      <c r="E1483" s="1">
        <v>18</v>
      </c>
      <c r="F1483" s="1">
        <v>0</v>
      </c>
      <c r="G1483" s="1">
        <v>19</v>
      </c>
      <c r="H1483" s="1">
        <v>6</v>
      </c>
      <c r="I1483" s="1">
        <v>18</v>
      </c>
      <c r="J1483" s="1">
        <v>0</v>
      </c>
      <c r="K1483" s="6">
        <v>258</v>
      </c>
      <c r="L1483" s="6">
        <v>77874</v>
      </c>
      <c r="M1483" s="1">
        <v>82.2</v>
      </c>
      <c r="N1483" s="1">
        <v>8</v>
      </c>
      <c r="O1483" s="1">
        <v>16</v>
      </c>
      <c r="P1483" s="1">
        <v>41.6</v>
      </c>
      <c r="Q1483" s="11">
        <f>'Table H'!$J$244</f>
        <v>0.84492683621770548</v>
      </c>
      <c r="R1483" s="11">
        <f t="shared" si="52"/>
        <v>65797.83244361759</v>
      </c>
      <c r="S1483" s="11" t="str">
        <f t="shared" ref="S1483:S1495" si="53">_xlfn.CONCAT(B1483," ",T1483)</f>
        <v>Penistone RD</v>
      </c>
      <c r="T1483" s="11" t="s">
        <v>5310</v>
      </c>
      <c r="V1483" s="11" t="str">
        <f>INDEX('Lookup 1961'!$A$2:$A$1300, MATCH(S1483, 'Lookup 1961'!$B$2:$B$1300,0))</f>
        <v>J04000977</v>
      </c>
      <c r="W1483" s="11" t="str">
        <f>INDEX('Lookup 1961'!$F$2:$F$1300, MATCH(S1483, 'Lookup 1961'!$B$2:$B$1300,0))</f>
        <v>e461288</v>
      </c>
      <c r="X1483" s="11" t="str">
        <f>INDEX('Lookup 1961'!$C$2:$C$1300, MATCH(V1483, 'Lookup 1961'!$A$2:$A$1300,0))</f>
        <v>South Yorkshire</v>
      </c>
    </row>
    <row r="1484" spans="1:24" ht="25.05" customHeight="1" x14ac:dyDescent="0.3">
      <c r="A1484" s="4" t="s">
        <v>1203</v>
      </c>
      <c r="B1484" s="4" t="s">
        <v>1203</v>
      </c>
      <c r="C1484" s="1">
        <v>20</v>
      </c>
      <c r="D1484" s="1">
        <v>2</v>
      </c>
      <c r="E1484" s="1">
        <v>14</v>
      </c>
      <c r="F1484" s="1">
        <v>4</v>
      </c>
      <c r="G1484" s="1">
        <v>16</v>
      </c>
      <c r="H1484" s="1">
        <v>3</v>
      </c>
      <c r="I1484" s="1">
        <v>14</v>
      </c>
      <c r="J1484" s="1">
        <v>4</v>
      </c>
      <c r="K1484" s="6">
        <v>575</v>
      </c>
      <c r="L1484" s="6">
        <v>183568</v>
      </c>
      <c r="M1484" s="1">
        <v>99.6</v>
      </c>
      <c r="N1484" s="1">
        <v>6</v>
      </c>
      <c r="O1484" s="1">
        <v>11</v>
      </c>
      <c r="P1484" s="1">
        <v>6.9</v>
      </c>
      <c r="Q1484" s="11">
        <f>'Table H'!$J$244</f>
        <v>0.84492683621770548</v>
      </c>
      <c r="R1484" s="11">
        <f t="shared" si="52"/>
        <v>155101.52947081177</v>
      </c>
      <c r="S1484" s="11" t="str">
        <f t="shared" si="53"/>
        <v>Ripon and Pateley Bridge RD</v>
      </c>
      <c r="T1484" s="11" t="s">
        <v>5310</v>
      </c>
      <c r="V1484" s="11" t="str">
        <f>INDEX('Lookup 1961'!$A$2:$A$1300, MATCH(S1484, 'Lookup 1961'!$B$2:$B$1300,0))</f>
        <v>J04001052</v>
      </c>
      <c r="W1484" s="11" t="str">
        <f>INDEX('Lookup 1961'!$F$2:$F$1300, MATCH(S1484, 'Lookup 1961'!$B$2:$B$1300,0))</f>
        <v>e461289</v>
      </c>
      <c r="X1484" s="11" t="str">
        <f>INDEX('Lookup 1961'!$C$2:$C$1300, MATCH(V1484, 'Lookup 1961'!$A$2:$A$1300,0))</f>
        <v>North Yorkshire</v>
      </c>
    </row>
    <row r="1485" spans="1:24" ht="25.05" customHeight="1" x14ac:dyDescent="0.3">
      <c r="A1485" s="4" t="s">
        <v>121</v>
      </c>
      <c r="B1485" s="4" t="s">
        <v>121</v>
      </c>
      <c r="C1485" s="1">
        <v>24</v>
      </c>
      <c r="D1485" s="1">
        <v>8</v>
      </c>
      <c r="E1485" s="1">
        <v>17</v>
      </c>
      <c r="F1485" s="1">
        <v>0</v>
      </c>
      <c r="G1485" s="1">
        <v>18</v>
      </c>
      <c r="H1485" s="1">
        <v>10</v>
      </c>
      <c r="I1485" s="1">
        <v>17</v>
      </c>
      <c r="J1485" s="1">
        <v>0</v>
      </c>
      <c r="K1485" s="6">
        <v>1495</v>
      </c>
      <c r="L1485" s="6">
        <v>417614</v>
      </c>
      <c r="M1485" s="1">
        <v>96.7</v>
      </c>
      <c r="N1485" s="1">
        <v>6</v>
      </c>
      <c r="O1485" s="1">
        <v>1</v>
      </c>
      <c r="P1485" s="1">
        <v>28.1</v>
      </c>
      <c r="Q1485" s="11">
        <f>'Table H'!$J$244</f>
        <v>0.84492683621770548</v>
      </c>
      <c r="R1485" s="11">
        <f t="shared" si="52"/>
        <v>352853.27578022087</v>
      </c>
      <c r="S1485" s="11" t="str">
        <f t="shared" si="53"/>
        <v>Rotherham RD</v>
      </c>
      <c r="T1485" s="11" t="s">
        <v>5310</v>
      </c>
      <c r="V1485" s="11" t="str">
        <f>INDEX('Lookup 1961'!$A$2:$A$1300, MATCH(S1485, 'Lookup 1961'!$B$2:$B$1300,0))</f>
        <v>J04001068</v>
      </c>
      <c r="W1485" s="11" t="str">
        <f>INDEX('Lookup 1961'!$F$2:$F$1300, MATCH(S1485, 'Lookup 1961'!$B$2:$B$1300,0))</f>
        <v>e461290</v>
      </c>
      <c r="X1485" s="11" t="str">
        <f>INDEX('Lookup 1961'!$C$2:$C$1300, MATCH(V1485, 'Lookup 1961'!$A$2:$A$1300,0))</f>
        <v>South Yorkshire</v>
      </c>
    </row>
    <row r="1486" spans="1:24" ht="25.05" customHeight="1" x14ac:dyDescent="0.3">
      <c r="A1486" s="4" t="s">
        <v>1204</v>
      </c>
      <c r="B1486" s="4" t="s">
        <v>1204</v>
      </c>
      <c r="C1486" s="1">
        <v>19</v>
      </c>
      <c r="D1486" s="1">
        <v>0</v>
      </c>
      <c r="E1486" s="1">
        <v>13</v>
      </c>
      <c r="F1486" s="1">
        <v>10</v>
      </c>
      <c r="G1486" s="1">
        <v>14</v>
      </c>
      <c r="H1486" s="1">
        <v>3</v>
      </c>
      <c r="I1486" s="1">
        <v>13</v>
      </c>
      <c r="J1486" s="1">
        <v>11</v>
      </c>
      <c r="K1486" s="6">
        <v>97</v>
      </c>
      <c r="L1486" s="6">
        <v>29299</v>
      </c>
      <c r="M1486" s="1">
        <v>65</v>
      </c>
      <c r="N1486" s="1">
        <v>4</v>
      </c>
      <c r="O1486" s="1">
        <v>14</v>
      </c>
      <c r="P1486" s="1">
        <v>8.1</v>
      </c>
      <c r="Q1486" s="11">
        <f>'Table H'!$J$244</f>
        <v>0.84492683621770548</v>
      </c>
      <c r="R1486" s="11">
        <f t="shared" si="52"/>
        <v>24755.511374342554</v>
      </c>
      <c r="S1486" s="11" t="str">
        <f t="shared" si="53"/>
        <v>Sedbergh RD</v>
      </c>
      <c r="T1486" s="11" t="s">
        <v>5310</v>
      </c>
      <c r="V1486" s="11" t="str">
        <f>INDEX('Lookup 1961'!$A$2:$A$1300, MATCH(S1486, 'Lookup 1961'!$B$2:$B$1300,0))</f>
        <v>J04001114</v>
      </c>
      <c r="W1486" s="11" t="str">
        <f>INDEX('Lookup 1961'!$F$2:$F$1300, MATCH(S1486, 'Lookup 1961'!$B$2:$B$1300,0))</f>
        <v>e461291</v>
      </c>
      <c r="X1486" s="11" t="str">
        <f>INDEX('Lookup 1961'!$C$2:$C$1300, MATCH(V1486, 'Lookup 1961'!$A$2:$A$1300,0))</f>
        <v>Cumbria</v>
      </c>
    </row>
    <row r="1487" spans="1:24" ht="25.05" customHeight="1" x14ac:dyDescent="0.3">
      <c r="A1487" s="4" t="s">
        <v>949</v>
      </c>
      <c r="B1487" s="4" t="s">
        <v>949</v>
      </c>
      <c r="C1487" s="1">
        <v>21</v>
      </c>
      <c r="D1487" s="1">
        <v>2</v>
      </c>
      <c r="E1487" s="1">
        <v>15</v>
      </c>
      <c r="F1487" s="1">
        <v>0</v>
      </c>
      <c r="G1487" s="1">
        <v>15</v>
      </c>
      <c r="H1487" s="1">
        <v>10</v>
      </c>
      <c r="I1487" s="1">
        <v>15</v>
      </c>
      <c r="J1487" s="1">
        <v>0</v>
      </c>
      <c r="K1487" s="6">
        <v>154</v>
      </c>
      <c r="L1487" s="6">
        <v>40115</v>
      </c>
      <c r="M1487" s="1">
        <v>37.799999999999997</v>
      </c>
      <c r="N1487" s="1">
        <v>4</v>
      </c>
      <c r="O1487" s="1">
        <v>15</v>
      </c>
      <c r="P1487" s="1">
        <v>1.9</v>
      </c>
      <c r="Q1487" s="11">
        <f>'Table H'!$J$244</f>
        <v>0.84492683621770548</v>
      </c>
      <c r="R1487" s="11">
        <f t="shared" si="52"/>
        <v>33894.240034873255</v>
      </c>
      <c r="S1487" s="11" t="str">
        <f t="shared" si="53"/>
        <v>Selby RD</v>
      </c>
      <c r="T1487" s="11" t="s">
        <v>5310</v>
      </c>
      <c r="V1487" s="11" t="str">
        <f>INDEX('Lookup 1961'!$A$2:$A$1300, MATCH(S1487, 'Lookup 1961'!$B$2:$B$1300,0))</f>
        <v>J04001118</v>
      </c>
      <c r="W1487" s="11" t="str">
        <f>INDEX('Lookup 1961'!$F$2:$F$1300, MATCH(S1487, 'Lookup 1961'!$B$2:$B$1300,0))</f>
        <v>e461292</v>
      </c>
      <c r="X1487" s="11" t="str">
        <f>INDEX('Lookup 1961'!$C$2:$C$1300, MATCH(V1487, 'Lookup 1961'!$A$2:$A$1300,0))</f>
        <v>North Yorkshire</v>
      </c>
    </row>
    <row r="1488" spans="1:24" ht="25.05" customHeight="1" x14ac:dyDescent="0.3">
      <c r="A1488" s="4" t="s">
        <v>1205</v>
      </c>
      <c r="B1488" s="4" t="s">
        <v>1205</v>
      </c>
      <c r="C1488" s="1">
        <v>20</v>
      </c>
      <c r="D1488" s="1">
        <v>8</v>
      </c>
      <c r="E1488" s="1">
        <v>14</v>
      </c>
      <c r="F1488" s="1">
        <v>3</v>
      </c>
      <c r="G1488" s="1">
        <v>15</v>
      </c>
      <c r="H1488" s="1">
        <v>5</v>
      </c>
      <c r="I1488" s="1">
        <v>14</v>
      </c>
      <c r="J1488" s="1">
        <v>3</v>
      </c>
      <c r="K1488" s="6">
        <v>403</v>
      </c>
      <c r="L1488" s="6">
        <v>109117</v>
      </c>
      <c r="M1488" s="1">
        <v>60.3</v>
      </c>
      <c r="N1488" s="1">
        <v>5</v>
      </c>
      <c r="O1488" s="1">
        <v>8</v>
      </c>
      <c r="P1488" s="1">
        <v>7.8</v>
      </c>
      <c r="Q1488" s="11">
        <f>'Table H'!$J$244</f>
        <v>0.84492683621770548</v>
      </c>
      <c r="R1488" s="11">
        <f t="shared" si="52"/>
        <v>92195.881587567375</v>
      </c>
      <c r="S1488" s="11" t="str">
        <f t="shared" si="53"/>
        <v>Settle RD</v>
      </c>
      <c r="T1488" s="11" t="s">
        <v>5310</v>
      </c>
      <c r="V1488" s="11" t="str">
        <f>INDEX('Lookup 1961'!$A$2:$A$1300, MATCH(S1488, 'Lookup 1961'!$B$2:$B$1300,0))</f>
        <v>J04001120</v>
      </c>
      <c r="W1488" s="11" t="str">
        <f>INDEX('Lookup 1961'!$F$2:$F$1300, MATCH(S1488, 'Lookup 1961'!$B$2:$B$1300,0))</f>
        <v>e461293</v>
      </c>
      <c r="X1488" s="11" t="str">
        <f>INDEX('Lookup 1961'!$C$2:$C$1300, MATCH(V1488, 'Lookup 1961'!$A$2:$A$1300,0))</f>
        <v>North Yorkshire</v>
      </c>
    </row>
    <row r="1489" spans="1:24" ht="25.05" customHeight="1" x14ac:dyDescent="0.3">
      <c r="A1489" s="4" t="s">
        <v>952</v>
      </c>
      <c r="B1489" s="4" t="s">
        <v>952</v>
      </c>
      <c r="C1489" s="1">
        <v>20</v>
      </c>
      <c r="D1489" s="1">
        <v>0</v>
      </c>
      <c r="E1489" s="1">
        <v>14</v>
      </c>
      <c r="F1489" s="1">
        <v>6</v>
      </c>
      <c r="G1489" s="1">
        <v>16</v>
      </c>
      <c r="H1489" s="1">
        <v>8</v>
      </c>
      <c r="I1489" s="1">
        <v>13</v>
      </c>
      <c r="J1489" s="1">
        <v>8</v>
      </c>
      <c r="K1489" s="6">
        <v>835</v>
      </c>
      <c r="L1489" s="6">
        <v>222695</v>
      </c>
      <c r="M1489" s="1">
        <v>54.4</v>
      </c>
      <c r="N1489" s="1">
        <v>6</v>
      </c>
      <c r="O1489" s="1">
        <v>14</v>
      </c>
      <c r="P1489" s="1">
        <v>9.1</v>
      </c>
      <c r="Q1489" s="11">
        <f>'Table H'!$J$244</f>
        <v>0.84492683621770548</v>
      </c>
      <c r="R1489" s="11">
        <f t="shared" si="52"/>
        <v>188160.98179150192</v>
      </c>
      <c r="S1489" s="11" t="str">
        <f t="shared" si="53"/>
        <v>Skipton RD</v>
      </c>
      <c r="T1489" s="11" t="s">
        <v>5310</v>
      </c>
      <c r="V1489" s="11" t="str">
        <f>INDEX('Lookup 1961'!$A$2:$A$1300, MATCH(S1489, 'Lookup 1961'!$B$2:$B$1300,0))</f>
        <v>J04001147</v>
      </c>
      <c r="W1489" s="11" t="str">
        <f>INDEX('Lookup 1961'!$F$2:$F$1300, MATCH(S1489, 'Lookup 1961'!$B$2:$B$1300,0))</f>
        <v>e461295</v>
      </c>
      <c r="X1489" s="11" t="str">
        <f>INDEX('Lookup 1961'!$C$2:$C$1300, MATCH(V1489, 'Lookup 1961'!$A$2:$A$1300,0))</f>
        <v>North Yorkshire</v>
      </c>
    </row>
    <row r="1490" spans="1:24" ht="25.05" customHeight="1" x14ac:dyDescent="0.3">
      <c r="A1490" s="4" t="s">
        <v>1206</v>
      </c>
      <c r="B1490" s="4" t="s">
        <v>1206</v>
      </c>
      <c r="C1490" s="1">
        <v>21</v>
      </c>
      <c r="D1490" s="1">
        <v>6</v>
      </c>
      <c r="E1490" s="1">
        <v>14</v>
      </c>
      <c r="F1490" s="1">
        <v>10</v>
      </c>
      <c r="G1490" s="1">
        <v>15</v>
      </c>
      <c r="H1490" s="1">
        <v>10</v>
      </c>
      <c r="I1490" s="1">
        <v>14</v>
      </c>
      <c r="J1490" s="1">
        <v>6</v>
      </c>
      <c r="K1490" s="6">
        <v>1000</v>
      </c>
      <c r="L1490" s="6">
        <v>244017</v>
      </c>
      <c r="M1490" s="1">
        <v>63.2</v>
      </c>
      <c r="N1490" s="1">
        <v>6</v>
      </c>
      <c r="O1490" s="1">
        <v>12</v>
      </c>
      <c r="P1490" s="1">
        <v>13</v>
      </c>
      <c r="Q1490" s="11">
        <f>'Table H'!$J$244</f>
        <v>0.84492683621770548</v>
      </c>
      <c r="R1490" s="11">
        <f t="shared" si="52"/>
        <v>206176.51179333584</v>
      </c>
      <c r="S1490" s="11" t="str">
        <f t="shared" si="53"/>
        <v>Tadcaster RD</v>
      </c>
      <c r="T1490" s="11" t="s">
        <v>5310</v>
      </c>
      <c r="V1490" s="11" t="str">
        <f>INDEX('Lookup 1961'!$A$2:$A$1300, MATCH(S1490, 'Lookup 1961'!$B$2:$B$1300,0))</f>
        <v>J04001247</v>
      </c>
      <c r="W1490" s="11" t="str">
        <f>INDEX('Lookup 1961'!$F$2:$F$1300, MATCH(S1490, 'Lookup 1961'!$B$2:$B$1300,0))</f>
        <v>e461298</v>
      </c>
      <c r="X1490" s="11" t="str">
        <f>INDEX('Lookup 1961'!$C$2:$C$1300, MATCH(V1490, 'Lookup 1961'!$A$2:$A$1300,0))</f>
        <v>North Yorkshire</v>
      </c>
    </row>
    <row r="1491" spans="1:24" ht="25.05" customHeight="1" x14ac:dyDescent="0.3">
      <c r="A1491" s="4" t="s">
        <v>1207</v>
      </c>
      <c r="B1491" s="4" t="s">
        <v>1207</v>
      </c>
      <c r="C1491" s="1">
        <v>21</v>
      </c>
      <c r="D1491" s="1">
        <v>11</v>
      </c>
      <c r="E1491" s="1">
        <v>16</v>
      </c>
      <c r="F1491" s="1">
        <v>2</v>
      </c>
      <c r="G1491" s="1">
        <v>17</v>
      </c>
      <c r="H1491" s="1">
        <v>9</v>
      </c>
      <c r="I1491" s="1">
        <v>16</v>
      </c>
      <c r="J1491" s="1">
        <v>8</v>
      </c>
      <c r="K1491" s="6">
        <v>853</v>
      </c>
      <c r="L1491" s="6">
        <v>230011</v>
      </c>
      <c r="M1491" s="1">
        <v>64.8</v>
      </c>
      <c r="N1491" s="1">
        <v>5</v>
      </c>
      <c r="O1491" s="1">
        <v>6</v>
      </c>
      <c r="P1491" s="1">
        <v>13.8</v>
      </c>
      <c r="Q1491" s="11">
        <f>'Table H'!$J$244</f>
        <v>0.84492683621770548</v>
      </c>
      <c r="R1491" s="11">
        <f t="shared" si="52"/>
        <v>194342.46652527066</v>
      </c>
      <c r="S1491" s="11" t="str">
        <f t="shared" si="53"/>
        <v>Thorne RD</v>
      </c>
      <c r="T1491" s="11" t="s">
        <v>5310</v>
      </c>
      <c r="V1491" s="11" t="str">
        <f>INDEX('Lookup 1961'!$A$2:$A$1300, MATCH(S1491, 'Lookup 1961'!$B$2:$B$1300,0))</f>
        <v>J04001272</v>
      </c>
      <c r="W1491" s="11" t="str">
        <f>INDEX('Lookup 1961'!$F$2:$F$1300, MATCH(S1491, 'Lookup 1961'!$B$2:$B$1300,0))</f>
        <v>e461300</v>
      </c>
      <c r="X1491" s="11" t="str">
        <f>INDEX('Lookup 1961'!$C$2:$C$1300, MATCH(V1491, 'Lookup 1961'!$A$2:$A$1300,0))</f>
        <v>South Yorkshire</v>
      </c>
    </row>
    <row r="1492" spans="1:24" ht="25.05" customHeight="1" x14ac:dyDescent="0.3">
      <c r="A1492" s="4" t="s">
        <v>134</v>
      </c>
      <c r="B1492" s="4" t="s">
        <v>134</v>
      </c>
      <c r="C1492" s="1">
        <v>23</v>
      </c>
      <c r="D1492" s="1">
        <v>0</v>
      </c>
      <c r="E1492" s="1">
        <v>15</v>
      </c>
      <c r="F1492" s="1">
        <v>6</v>
      </c>
      <c r="G1492" s="1">
        <v>17</v>
      </c>
      <c r="H1492" s="1">
        <v>5</v>
      </c>
      <c r="I1492" s="1">
        <v>15</v>
      </c>
      <c r="J1492" s="1">
        <v>6</v>
      </c>
      <c r="K1492" s="6">
        <v>550</v>
      </c>
      <c r="L1492" s="6">
        <v>144855</v>
      </c>
      <c r="M1492" s="1">
        <v>60.9</v>
      </c>
      <c r="N1492" s="1">
        <v>5</v>
      </c>
      <c r="O1492" s="1">
        <v>10</v>
      </c>
      <c r="P1492" s="1">
        <v>5.0999999999999996</v>
      </c>
      <c r="Q1492" s="11">
        <f>'Table H'!$J$244</f>
        <v>0.84492683621770548</v>
      </c>
      <c r="R1492" s="11">
        <f t="shared" si="52"/>
        <v>122391.87686031572</v>
      </c>
      <c r="S1492" s="11" t="str">
        <f t="shared" si="53"/>
        <v>Wakefield RD</v>
      </c>
      <c r="T1492" s="11" t="s">
        <v>5310</v>
      </c>
      <c r="V1492" s="11" t="str">
        <f>INDEX('Lookup 1961'!$A$2:$A$1300, MATCH(S1492, 'Lookup 1961'!$B$2:$B$1300,0))</f>
        <v>J04001322</v>
      </c>
      <c r="W1492" s="11" t="str">
        <f>INDEX('Lookup 1961'!$F$2:$F$1300, MATCH(S1492, 'Lookup 1961'!$B$2:$B$1300,0))</f>
        <v>e461301</v>
      </c>
      <c r="X1492" s="11" t="str">
        <f>INDEX('Lookup 1961'!$C$2:$C$1300, MATCH(V1492, 'Lookup 1961'!$A$2:$A$1300,0))</f>
        <v>West Yorkshire</v>
      </c>
    </row>
    <row r="1493" spans="1:24" ht="25.05" customHeight="1" x14ac:dyDescent="0.3">
      <c r="A1493" s="4" t="s">
        <v>1208</v>
      </c>
      <c r="B1493" s="4" t="s">
        <v>1208</v>
      </c>
      <c r="C1493" s="1">
        <v>22</v>
      </c>
      <c r="D1493" s="1">
        <v>2</v>
      </c>
      <c r="E1493" s="1">
        <v>16</v>
      </c>
      <c r="F1493" s="1">
        <v>0</v>
      </c>
      <c r="G1493" s="1">
        <v>16</v>
      </c>
      <c r="H1493" s="1">
        <v>10</v>
      </c>
      <c r="I1493" s="1">
        <v>16</v>
      </c>
      <c r="J1493" s="1">
        <v>0</v>
      </c>
      <c r="K1493" s="6">
        <v>803</v>
      </c>
      <c r="L1493" s="6">
        <v>210409</v>
      </c>
      <c r="M1493" s="1">
        <v>53.9</v>
      </c>
      <c r="N1493" s="1">
        <v>7</v>
      </c>
      <c r="O1493" s="1">
        <v>11</v>
      </c>
      <c r="P1493" s="1">
        <v>7.7</v>
      </c>
      <c r="Q1493" s="11">
        <f>'Table H'!$J$244</f>
        <v>0.84492683621770548</v>
      </c>
      <c r="R1493" s="11">
        <f t="shared" si="52"/>
        <v>177780.2106817312</v>
      </c>
      <c r="S1493" s="11" t="str">
        <f t="shared" si="53"/>
        <v>Wetherby RD</v>
      </c>
      <c r="T1493" s="11" t="s">
        <v>5310</v>
      </c>
      <c r="V1493" s="11" t="str">
        <f>INDEX('Lookup 1961'!$A$2:$A$1300, MATCH(S1493, 'Lookup 1961'!$B$2:$B$1300,0))</f>
        <v>J04001393</v>
      </c>
      <c r="W1493" s="11" t="str">
        <f>INDEX('Lookup 1961'!$F$2:$F$1300, MATCH(S1493, 'Lookup 1961'!$B$2:$B$1300,0))</f>
        <v>e461302</v>
      </c>
      <c r="X1493" s="11" t="str">
        <f>INDEX('Lookup 1961'!$C$2:$C$1300, MATCH(V1493, 'Lookup 1961'!$A$2:$A$1300,0))</f>
        <v>West Yorkshire</v>
      </c>
    </row>
    <row r="1494" spans="1:24" ht="25.05" customHeight="1" x14ac:dyDescent="0.3">
      <c r="A1494" s="4" t="s">
        <v>1209</v>
      </c>
      <c r="B1494" s="4" t="s">
        <v>1209</v>
      </c>
      <c r="C1494" s="1">
        <v>17</v>
      </c>
      <c r="D1494" s="1">
        <v>6</v>
      </c>
      <c r="E1494" s="1">
        <v>13</v>
      </c>
      <c r="F1494" s="1">
        <v>0</v>
      </c>
      <c r="G1494" s="1">
        <v>14</v>
      </c>
      <c r="H1494" s="1">
        <v>4</v>
      </c>
      <c r="I1494" s="1">
        <v>13</v>
      </c>
      <c r="J1494" s="1">
        <v>0</v>
      </c>
      <c r="K1494" s="6">
        <v>452</v>
      </c>
      <c r="L1494" s="6">
        <v>116256</v>
      </c>
      <c r="M1494" s="1">
        <v>25.7</v>
      </c>
      <c r="N1494" s="1">
        <v>12</v>
      </c>
      <c r="O1494" s="1">
        <v>1</v>
      </c>
      <c r="P1494" s="1">
        <v>8.1999999999999993</v>
      </c>
      <c r="Q1494" s="11">
        <f>'Table H'!$J$244</f>
        <v>0.84492683621770548</v>
      </c>
      <c r="R1494" s="11">
        <f t="shared" si="52"/>
        <v>98227.814271325566</v>
      </c>
      <c r="S1494" s="11" t="str">
        <f t="shared" si="53"/>
        <v>Wharfedale RD</v>
      </c>
      <c r="T1494" s="11" t="s">
        <v>5310</v>
      </c>
      <c r="V1494" s="11" t="str">
        <f>INDEX('Lookup 1961'!$A$2:$A$1300, MATCH(S1494, 'Lookup 1961'!$B$2:$B$1300,0))</f>
        <v>J04001396</v>
      </c>
      <c r="W1494" s="11" t="str">
        <f>INDEX('Lookup 1961'!$F$2:$F$1300, MATCH(S1494, 'Lookup 1961'!$B$2:$B$1300,0))</f>
        <v>e461304</v>
      </c>
      <c r="X1494" s="11" t="str">
        <f>INDEX('Lookup 1961'!$C$2:$C$1300, MATCH(V1494, 'Lookup 1961'!$A$2:$A$1300,0))</f>
        <v>North Yorkshire</v>
      </c>
    </row>
    <row r="1495" spans="1:24" ht="25.05" customHeight="1" x14ac:dyDescent="0.3">
      <c r="A1495" s="4" t="s">
        <v>1210</v>
      </c>
      <c r="B1495" s="4" t="s">
        <v>1210</v>
      </c>
      <c r="C1495" s="1">
        <v>22</v>
      </c>
      <c r="D1495" s="1">
        <v>4</v>
      </c>
      <c r="E1495" s="1">
        <v>15</v>
      </c>
      <c r="F1495" s="1">
        <v>6</v>
      </c>
      <c r="G1495" s="1">
        <v>16</v>
      </c>
      <c r="H1495" s="1">
        <v>2</v>
      </c>
      <c r="I1495" s="1">
        <v>15</v>
      </c>
      <c r="J1495" s="1">
        <v>9</v>
      </c>
      <c r="K1495" s="6">
        <v>1791</v>
      </c>
      <c r="L1495" s="6">
        <v>456696</v>
      </c>
      <c r="M1495" s="1">
        <v>74.2</v>
      </c>
      <c r="N1495" s="1">
        <v>7</v>
      </c>
      <c r="O1495" s="1">
        <v>16</v>
      </c>
      <c r="P1495" s="1">
        <v>19.3</v>
      </c>
      <c r="Q1495" s="11">
        <f>'Table H'!$J$244</f>
        <v>0.84492683621770548</v>
      </c>
      <c r="R1495" s="11">
        <f t="shared" si="52"/>
        <v>385874.70639328123</v>
      </c>
      <c r="S1495" s="11" t="str">
        <f t="shared" si="53"/>
        <v>Wortley RD</v>
      </c>
      <c r="T1495" s="11" t="s">
        <v>5310</v>
      </c>
      <c r="V1495" s="11" t="str">
        <f>INDEX('Lookup 1961'!$A$2:$A$1300, MATCH(S1495, 'Lookup 1961'!$B$2:$B$1300,0))</f>
        <v>J04001458</v>
      </c>
      <c r="W1495" s="11" t="str">
        <f>INDEX('Lookup 1961'!$F$2:$F$1300, MATCH(S1495, 'Lookup 1961'!$B$2:$B$1300,0))</f>
        <v>e461305</v>
      </c>
      <c r="X1495" s="11" t="str">
        <f>INDEX('Lookup 1961'!$C$2:$C$1300, MATCH(V1495, 'Lookup 1961'!$A$2:$A$1300,0))</f>
        <v>South Yorkshire</v>
      </c>
    </row>
    <row r="1496" spans="1:24" ht="25.05" customHeight="1" x14ac:dyDescent="0.3">
      <c r="A1496" s="4"/>
      <c r="B1496" s="9"/>
      <c r="S1496" s="9"/>
      <c r="T1496" s="9"/>
      <c r="U1496" s="9"/>
      <c r="V1496" s="9"/>
    </row>
    <row r="1497" spans="1:24" ht="25.05" customHeight="1" x14ac:dyDescent="0.3">
      <c r="A1497" s="4"/>
      <c r="B1497" s="9"/>
      <c r="S1497" s="9"/>
      <c r="T1497" s="9"/>
      <c r="U1497" s="9"/>
      <c r="V1497" s="9"/>
    </row>
    <row r="1498" spans="1:24" ht="25.05" customHeight="1" x14ac:dyDescent="0.3">
      <c r="A1498" s="4"/>
      <c r="B1498" s="9"/>
      <c r="S1498" s="9"/>
      <c r="T1498" s="9"/>
      <c r="U1498" s="9"/>
      <c r="V1498" s="9"/>
    </row>
    <row r="1499" spans="1:24" ht="25.05" customHeight="1" x14ac:dyDescent="0.3">
      <c r="A1499" s="4"/>
      <c r="B1499" s="9"/>
      <c r="S1499" s="9"/>
      <c r="T1499" s="9"/>
      <c r="U1499" s="9"/>
      <c r="V1499" s="9"/>
    </row>
    <row r="1500" spans="1:24" ht="25.05" customHeight="1" x14ac:dyDescent="0.3">
      <c r="A1500" s="4"/>
      <c r="B1500" s="9"/>
      <c r="S1500" s="9"/>
      <c r="T1500" s="9"/>
      <c r="U1500" s="9"/>
      <c r="V1500" s="9"/>
    </row>
    <row r="1501" spans="1:24" ht="25.05" customHeight="1" x14ac:dyDescent="0.3">
      <c r="A1501" s="4"/>
      <c r="B1501" s="9"/>
      <c r="S1501" s="9"/>
      <c r="T1501" s="9"/>
      <c r="U1501" s="9"/>
      <c r="V1501" s="9"/>
    </row>
    <row r="1502" spans="1:24" ht="25.05" customHeight="1" x14ac:dyDescent="0.3">
      <c r="A1502" s="4"/>
      <c r="B1502" s="9"/>
      <c r="S1502" s="9"/>
      <c r="T1502" s="9"/>
      <c r="U1502" s="9"/>
      <c r="V1502" s="9"/>
    </row>
    <row r="1503" spans="1:24" ht="25.05" customHeight="1" x14ac:dyDescent="0.3">
      <c r="A1503" s="4"/>
      <c r="B1503" s="9"/>
      <c r="S1503" s="9"/>
      <c r="T1503" s="9"/>
      <c r="U1503" s="9"/>
      <c r="V1503" s="9"/>
    </row>
    <row r="1504" spans="1:24" ht="25.05" customHeight="1" x14ac:dyDescent="0.3">
      <c r="A1504" s="4"/>
      <c r="B1504" s="9"/>
      <c r="S1504" s="9"/>
      <c r="T1504" s="9"/>
      <c r="U1504" s="9"/>
      <c r="V1504" s="9"/>
    </row>
    <row r="1505" spans="1:22" ht="25.05" customHeight="1" x14ac:dyDescent="0.3">
      <c r="A1505" s="4"/>
      <c r="B1505" s="9"/>
      <c r="S1505" s="9"/>
      <c r="T1505" s="9"/>
      <c r="U1505" s="9"/>
      <c r="V1505" s="9"/>
    </row>
    <row r="1506" spans="1:22" ht="25.05" customHeight="1" x14ac:dyDescent="0.3">
      <c r="A1506" s="4"/>
      <c r="B1506" s="9"/>
      <c r="S1506" s="9"/>
      <c r="T1506" s="9"/>
      <c r="U1506" s="9"/>
      <c r="V1506" s="9"/>
    </row>
    <row r="1507" spans="1:22" ht="25.05" customHeight="1" x14ac:dyDescent="0.3">
      <c r="A1507" s="4"/>
      <c r="B1507" s="9"/>
      <c r="S1507" s="9"/>
      <c r="T1507" s="9"/>
      <c r="U1507" s="9"/>
      <c r="V1507" s="9"/>
    </row>
    <row r="1508" spans="1:22" ht="25.05" customHeight="1" x14ac:dyDescent="0.3">
      <c r="A1508" s="4"/>
      <c r="B1508" s="9"/>
      <c r="S1508" s="9"/>
      <c r="T1508" s="9"/>
      <c r="U1508" s="9"/>
      <c r="V1508" s="9"/>
    </row>
    <row r="1509" spans="1:22" ht="25.05" customHeight="1" x14ac:dyDescent="0.3">
      <c r="A1509" s="4"/>
      <c r="B1509" s="9"/>
      <c r="S1509" s="9"/>
      <c r="T1509" s="9"/>
      <c r="U1509" s="9"/>
      <c r="V1509" s="9"/>
    </row>
    <row r="1510" spans="1:22" ht="25.05" customHeight="1" x14ac:dyDescent="0.3">
      <c r="A1510" s="4"/>
      <c r="B1510" s="9"/>
      <c r="S1510" s="9"/>
      <c r="T1510" s="9"/>
      <c r="U1510" s="9"/>
      <c r="V1510" s="9"/>
    </row>
    <row r="1511" spans="1:22" ht="25.05" customHeight="1" x14ac:dyDescent="0.3">
      <c r="A1511" s="4"/>
      <c r="B1511" s="9"/>
      <c r="S1511" s="9"/>
      <c r="T1511" s="9"/>
      <c r="U1511" s="9"/>
      <c r="V1511" s="9"/>
    </row>
    <row r="1512" spans="1:22" ht="25.05" customHeight="1" x14ac:dyDescent="0.3">
      <c r="A1512" s="4"/>
      <c r="B1512" s="9"/>
      <c r="S1512" s="9"/>
      <c r="T1512" s="9"/>
      <c r="U1512" s="9"/>
      <c r="V1512" s="9"/>
    </row>
    <row r="1513" spans="1:22" ht="25.05" customHeight="1" x14ac:dyDescent="0.3">
      <c r="A1513" s="4"/>
      <c r="B1513" s="9"/>
      <c r="S1513" s="9"/>
      <c r="T1513" s="9"/>
      <c r="U1513" s="9"/>
      <c r="V1513" s="9"/>
    </row>
    <row r="1514" spans="1:22" ht="25.05" customHeight="1" x14ac:dyDescent="0.3">
      <c r="A1514" s="4"/>
      <c r="B1514" s="9"/>
      <c r="S1514" s="9"/>
      <c r="T1514" s="9"/>
      <c r="U1514" s="9"/>
      <c r="V1514" s="9"/>
    </row>
    <row r="1515" spans="1:22" ht="25.05" customHeight="1" x14ac:dyDescent="0.3">
      <c r="A1515" s="4"/>
      <c r="B1515" s="9"/>
      <c r="S1515" s="9"/>
      <c r="T1515" s="9"/>
      <c r="U1515" s="9"/>
      <c r="V1515" s="9"/>
    </row>
    <row r="1516" spans="1:22" ht="25.05" customHeight="1" x14ac:dyDescent="0.3">
      <c r="A1516" s="4"/>
      <c r="B1516" s="9"/>
      <c r="S1516" s="9"/>
      <c r="T1516" s="9"/>
      <c r="U1516" s="9"/>
      <c r="V1516" s="9"/>
    </row>
    <row r="1517" spans="1:22" ht="25.05" customHeight="1" x14ac:dyDescent="0.3">
      <c r="A1517" s="4"/>
      <c r="B1517" s="9"/>
      <c r="S1517" s="9"/>
      <c r="T1517" s="9"/>
      <c r="U1517" s="9"/>
      <c r="V1517" s="9"/>
    </row>
    <row r="1518" spans="1:22" ht="25.05" customHeight="1" x14ac:dyDescent="0.3">
      <c r="A1518" s="4"/>
      <c r="B1518" s="9"/>
      <c r="S1518" s="9"/>
      <c r="T1518" s="9"/>
      <c r="U1518" s="9"/>
      <c r="V1518" s="9"/>
    </row>
    <row r="1519" spans="1:22" ht="25.05" customHeight="1" x14ac:dyDescent="0.3">
      <c r="A1519" s="4"/>
      <c r="B1519" s="9"/>
      <c r="S1519" s="9"/>
      <c r="T1519" s="9"/>
      <c r="U1519" s="9"/>
      <c r="V1519" s="9"/>
    </row>
    <row r="1520" spans="1:22" ht="25.05" customHeight="1" x14ac:dyDescent="0.3">
      <c r="A1520" s="4"/>
      <c r="B1520" s="9"/>
      <c r="S1520" s="9"/>
      <c r="T1520" s="9"/>
      <c r="U1520" s="9"/>
      <c r="V1520" s="9"/>
    </row>
    <row r="1521" spans="1:22" ht="25.05" customHeight="1" x14ac:dyDescent="0.3">
      <c r="A1521" s="4"/>
      <c r="B1521" s="9"/>
      <c r="S1521" s="9"/>
      <c r="T1521" s="9"/>
      <c r="U1521" s="9"/>
      <c r="V1521" s="9"/>
    </row>
    <row r="1522" spans="1:22" ht="25.05" customHeight="1" x14ac:dyDescent="0.3">
      <c r="A1522" s="4"/>
      <c r="B1522" s="9"/>
      <c r="S1522" s="9"/>
      <c r="T1522" s="9"/>
      <c r="U1522" s="9"/>
      <c r="V1522" s="9"/>
    </row>
    <row r="1523" spans="1:22" ht="25.05" customHeight="1" x14ac:dyDescent="0.3">
      <c r="A1523" s="4"/>
      <c r="B1523" s="9"/>
      <c r="S1523" s="9"/>
      <c r="T1523" s="9"/>
      <c r="U1523" s="9"/>
      <c r="V1523" s="9"/>
    </row>
    <row r="1524" spans="1:22" ht="25.05" customHeight="1" x14ac:dyDescent="0.3">
      <c r="A1524" s="4"/>
      <c r="B1524" s="9"/>
      <c r="S1524" s="9"/>
      <c r="T1524" s="9"/>
      <c r="U1524" s="9"/>
      <c r="V1524" s="9"/>
    </row>
    <row r="1525" spans="1:22" ht="25.05" customHeight="1" x14ac:dyDescent="0.3">
      <c r="A1525" s="4"/>
      <c r="B1525" s="9"/>
      <c r="S1525" s="9"/>
      <c r="T1525" s="9"/>
      <c r="U1525" s="9"/>
      <c r="V1525" s="9"/>
    </row>
    <row r="1526" spans="1:22" ht="25.05" customHeight="1" x14ac:dyDescent="0.3">
      <c r="A1526" s="4"/>
      <c r="B1526" s="9"/>
      <c r="S1526" s="9"/>
      <c r="T1526" s="9"/>
      <c r="U1526" s="9"/>
      <c r="V1526" s="9"/>
    </row>
    <row r="1527" spans="1:22" ht="25.05" customHeight="1" x14ac:dyDescent="0.3">
      <c r="A1527" s="4"/>
      <c r="B1527" s="9"/>
      <c r="S1527" s="9"/>
      <c r="T1527" s="9"/>
      <c r="U1527" s="9"/>
      <c r="V1527" s="9"/>
    </row>
    <row r="1528" spans="1:22" ht="25.05" customHeight="1" x14ac:dyDescent="0.3">
      <c r="A1528" s="4"/>
      <c r="B1528" s="9"/>
      <c r="S1528" s="9"/>
      <c r="T1528" s="9"/>
      <c r="U1528" s="9"/>
      <c r="V1528" s="9"/>
    </row>
    <row r="1529" spans="1:22" ht="25.05" customHeight="1" x14ac:dyDescent="0.3">
      <c r="A1529" s="4"/>
      <c r="B1529" s="9"/>
      <c r="S1529" s="9"/>
      <c r="T1529" s="9"/>
      <c r="U1529" s="9"/>
      <c r="V1529" s="9"/>
    </row>
    <row r="1530" spans="1:22" ht="25.05" customHeight="1" x14ac:dyDescent="0.3">
      <c r="A1530" s="4"/>
      <c r="B1530" s="9"/>
      <c r="S1530" s="9"/>
      <c r="T1530" s="9"/>
      <c r="U1530" s="9"/>
      <c r="V1530" s="9"/>
    </row>
    <row r="1531" spans="1:22" ht="25.05" customHeight="1" x14ac:dyDescent="0.3">
      <c r="A1531" s="4"/>
      <c r="B1531" s="9"/>
      <c r="S1531" s="9"/>
      <c r="T1531" s="9"/>
      <c r="U1531" s="9"/>
      <c r="V1531" s="9"/>
    </row>
    <row r="1532" spans="1:22" ht="25.05" customHeight="1" x14ac:dyDescent="0.3">
      <c r="A1532" s="4"/>
      <c r="B1532" s="9"/>
      <c r="S1532" s="9"/>
      <c r="T1532" s="9"/>
      <c r="U1532" s="9"/>
      <c r="V1532" s="9"/>
    </row>
    <row r="1533" spans="1:22" ht="25.05" customHeight="1" x14ac:dyDescent="0.3">
      <c r="A1533" s="4"/>
      <c r="B1533" s="9"/>
      <c r="S1533" s="9"/>
      <c r="T1533" s="9"/>
      <c r="U1533" s="9"/>
      <c r="V1533" s="9"/>
    </row>
    <row r="1534" spans="1:22" ht="25.05" customHeight="1" x14ac:dyDescent="0.3">
      <c r="A1534" s="4"/>
      <c r="B1534" s="9"/>
      <c r="S1534" s="9"/>
      <c r="T1534" s="9"/>
      <c r="U1534" s="9"/>
      <c r="V1534" s="9"/>
    </row>
    <row r="1535" spans="1:22" ht="25.05" customHeight="1" x14ac:dyDescent="0.3">
      <c r="A1535" s="4"/>
      <c r="B1535" s="9"/>
      <c r="S1535" s="9"/>
      <c r="T1535" s="9"/>
      <c r="U1535" s="9"/>
      <c r="V1535" s="9"/>
    </row>
    <row r="1536" spans="1:22" ht="25.05" customHeight="1" x14ac:dyDescent="0.3">
      <c r="A1536" s="4"/>
      <c r="B1536" s="9"/>
      <c r="S1536" s="9"/>
      <c r="T1536" s="9"/>
      <c r="U1536" s="9"/>
      <c r="V1536" s="9"/>
    </row>
    <row r="1537" spans="1:22" ht="25.05" customHeight="1" x14ac:dyDescent="0.3">
      <c r="A1537" s="4"/>
      <c r="B1537" s="9"/>
      <c r="S1537" s="9"/>
      <c r="T1537" s="9"/>
      <c r="U1537" s="9"/>
      <c r="V1537" s="9"/>
    </row>
    <row r="1538" spans="1:22" ht="25.05" customHeight="1" x14ac:dyDescent="0.3">
      <c r="A1538" s="4"/>
      <c r="B1538" s="9"/>
      <c r="S1538" s="9"/>
      <c r="T1538" s="9"/>
      <c r="U1538" s="9"/>
      <c r="V1538" s="9"/>
    </row>
    <row r="1539" spans="1:22" ht="25.05" customHeight="1" x14ac:dyDescent="0.3">
      <c r="A1539" s="4"/>
      <c r="B1539" s="9"/>
      <c r="S1539" s="9"/>
      <c r="T1539" s="9"/>
      <c r="U1539" s="9"/>
      <c r="V1539" s="9"/>
    </row>
    <row r="1540" spans="1:22" ht="25.05" customHeight="1" x14ac:dyDescent="0.3">
      <c r="A1540" s="4"/>
      <c r="B1540" s="9"/>
      <c r="S1540" s="9"/>
      <c r="T1540" s="9"/>
      <c r="U1540" s="9"/>
      <c r="V1540" s="9"/>
    </row>
    <row r="1541" spans="1:22" ht="25.05" customHeight="1" x14ac:dyDescent="0.3">
      <c r="A1541" s="4"/>
      <c r="B1541" s="9"/>
      <c r="S1541" s="9"/>
      <c r="T1541" s="9"/>
      <c r="U1541" s="9"/>
      <c r="V1541" s="9"/>
    </row>
    <row r="1542" spans="1:22" ht="25.05" customHeight="1" x14ac:dyDescent="0.3">
      <c r="A1542" s="4"/>
      <c r="B1542" s="9"/>
      <c r="S1542" s="9"/>
      <c r="T1542" s="9"/>
      <c r="U1542" s="9"/>
      <c r="V1542" s="9"/>
    </row>
    <row r="1543" spans="1:22" ht="25.05" customHeight="1" x14ac:dyDescent="0.3">
      <c r="A1543" s="4"/>
      <c r="B1543" s="9"/>
      <c r="S1543" s="9"/>
      <c r="T1543" s="9"/>
      <c r="U1543" s="9"/>
      <c r="V1543" s="9"/>
    </row>
    <row r="1544" spans="1:22" ht="25.05" customHeight="1" x14ac:dyDescent="0.3">
      <c r="A1544" s="4"/>
      <c r="B1544" s="9"/>
      <c r="S1544" s="9"/>
      <c r="T1544" s="9"/>
      <c r="U1544" s="9"/>
      <c r="V1544" s="9"/>
    </row>
    <row r="1545" spans="1:22" ht="25.05" customHeight="1" x14ac:dyDescent="0.3">
      <c r="A1545" s="4"/>
      <c r="B1545" s="9"/>
      <c r="S1545" s="9"/>
      <c r="T1545" s="9"/>
      <c r="U1545" s="9"/>
      <c r="V1545" s="9"/>
    </row>
    <row r="1546" spans="1:22" ht="25.05" customHeight="1" x14ac:dyDescent="0.3">
      <c r="A1546" s="4"/>
      <c r="B1546" s="9"/>
      <c r="S1546" s="9"/>
      <c r="T1546" s="9"/>
      <c r="U1546" s="9"/>
      <c r="V1546" s="9"/>
    </row>
    <row r="1547" spans="1:22" ht="25.05" customHeight="1" x14ac:dyDescent="0.3">
      <c r="A1547" s="4"/>
      <c r="B1547" s="9"/>
      <c r="S1547" s="9"/>
      <c r="T1547" s="9"/>
      <c r="U1547" s="9"/>
      <c r="V1547" s="9"/>
    </row>
    <row r="1548" spans="1:22" ht="25.05" customHeight="1" x14ac:dyDescent="0.3">
      <c r="A1548" s="4"/>
      <c r="B1548" s="9"/>
      <c r="S1548" s="9"/>
      <c r="T1548" s="9"/>
      <c r="U1548" s="9"/>
      <c r="V1548" s="9"/>
    </row>
    <row r="1549" spans="1:22" ht="25.05" customHeight="1" x14ac:dyDescent="0.3">
      <c r="A1549" s="4"/>
      <c r="B1549" s="9"/>
      <c r="S1549" s="9"/>
      <c r="T1549" s="9"/>
      <c r="U1549" s="9"/>
      <c r="V1549" s="9"/>
    </row>
    <row r="1550" spans="1:22" ht="25.05" customHeight="1" x14ac:dyDescent="0.3">
      <c r="A1550" s="4"/>
      <c r="B1550" s="9"/>
      <c r="S1550" s="9"/>
      <c r="T1550" s="9"/>
      <c r="U1550" s="9"/>
      <c r="V1550" s="9"/>
    </row>
    <row r="1551" spans="1:22" ht="25.05" customHeight="1" x14ac:dyDescent="0.3">
      <c r="A1551" s="4"/>
      <c r="B1551" s="9"/>
      <c r="S1551" s="9"/>
      <c r="T1551" s="9"/>
      <c r="U1551" s="9"/>
      <c r="V1551" s="9"/>
    </row>
    <row r="1552" spans="1:22" ht="25.05" customHeight="1" x14ac:dyDescent="0.3">
      <c r="A1552" s="4"/>
      <c r="B1552" s="9"/>
      <c r="S1552" s="9"/>
      <c r="T1552" s="9"/>
      <c r="U1552" s="9"/>
      <c r="V1552" s="9"/>
    </row>
    <row r="1553" spans="1:22" ht="25.05" customHeight="1" x14ac:dyDescent="0.3">
      <c r="A1553" s="4"/>
      <c r="B1553" s="9"/>
      <c r="S1553" s="9"/>
      <c r="T1553" s="9"/>
      <c r="U1553" s="9"/>
      <c r="V1553" s="9"/>
    </row>
    <row r="1554" spans="1:22" ht="25.05" customHeight="1" x14ac:dyDescent="0.3">
      <c r="A1554" s="4"/>
      <c r="B1554" s="9"/>
      <c r="S1554" s="9"/>
      <c r="T1554" s="9"/>
      <c r="U1554" s="9"/>
      <c r="V1554" s="9"/>
    </row>
    <row r="1555" spans="1:22" ht="25.05" customHeight="1" x14ac:dyDescent="0.3">
      <c r="A1555" s="4"/>
      <c r="B1555" s="9"/>
      <c r="S1555" s="9"/>
      <c r="T1555" s="9"/>
      <c r="U1555" s="9"/>
      <c r="V1555" s="9"/>
    </row>
    <row r="1556" spans="1:22" ht="25.05" customHeight="1" x14ac:dyDescent="0.3">
      <c r="A1556" s="4"/>
      <c r="B1556" s="9"/>
      <c r="S1556" s="9"/>
      <c r="T1556" s="9"/>
      <c r="U1556" s="9"/>
      <c r="V1556" s="9"/>
    </row>
    <row r="1557" spans="1:22" ht="25.05" customHeight="1" x14ac:dyDescent="0.3">
      <c r="A1557" s="4"/>
      <c r="B1557" s="9"/>
      <c r="S1557" s="9"/>
      <c r="T1557" s="9"/>
      <c r="U1557" s="9"/>
      <c r="V1557" s="9"/>
    </row>
    <row r="1558" spans="1:22" ht="25.05" customHeight="1" x14ac:dyDescent="0.3">
      <c r="A1558" s="4"/>
      <c r="B1558" s="9"/>
      <c r="S1558" s="9"/>
      <c r="T1558" s="9"/>
      <c r="U1558" s="9"/>
      <c r="V1558" s="9"/>
    </row>
    <row r="1559" spans="1:22" ht="25.05" customHeight="1" x14ac:dyDescent="0.3">
      <c r="A1559" s="4"/>
      <c r="B1559" s="9"/>
      <c r="S1559" s="9"/>
      <c r="T1559" s="9"/>
      <c r="U1559" s="9"/>
      <c r="V1559" s="9"/>
    </row>
    <row r="1560" spans="1:22" ht="25.05" customHeight="1" x14ac:dyDescent="0.3">
      <c r="A1560" s="4"/>
      <c r="B1560" s="9"/>
      <c r="S1560" s="9"/>
      <c r="T1560" s="9"/>
      <c r="U1560" s="9"/>
      <c r="V1560" s="9"/>
    </row>
    <row r="1561" spans="1:22" ht="25.05" customHeight="1" x14ac:dyDescent="0.3">
      <c r="A1561" s="4"/>
      <c r="B1561" s="9"/>
      <c r="S1561" s="9"/>
      <c r="T1561" s="9"/>
      <c r="U1561" s="9"/>
      <c r="V1561" s="9"/>
    </row>
    <row r="1562" spans="1:22" ht="25.05" customHeight="1" x14ac:dyDescent="0.3">
      <c r="A1562" s="4"/>
      <c r="B1562" s="9"/>
      <c r="S1562" s="9"/>
      <c r="T1562" s="9"/>
      <c r="U1562" s="9"/>
      <c r="V1562" s="9"/>
    </row>
    <row r="1563" spans="1:22" ht="25.05" customHeight="1" x14ac:dyDescent="0.3">
      <c r="A1563" s="4"/>
      <c r="B1563" s="9"/>
      <c r="S1563" s="9"/>
      <c r="T1563" s="9"/>
      <c r="U1563" s="9"/>
      <c r="V1563" s="9"/>
    </row>
    <row r="1564" spans="1:22" ht="25.05" customHeight="1" x14ac:dyDescent="0.3">
      <c r="A1564" s="4"/>
      <c r="B1564" s="9"/>
      <c r="S1564" s="9"/>
      <c r="T1564" s="9"/>
      <c r="U1564" s="9"/>
      <c r="V1564" s="9"/>
    </row>
    <row r="1565" spans="1:22" ht="25.05" customHeight="1" x14ac:dyDescent="0.3">
      <c r="A1565" s="4"/>
      <c r="B1565" s="9"/>
      <c r="S1565" s="9"/>
      <c r="T1565" s="9"/>
      <c r="U1565" s="9"/>
      <c r="V1565" s="9"/>
    </row>
    <row r="1566" spans="1:22" ht="25.05" customHeight="1" x14ac:dyDescent="0.3">
      <c r="A1566" s="4"/>
      <c r="B1566" s="9"/>
      <c r="S1566" s="9"/>
      <c r="T1566" s="9"/>
      <c r="U1566" s="9"/>
      <c r="V1566" s="9"/>
    </row>
    <row r="1567" spans="1:22" ht="25.05" customHeight="1" x14ac:dyDescent="0.3">
      <c r="A1567" s="4"/>
      <c r="B1567" s="9"/>
      <c r="S1567" s="9"/>
      <c r="T1567" s="9"/>
      <c r="U1567" s="9"/>
      <c r="V1567" s="9"/>
    </row>
    <row r="1568" spans="1:22" ht="25.05" customHeight="1" x14ac:dyDescent="0.3">
      <c r="A1568" s="4"/>
      <c r="B1568" s="9"/>
      <c r="S1568" s="9"/>
      <c r="T1568" s="9"/>
      <c r="U1568" s="9"/>
      <c r="V156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7774-EDB7-4CC3-ACE5-2EBD15C4B074}">
  <dimension ref="A1:J400"/>
  <sheetViews>
    <sheetView topLeftCell="A221" zoomScale="85" zoomScaleNormal="85" workbookViewId="0">
      <selection activeCell="J242" sqref="J242:J243"/>
    </sheetView>
  </sheetViews>
  <sheetFormatPr defaultColWidth="8.77734375" defaultRowHeight="13.2" x14ac:dyDescent="0.3"/>
  <cols>
    <col min="1" max="1" width="8.77734375" style="9"/>
    <col min="2" max="2" width="30.6640625" style="9" customWidth="1"/>
    <col min="3" max="3" width="11.33203125" style="1" bestFit="1" customWidth="1"/>
    <col min="4" max="4" width="12.6640625" style="1" customWidth="1"/>
    <col min="5" max="5" width="8.77734375" style="1"/>
    <col min="6" max="6" width="11.5546875" style="1" customWidth="1"/>
    <col min="7" max="7" width="11.33203125" style="1" bestFit="1" customWidth="1"/>
    <col min="8" max="8" width="25.21875" style="1" customWidth="1"/>
    <col min="9" max="9" width="11.33203125" style="1" bestFit="1" customWidth="1"/>
    <col min="10" max="10" width="29.6640625" style="9" customWidth="1"/>
    <col min="11" max="16384" width="8.77734375" style="9"/>
  </cols>
  <sheetData>
    <row r="1" spans="2:10" x14ac:dyDescent="0.3">
      <c r="B1" s="9" t="s">
        <v>5329</v>
      </c>
    </row>
    <row r="2" spans="2:10" x14ac:dyDescent="0.3">
      <c r="B2" s="9" t="s">
        <v>5330</v>
      </c>
    </row>
    <row r="3" spans="2:10" x14ac:dyDescent="0.3">
      <c r="C3" s="20" t="s">
        <v>5331</v>
      </c>
      <c r="D3" s="20"/>
      <c r="E3" s="20"/>
      <c r="F3" s="20"/>
      <c r="G3" s="20"/>
    </row>
    <row r="4" spans="2:10" ht="157.94999999999999" customHeight="1" x14ac:dyDescent="0.3">
      <c r="B4" s="3" t="s">
        <v>5332</v>
      </c>
      <c r="C4" s="21" t="s">
        <v>5333</v>
      </c>
      <c r="D4" s="21"/>
      <c r="E4" s="21" t="s">
        <v>5334</v>
      </c>
      <c r="F4" s="21"/>
      <c r="G4" s="3" t="s">
        <v>5335</v>
      </c>
      <c r="H4" s="3" t="s">
        <v>5336</v>
      </c>
      <c r="I4" s="3" t="s">
        <v>5337</v>
      </c>
      <c r="J4" s="9" t="s">
        <v>5364</v>
      </c>
    </row>
    <row r="5" spans="2:10" ht="28.05" customHeight="1" x14ac:dyDescent="0.3"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</row>
    <row r="6" spans="2:10" ht="28.05" customHeight="1" x14ac:dyDescent="0.3">
      <c r="B6" s="9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</row>
    <row r="7" spans="2:10" ht="28.05" customHeight="1" x14ac:dyDescent="0.3">
      <c r="B7" s="9" t="s">
        <v>5338</v>
      </c>
    </row>
    <row r="8" spans="2:10" ht="28.05" customHeight="1" x14ac:dyDescent="0.3">
      <c r="B8" s="9" t="s">
        <v>145</v>
      </c>
    </row>
    <row r="9" spans="2:10" ht="28.05" customHeight="1" x14ac:dyDescent="0.3">
      <c r="B9" s="4" t="s">
        <v>5339</v>
      </c>
      <c r="C9" s="6">
        <v>198533</v>
      </c>
      <c r="D9" s="6">
        <v>28213</v>
      </c>
      <c r="G9" s="6">
        <v>2642532</v>
      </c>
      <c r="H9" s="6">
        <v>22024</v>
      </c>
      <c r="I9" s="6">
        <v>2891302</v>
      </c>
      <c r="J9" s="9">
        <f>G9/I9</f>
        <v>0.91395917825256578</v>
      </c>
    </row>
    <row r="10" spans="2:10" ht="28.05" customHeight="1" x14ac:dyDescent="0.3">
      <c r="B10" s="4" t="s">
        <v>1221</v>
      </c>
      <c r="C10" s="6">
        <v>16242</v>
      </c>
      <c r="D10" s="6">
        <v>2461</v>
      </c>
      <c r="G10" s="6">
        <v>334661</v>
      </c>
      <c r="H10" s="6">
        <v>13686</v>
      </c>
      <c r="I10" s="6">
        <v>367050</v>
      </c>
      <c r="J10" s="9">
        <f t="shared" ref="J10:J73" si="0">G10/I10</f>
        <v>0.91175861599237162</v>
      </c>
    </row>
    <row r="11" spans="2:10" ht="28.05" customHeight="1" x14ac:dyDescent="0.3">
      <c r="B11" s="4" t="s">
        <v>5340</v>
      </c>
      <c r="C11" s="6">
        <v>93289</v>
      </c>
      <c r="D11" s="6">
        <v>1554</v>
      </c>
      <c r="G11" s="6">
        <v>748669</v>
      </c>
      <c r="H11" s="6">
        <v>79975</v>
      </c>
      <c r="I11" s="6">
        <v>923487</v>
      </c>
      <c r="J11" s="9">
        <f t="shared" si="0"/>
        <v>0.81069793077758534</v>
      </c>
    </row>
    <row r="12" spans="2:10" ht="28.05" customHeight="1" x14ac:dyDescent="0.3">
      <c r="B12" s="9" t="s">
        <v>5337</v>
      </c>
      <c r="C12" s="6">
        <v>308064</v>
      </c>
      <c r="D12" s="6">
        <v>32228</v>
      </c>
      <c r="G12" s="6">
        <v>3725862</v>
      </c>
      <c r="H12" s="6">
        <v>115685</v>
      </c>
      <c r="I12" s="6">
        <v>4181839</v>
      </c>
      <c r="J12" s="9">
        <f t="shared" si="0"/>
        <v>0.89096256455592859</v>
      </c>
    </row>
    <row r="13" spans="2:10" ht="28.05" customHeight="1" x14ac:dyDescent="0.3">
      <c r="B13" s="9" t="s">
        <v>155</v>
      </c>
      <c r="J13" s="9" t="e">
        <f t="shared" si="0"/>
        <v>#DIV/0!</v>
      </c>
    </row>
    <row r="14" spans="2:10" ht="28.05" customHeight="1" x14ac:dyDescent="0.3">
      <c r="B14" s="4" t="s">
        <v>5339</v>
      </c>
      <c r="C14" s="6">
        <v>44669</v>
      </c>
      <c r="D14" s="6">
        <v>5637</v>
      </c>
      <c r="G14" s="6">
        <v>1405991</v>
      </c>
      <c r="H14" s="6">
        <v>27195</v>
      </c>
      <c r="I14" s="6">
        <v>1483492</v>
      </c>
      <c r="J14" s="9">
        <f t="shared" si="0"/>
        <v>0.94775772299412464</v>
      </c>
    </row>
    <row r="15" spans="2:10" ht="28.05" customHeight="1" x14ac:dyDescent="0.3">
      <c r="B15" s="4" t="s">
        <v>1221</v>
      </c>
      <c r="C15" s="6">
        <v>724</v>
      </c>
      <c r="G15" s="6">
        <v>53611</v>
      </c>
      <c r="H15" s="6">
        <v>317</v>
      </c>
      <c r="I15" s="6">
        <v>54652</v>
      </c>
      <c r="J15" s="9">
        <f t="shared" si="0"/>
        <v>0.9809522066895997</v>
      </c>
    </row>
    <row r="16" spans="2:10" ht="28.05" customHeight="1" x14ac:dyDescent="0.3">
      <c r="B16" s="4" t="s">
        <v>5340</v>
      </c>
      <c r="C16" s="6">
        <v>83815</v>
      </c>
      <c r="D16" s="6">
        <v>5317</v>
      </c>
      <c r="G16" s="6">
        <v>2089338</v>
      </c>
      <c r="H16" s="6">
        <v>321754</v>
      </c>
      <c r="I16" s="6">
        <v>2500224</v>
      </c>
      <c r="J16" s="9">
        <f t="shared" si="0"/>
        <v>0.83566032483489483</v>
      </c>
    </row>
    <row r="17" spans="2:10" ht="28.05" customHeight="1" x14ac:dyDescent="0.3">
      <c r="B17" s="4" t="s">
        <v>5337</v>
      </c>
      <c r="C17" s="6">
        <v>129208</v>
      </c>
      <c r="D17" s="6">
        <v>10954</v>
      </c>
      <c r="G17" s="6">
        <v>3548940</v>
      </c>
      <c r="H17" s="6">
        <v>349266</v>
      </c>
      <c r="I17" s="6">
        <v>4038368</v>
      </c>
      <c r="J17" s="9">
        <f t="shared" si="0"/>
        <v>0.87880549766638405</v>
      </c>
    </row>
    <row r="18" spans="2:10" ht="28.05" customHeight="1" x14ac:dyDescent="0.3">
      <c r="B18" s="4" t="s">
        <v>163</v>
      </c>
      <c r="C18" s="6"/>
      <c r="D18" s="6"/>
      <c r="G18" s="6"/>
      <c r="H18" s="6"/>
      <c r="I18" s="6"/>
      <c r="J18" s="9" t="e">
        <f t="shared" si="0"/>
        <v>#DIV/0!</v>
      </c>
    </row>
    <row r="19" spans="2:10" ht="28.05" customHeight="1" x14ac:dyDescent="0.3">
      <c r="B19" s="4" t="s">
        <v>5339</v>
      </c>
      <c r="C19" s="6">
        <v>289265</v>
      </c>
      <c r="D19" s="6">
        <v>25467</v>
      </c>
      <c r="F19" s="1">
        <v>54</v>
      </c>
      <c r="G19" s="6">
        <v>2222687</v>
      </c>
      <c r="H19" s="6">
        <v>45101</v>
      </c>
      <c r="I19" s="6">
        <v>2582574</v>
      </c>
      <c r="J19" s="9">
        <f t="shared" si="0"/>
        <v>0.86064794271141887</v>
      </c>
    </row>
    <row r="20" spans="2:10" ht="28.05" customHeight="1" x14ac:dyDescent="0.3">
      <c r="B20" s="4" t="s">
        <v>1221</v>
      </c>
      <c r="C20" s="6">
        <v>47912</v>
      </c>
      <c r="D20" s="6">
        <v>4545</v>
      </c>
      <c r="F20" s="1">
        <v>80</v>
      </c>
      <c r="G20" s="6">
        <v>895440</v>
      </c>
      <c r="H20" s="6">
        <v>9286</v>
      </c>
      <c r="I20" s="6">
        <v>957263</v>
      </c>
      <c r="J20" s="9">
        <f t="shared" si="0"/>
        <v>0.93541691259350879</v>
      </c>
    </row>
    <row r="21" spans="2:10" ht="28.05" customHeight="1" x14ac:dyDescent="0.3">
      <c r="B21" s="4" t="s">
        <v>5340</v>
      </c>
      <c r="C21" s="6">
        <v>126233</v>
      </c>
      <c r="D21" s="6">
        <v>8858</v>
      </c>
      <c r="G21" s="6">
        <v>2429173</v>
      </c>
      <c r="H21" s="6">
        <v>106304</v>
      </c>
      <c r="I21" s="6">
        <v>2670568</v>
      </c>
      <c r="J21" s="9">
        <f t="shared" si="0"/>
        <v>0.90960911686203083</v>
      </c>
    </row>
    <row r="22" spans="2:10" ht="28.05" customHeight="1" x14ac:dyDescent="0.3">
      <c r="B22" s="4" t="s">
        <v>5337</v>
      </c>
      <c r="C22" s="6">
        <v>463410</v>
      </c>
      <c r="D22" s="6">
        <v>38870</v>
      </c>
      <c r="F22" s="1">
        <v>134</v>
      </c>
      <c r="G22" s="6">
        <v>5547300</v>
      </c>
      <c r="H22" s="6">
        <v>160691</v>
      </c>
      <c r="I22" s="6">
        <v>6210405</v>
      </c>
      <c r="J22" s="9">
        <f t="shared" si="0"/>
        <v>0.89322677023479147</v>
      </c>
    </row>
    <row r="23" spans="2:10" ht="28.05" customHeight="1" x14ac:dyDescent="0.3">
      <c r="B23" s="4" t="s">
        <v>176</v>
      </c>
      <c r="J23" s="9" t="e">
        <f t="shared" si="0"/>
        <v>#DIV/0!</v>
      </c>
    </row>
    <row r="24" spans="2:10" ht="28.05" customHeight="1" x14ac:dyDescent="0.3">
      <c r="B24" s="4" t="s">
        <v>5339</v>
      </c>
      <c r="C24" s="6">
        <v>27982</v>
      </c>
      <c r="D24" s="6">
        <v>13163</v>
      </c>
      <c r="F24" s="6"/>
      <c r="G24" s="6">
        <v>1788530</v>
      </c>
      <c r="H24" s="6">
        <v>22006</v>
      </c>
      <c r="I24" s="6">
        <v>1851681</v>
      </c>
      <c r="J24" s="9">
        <f t="shared" si="0"/>
        <v>0.96589531350162361</v>
      </c>
    </row>
    <row r="25" spans="2:10" ht="28.05" customHeight="1" x14ac:dyDescent="0.3">
      <c r="B25" s="4" t="s">
        <v>5340</v>
      </c>
      <c r="C25" s="6">
        <v>38756</v>
      </c>
      <c r="D25" s="6">
        <v>5738</v>
      </c>
      <c r="G25" s="6">
        <v>530595</v>
      </c>
      <c r="H25" s="6">
        <v>56707</v>
      </c>
      <c r="I25" s="6">
        <v>631796</v>
      </c>
      <c r="J25" s="9">
        <f t="shared" si="0"/>
        <v>0.83982013181469972</v>
      </c>
    </row>
    <row r="26" spans="2:10" ht="28.05" customHeight="1" x14ac:dyDescent="0.3">
      <c r="B26" s="4" t="s">
        <v>5337</v>
      </c>
      <c r="C26" s="6">
        <v>66738</v>
      </c>
      <c r="D26" s="6">
        <v>18901</v>
      </c>
      <c r="G26" s="6">
        <v>2319125</v>
      </c>
      <c r="H26" s="6">
        <v>78713</v>
      </c>
      <c r="I26" s="6">
        <v>2483477</v>
      </c>
      <c r="J26" s="9">
        <f t="shared" si="0"/>
        <v>0.93382181514062745</v>
      </c>
    </row>
    <row r="27" spans="2:10" ht="28.05" customHeight="1" x14ac:dyDescent="0.3">
      <c r="B27" s="4" t="s">
        <v>178</v>
      </c>
      <c r="J27" s="9" t="e">
        <f t="shared" si="0"/>
        <v>#DIV/0!</v>
      </c>
    </row>
    <row r="28" spans="2:10" ht="28.05" customHeight="1" x14ac:dyDescent="0.3">
      <c r="B28" s="4" t="s">
        <v>5339</v>
      </c>
      <c r="C28" s="6">
        <v>594970</v>
      </c>
      <c r="D28" s="6">
        <v>15875</v>
      </c>
      <c r="E28" s="6">
        <v>13243</v>
      </c>
      <c r="F28" s="1">
        <v>210</v>
      </c>
      <c r="G28" s="6">
        <v>3543806</v>
      </c>
      <c r="H28" s="6">
        <v>37851</v>
      </c>
      <c r="I28" s="6">
        <v>4206035</v>
      </c>
      <c r="J28" s="9">
        <f t="shared" si="0"/>
        <v>0.84255266539626983</v>
      </c>
    </row>
    <row r="29" spans="2:10" ht="28.05" customHeight="1" x14ac:dyDescent="0.3">
      <c r="B29" s="4" t="s">
        <v>1221</v>
      </c>
      <c r="C29" s="6">
        <v>302778</v>
      </c>
      <c r="D29" s="6">
        <v>7029</v>
      </c>
      <c r="E29" s="6">
        <v>2589</v>
      </c>
      <c r="F29" s="1">
        <v>731</v>
      </c>
      <c r="G29" s="6">
        <v>3361901</v>
      </c>
      <c r="H29" s="6">
        <v>54010</v>
      </c>
      <c r="I29" s="6">
        <v>3729038</v>
      </c>
      <c r="J29" s="9">
        <f t="shared" si="0"/>
        <v>0.90154645782638843</v>
      </c>
    </row>
    <row r="30" spans="2:10" ht="28.05" customHeight="1" x14ac:dyDescent="0.3">
      <c r="B30" s="4" t="s">
        <v>5340</v>
      </c>
      <c r="C30" s="6">
        <v>128182</v>
      </c>
      <c r="D30" s="6">
        <v>4973</v>
      </c>
      <c r="E30" s="6">
        <v>4571</v>
      </c>
      <c r="F30" s="1">
        <v>59</v>
      </c>
      <c r="G30" s="6">
        <v>1730800</v>
      </c>
      <c r="H30" s="6">
        <v>99725</v>
      </c>
      <c r="I30" s="6">
        <v>1968310</v>
      </c>
      <c r="J30" s="9">
        <f t="shared" si="0"/>
        <v>0.87933303189030187</v>
      </c>
    </row>
    <row r="31" spans="2:10" ht="28.05" customHeight="1" x14ac:dyDescent="0.3">
      <c r="B31" s="4" t="s">
        <v>5337</v>
      </c>
      <c r="C31" s="6">
        <v>1025930</v>
      </c>
      <c r="D31" s="6">
        <v>27877</v>
      </c>
      <c r="E31" s="6">
        <v>20403</v>
      </c>
      <c r="F31" s="6">
        <v>1000</v>
      </c>
      <c r="G31" s="6">
        <v>8636587</v>
      </c>
      <c r="H31" s="6">
        <v>191586</v>
      </c>
      <c r="I31" s="6">
        <v>9903383</v>
      </c>
      <c r="J31" s="9">
        <f t="shared" si="0"/>
        <v>0.87208451899719519</v>
      </c>
    </row>
    <row r="32" spans="2:10" ht="28.05" customHeight="1" x14ac:dyDescent="0.3">
      <c r="B32" s="4" t="s">
        <v>211</v>
      </c>
      <c r="J32" s="9" t="e">
        <f t="shared" si="0"/>
        <v>#DIV/0!</v>
      </c>
    </row>
    <row r="33" spans="2:10" ht="28.05" customHeight="1" x14ac:dyDescent="0.3">
      <c r="B33" s="4" t="s">
        <v>5339</v>
      </c>
      <c r="C33" s="6">
        <v>31971</v>
      </c>
      <c r="D33" s="6">
        <v>6138</v>
      </c>
      <c r="E33" s="6">
        <v>7723</v>
      </c>
      <c r="G33" s="6">
        <v>1229209</v>
      </c>
      <c r="H33" s="6">
        <v>27865</v>
      </c>
      <c r="I33" s="6">
        <v>1302906</v>
      </c>
      <c r="J33" s="9">
        <f t="shared" si="0"/>
        <v>0.94343644130888948</v>
      </c>
    </row>
    <row r="34" spans="2:10" ht="28.05" customHeight="1" x14ac:dyDescent="0.3">
      <c r="B34" s="4" t="s">
        <v>1221</v>
      </c>
      <c r="C34" s="6">
        <v>39170</v>
      </c>
      <c r="D34" s="6">
        <v>4226</v>
      </c>
      <c r="E34" s="6">
        <v>892</v>
      </c>
      <c r="G34" s="6">
        <v>970287</v>
      </c>
      <c r="H34" s="6">
        <v>21316</v>
      </c>
      <c r="I34" s="6">
        <v>1035891</v>
      </c>
      <c r="J34" s="9">
        <f t="shared" si="0"/>
        <v>0.93666901247332002</v>
      </c>
    </row>
    <row r="35" spans="2:10" ht="28.05" customHeight="1" x14ac:dyDescent="0.3">
      <c r="B35" s="4" t="s">
        <v>5340</v>
      </c>
      <c r="C35" s="6">
        <v>59842</v>
      </c>
      <c r="D35" s="6">
        <v>1635</v>
      </c>
      <c r="E35" s="6">
        <v>586</v>
      </c>
      <c r="F35" s="6">
        <v>585</v>
      </c>
      <c r="G35" s="6">
        <v>1017431</v>
      </c>
      <c r="H35" s="6">
        <v>36810</v>
      </c>
      <c r="I35" s="6">
        <v>1116889</v>
      </c>
      <c r="J35" s="9">
        <f t="shared" si="0"/>
        <v>0.91095086440998163</v>
      </c>
    </row>
    <row r="36" spans="2:10" ht="28.05" customHeight="1" x14ac:dyDescent="0.3">
      <c r="B36" s="4" t="s">
        <v>5337</v>
      </c>
      <c r="C36" s="6">
        <v>130983</v>
      </c>
      <c r="D36" s="6">
        <v>11999</v>
      </c>
      <c r="E36" s="6">
        <v>9201</v>
      </c>
      <c r="F36" s="6">
        <v>585</v>
      </c>
      <c r="G36" s="6">
        <v>3216927</v>
      </c>
      <c r="H36" s="6">
        <v>85991</v>
      </c>
      <c r="I36" s="6">
        <v>3455686</v>
      </c>
      <c r="J36" s="9">
        <f t="shared" si="0"/>
        <v>0.93090836378073705</v>
      </c>
    </row>
    <row r="37" spans="2:10" ht="28.05" customHeight="1" x14ac:dyDescent="0.3">
      <c r="B37" s="4" t="s">
        <v>232</v>
      </c>
      <c r="J37" s="9" t="e">
        <f t="shared" si="0"/>
        <v>#DIV/0!</v>
      </c>
    </row>
    <row r="38" spans="2:10" ht="28.05" customHeight="1" x14ac:dyDescent="0.3">
      <c r="B38" s="4" t="s">
        <v>5339</v>
      </c>
      <c r="C38" s="6">
        <v>76800</v>
      </c>
      <c r="D38" s="6">
        <v>1139</v>
      </c>
      <c r="E38" s="6">
        <v>3473</v>
      </c>
      <c r="G38" s="6">
        <v>437699</v>
      </c>
      <c r="H38" s="6">
        <v>3168</v>
      </c>
      <c r="I38" s="6">
        <v>522279</v>
      </c>
      <c r="J38" s="9">
        <f t="shared" si="0"/>
        <v>0.83805590498564941</v>
      </c>
    </row>
    <row r="39" spans="2:10" ht="28.05" customHeight="1" x14ac:dyDescent="0.3">
      <c r="B39" s="4" t="s">
        <v>1221</v>
      </c>
      <c r="C39" s="6">
        <v>8751</v>
      </c>
      <c r="D39" s="6">
        <v>1236</v>
      </c>
      <c r="E39" s="6">
        <v>89</v>
      </c>
      <c r="G39" s="6">
        <v>299958</v>
      </c>
      <c r="H39" s="6">
        <v>3632</v>
      </c>
      <c r="I39" s="6">
        <v>313666</v>
      </c>
      <c r="J39" s="9">
        <f t="shared" si="0"/>
        <v>0.95629746290640361</v>
      </c>
    </row>
    <row r="40" spans="2:10" ht="28.05" customHeight="1" x14ac:dyDescent="0.3">
      <c r="B40" s="4" t="s">
        <v>5340</v>
      </c>
      <c r="C40" s="6">
        <v>60989</v>
      </c>
      <c r="D40" s="6">
        <v>1029</v>
      </c>
      <c r="E40" s="6">
        <v>150</v>
      </c>
      <c r="G40" s="6">
        <v>761721</v>
      </c>
      <c r="H40" s="6">
        <v>135711</v>
      </c>
      <c r="I40" s="6">
        <v>959600</v>
      </c>
      <c r="J40" s="9">
        <f t="shared" si="0"/>
        <v>0.79379012088370149</v>
      </c>
    </row>
    <row r="41" spans="2:10" ht="28.05" customHeight="1" x14ac:dyDescent="0.3">
      <c r="B41" s="4" t="s">
        <v>5337</v>
      </c>
      <c r="C41" s="6">
        <v>146540</v>
      </c>
      <c r="D41" s="6">
        <v>3404</v>
      </c>
      <c r="E41" s="6">
        <v>3712</v>
      </c>
      <c r="G41" s="6">
        <v>1499378</v>
      </c>
      <c r="H41" s="6">
        <v>142511</v>
      </c>
      <c r="I41" s="6">
        <v>1795545</v>
      </c>
      <c r="J41" s="9">
        <f t="shared" si="0"/>
        <v>0.83505453775873062</v>
      </c>
    </row>
    <row r="42" spans="2:10" ht="28.05" customHeight="1" x14ac:dyDescent="0.3">
      <c r="B42" s="4" t="s">
        <v>239</v>
      </c>
      <c r="J42" s="9" t="e">
        <f t="shared" si="0"/>
        <v>#DIV/0!</v>
      </c>
    </row>
    <row r="43" spans="2:10" ht="28.05" customHeight="1" x14ac:dyDescent="0.3">
      <c r="B43" s="4" t="s">
        <v>5339</v>
      </c>
      <c r="C43" s="6">
        <v>164160</v>
      </c>
      <c r="D43" s="6">
        <v>3985</v>
      </c>
      <c r="F43" s="1">
        <v>82</v>
      </c>
      <c r="G43" s="6">
        <v>1335556</v>
      </c>
      <c r="H43" s="6">
        <v>19260</v>
      </c>
      <c r="I43" s="6">
        <v>1523043</v>
      </c>
      <c r="J43" s="9">
        <f t="shared" si="0"/>
        <v>0.87689973296879997</v>
      </c>
    </row>
    <row r="44" spans="2:10" ht="28.05" customHeight="1" x14ac:dyDescent="0.3">
      <c r="B44" s="4" t="s">
        <v>1221</v>
      </c>
      <c r="C44" s="6">
        <v>232441</v>
      </c>
      <c r="D44" s="6">
        <v>4695</v>
      </c>
      <c r="F44" s="1">
        <v>248</v>
      </c>
      <c r="G44" s="6">
        <v>1810045</v>
      </c>
      <c r="H44" s="6">
        <v>14166</v>
      </c>
      <c r="I44" s="6">
        <v>2061595</v>
      </c>
      <c r="J44" s="9">
        <f t="shared" si="0"/>
        <v>0.87798282397852145</v>
      </c>
    </row>
    <row r="45" spans="2:10" ht="28.05" customHeight="1" x14ac:dyDescent="0.3">
      <c r="B45" s="4" t="s">
        <v>5340</v>
      </c>
      <c r="C45" s="6">
        <v>312137</v>
      </c>
      <c r="D45" s="6">
        <v>9992</v>
      </c>
      <c r="F45" s="1">
        <v>48</v>
      </c>
      <c r="G45" s="6">
        <v>2770046</v>
      </c>
      <c r="H45" s="6">
        <v>55069</v>
      </c>
      <c r="I45" s="6">
        <v>3147292</v>
      </c>
      <c r="J45" s="9">
        <f t="shared" si="0"/>
        <v>0.88013632036684231</v>
      </c>
    </row>
    <row r="46" spans="2:10" ht="28.05" customHeight="1" x14ac:dyDescent="0.3">
      <c r="B46" s="4" t="s">
        <v>5337</v>
      </c>
      <c r="C46" s="6">
        <v>708738</v>
      </c>
      <c r="D46" s="6">
        <v>18672</v>
      </c>
      <c r="F46" s="1">
        <v>378</v>
      </c>
      <c r="G46" s="6">
        <v>5915647</v>
      </c>
      <c r="H46" s="6">
        <v>88495</v>
      </c>
      <c r="I46" s="6">
        <v>6731930</v>
      </c>
      <c r="J46" s="9">
        <f t="shared" si="0"/>
        <v>0.87874457993472899</v>
      </c>
    </row>
    <row r="47" spans="2:10" ht="28.05" customHeight="1" x14ac:dyDescent="0.3">
      <c r="B47" s="4" t="s">
        <v>260</v>
      </c>
      <c r="J47" s="9" t="e">
        <f t="shared" si="0"/>
        <v>#DIV/0!</v>
      </c>
    </row>
    <row r="48" spans="2:10" ht="28.05" customHeight="1" x14ac:dyDescent="0.3">
      <c r="B48" s="4" t="s">
        <v>5339</v>
      </c>
      <c r="C48" s="6">
        <v>28038</v>
      </c>
      <c r="D48" s="6">
        <v>6584</v>
      </c>
      <c r="E48" s="1">
        <v>53</v>
      </c>
      <c r="G48" s="6">
        <v>1964356</v>
      </c>
      <c r="H48" s="6">
        <v>27689</v>
      </c>
      <c r="I48" s="6">
        <v>2026720</v>
      </c>
      <c r="J48" s="9">
        <f t="shared" si="0"/>
        <v>0.96922909923423073</v>
      </c>
    </row>
    <row r="49" spans="2:10" ht="28.05" customHeight="1" x14ac:dyDescent="0.3">
      <c r="B49" s="4" t="s">
        <v>1221</v>
      </c>
      <c r="C49" s="6">
        <v>26383</v>
      </c>
      <c r="D49" s="6">
        <v>3769</v>
      </c>
      <c r="E49" s="6">
        <v>1960</v>
      </c>
      <c r="F49" s="1">
        <v>250</v>
      </c>
      <c r="G49" s="6">
        <v>2445037</v>
      </c>
      <c r="H49" s="6">
        <v>17903</v>
      </c>
      <c r="I49" s="6">
        <v>2495302</v>
      </c>
      <c r="J49" s="9">
        <f t="shared" si="0"/>
        <v>0.97985614566894108</v>
      </c>
    </row>
    <row r="50" spans="2:10" ht="28.05" customHeight="1" x14ac:dyDescent="0.3">
      <c r="B50" s="4" t="s">
        <v>5340</v>
      </c>
      <c r="C50" s="6">
        <v>73608</v>
      </c>
      <c r="D50" s="6">
        <v>5972</v>
      </c>
      <c r="E50" s="1">
        <v>109</v>
      </c>
      <c r="G50" s="6">
        <v>2181325</v>
      </c>
      <c r="H50" s="6">
        <v>74536</v>
      </c>
      <c r="I50" s="6">
        <v>2335550</v>
      </c>
      <c r="J50" s="9">
        <f t="shared" si="0"/>
        <v>0.93396630344030318</v>
      </c>
    </row>
    <row r="51" spans="2:10" ht="28.05" customHeight="1" x14ac:dyDescent="0.3">
      <c r="B51" s="4" t="s">
        <v>5337</v>
      </c>
      <c r="C51" s="6">
        <v>128029</v>
      </c>
      <c r="D51" s="6">
        <v>16325</v>
      </c>
      <c r="E51" s="6">
        <v>2122</v>
      </c>
      <c r="F51" s="1">
        <v>250</v>
      </c>
      <c r="G51" s="6">
        <v>6590718</v>
      </c>
      <c r="H51" s="6">
        <v>120128</v>
      </c>
      <c r="I51" s="6">
        <v>6857572</v>
      </c>
      <c r="J51" s="9">
        <f t="shared" si="0"/>
        <v>0.96108622702029234</v>
      </c>
    </row>
    <row r="52" spans="2:10" ht="28.05" customHeight="1" x14ac:dyDescent="0.3">
      <c r="B52" s="4" t="s">
        <v>292</v>
      </c>
      <c r="J52" s="9" t="e">
        <f t="shared" si="0"/>
        <v>#DIV/0!</v>
      </c>
    </row>
    <row r="53" spans="2:10" ht="28.05" customHeight="1" x14ac:dyDescent="0.3">
      <c r="B53" s="4" t="s">
        <v>5339</v>
      </c>
      <c r="C53" s="6">
        <v>53058</v>
      </c>
      <c r="D53" s="6">
        <v>7882</v>
      </c>
      <c r="E53" s="6">
        <v>1857</v>
      </c>
      <c r="F53" s="6">
        <v>614</v>
      </c>
      <c r="G53" s="6">
        <v>2236708</v>
      </c>
      <c r="H53" s="6">
        <v>34922</v>
      </c>
      <c r="I53" s="6">
        <v>2335041</v>
      </c>
      <c r="J53" s="9">
        <f t="shared" si="0"/>
        <v>0.95788810560499793</v>
      </c>
    </row>
    <row r="54" spans="2:10" ht="28.05" customHeight="1" x14ac:dyDescent="0.3">
      <c r="B54" s="4" t="s">
        <v>1221</v>
      </c>
      <c r="C54" s="6">
        <v>5857</v>
      </c>
      <c r="D54" s="6">
        <v>364</v>
      </c>
      <c r="G54" s="6">
        <v>359481</v>
      </c>
      <c r="H54" s="6">
        <v>34492</v>
      </c>
      <c r="I54" s="6">
        <v>400194</v>
      </c>
      <c r="J54" s="9">
        <f t="shared" si="0"/>
        <v>0.89826684058231754</v>
      </c>
    </row>
    <row r="55" spans="2:10" ht="28.05" customHeight="1" x14ac:dyDescent="0.3">
      <c r="B55" s="4" t="s">
        <v>5340</v>
      </c>
      <c r="C55" s="6">
        <v>27388</v>
      </c>
      <c r="D55" s="6">
        <v>5000</v>
      </c>
      <c r="G55" s="6">
        <v>825346</v>
      </c>
      <c r="H55" s="6">
        <v>67742</v>
      </c>
      <c r="I55" s="6">
        <v>925476</v>
      </c>
      <c r="J55" s="9">
        <f t="shared" si="0"/>
        <v>0.89180702687049695</v>
      </c>
    </row>
    <row r="56" spans="2:10" ht="28.05" customHeight="1" x14ac:dyDescent="0.3">
      <c r="B56" s="4" t="s">
        <v>5337</v>
      </c>
      <c r="C56" s="6">
        <v>86303</v>
      </c>
      <c r="D56" s="6">
        <v>13246</v>
      </c>
      <c r="E56" s="6">
        <v>1857</v>
      </c>
      <c r="F56" s="1">
        <v>614</v>
      </c>
      <c r="G56" s="6">
        <v>3421535</v>
      </c>
      <c r="H56" s="6">
        <v>137156</v>
      </c>
      <c r="I56" s="6">
        <v>3660711</v>
      </c>
      <c r="J56" s="9">
        <f t="shared" si="0"/>
        <v>0.9346640584301793</v>
      </c>
    </row>
    <row r="57" spans="2:10" ht="28.05" customHeight="1" x14ac:dyDescent="0.3">
      <c r="B57" s="4" t="s">
        <v>304</v>
      </c>
      <c r="J57" s="9" t="e">
        <f t="shared" si="0"/>
        <v>#DIV/0!</v>
      </c>
    </row>
    <row r="58" spans="2:10" ht="28.05" customHeight="1" x14ac:dyDescent="0.3">
      <c r="B58" s="4" t="s">
        <v>5339</v>
      </c>
      <c r="C58" s="6">
        <v>136048</v>
      </c>
      <c r="D58" s="6">
        <v>10828</v>
      </c>
      <c r="E58" s="6">
        <v>6201</v>
      </c>
      <c r="F58" s="6">
        <v>2200</v>
      </c>
      <c r="G58" s="6">
        <v>1400473</v>
      </c>
      <c r="H58" s="6">
        <v>13043</v>
      </c>
      <c r="I58" s="6">
        <v>1568793</v>
      </c>
      <c r="J58" s="9">
        <f t="shared" si="0"/>
        <v>0.89270732340085657</v>
      </c>
    </row>
    <row r="59" spans="2:10" ht="28.05" customHeight="1" x14ac:dyDescent="0.3">
      <c r="B59" s="4" t="s">
        <v>1221</v>
      </c>
      <c r="C59" s="6">
        <v>705446</v>
      </c>
      <c r="D59" s="6">
        <v>21248</v>
      </c>
      <c r="E59" s="6">
        <v>3429</v>
      </c>
      <c r="G59" s="6">
        <v>3235923</v>
      </c>
      <c r="H59" s="6">
        <v>34953</v>
      </c>
      <c r="I59" s="6">
        <v>4000999</v>
      </c>
      <c r="J59" s="9">
        <f t="shared" si="0"/>
        <v>0.80877875750531303</v>
      </c>
    </row>
    <row r="60" spans="2:10" ht="28.05" customHeight="1" x14ac:dyDescent="0.3">
      <c r="B60" s="4" t="s">
        <v>5340</v>
      </c>
      <c r="C60" s="6">
        <v>309074</v>
      </c>
      <c r="D60" s="6">
        <v>2756</v>
      </c>
      <c r="G60" s="6">
        <v>1877616</v>
      </c>
      <c r="H60" s="6">
        <v>61793</v>
      </c>
      <c r="I60" s="6">
        <v>2251239</v>
      </c>
      <c r="J60" s="9">
        <f t="shared" si="0"/>
        <v>0.83403672377743987</v>
      </c>
    </row>
    <row r="61" spans="2:10" ht="28.05" customHeight="1" x14ac:dyDescent="0.3">
      <c r="B61" s="4" t="s">
        <v>5337</v>
      </c>
      <c r="C61" s="6">
        <v>1150568</v>
      </c>
      <c r="D61" s="6">
        <v>34832</v>
      </c>
      <c r="E61" s="6">
        <v>9630</v>
      </c>
      <c r="F61" s="6">
        <v>2200</v>
      </c>
      <c r="G61" s="6">
        <v>6514012</v>
      </c>
      <c r="H61" s="6">
        <v>109789</v>
      </c>
      <c r="I61" s="6">
        <v>7821031</v>
      </c>
      <c r="J61" s="9">
        <f t="shared" si="0"/>
        <v>0.83288405326612314</v>
      </c>
    </row>
    <row r="62" spans="2:10" ht="28.05" customHeight="1" x14ac:dyDescent="0.3">
      <c r="B62" s="4" t="s">
        <v>330</v>
      </c>
      <c r="J62" s="9" t="e">
        <f t="shared" si="0"/>
        <v>#DIV/0!</v>
      </c>
    </row>
    <row r="63" spans="2:10" ht="28.05" customHeight="1" x14ac:dyDescent="0.3">
      <c r="B63" s="4" t="s">
        <v>5339</v>
      </c>
      <c r="C63" s="6">
        <v>636346</v>
      </c>
      <c r="D63" s="6">
        <v>63234</v>
      </c>
      <c r="E63" s="6">
        <v>11696</v>
      </c>
      <c r="F63" s="6">
        <v>1039</v>
      </c>
      <c r="G63" s="6">
        <v>12531979</v>
      </c>
      <c r="H63" s="6">
        <v>178831</v>
      </c>
      <c r="I63" s="6">
        <v>13423125</v>
      </c>
      <c r="J63" s="9">
        <f t="shared" si="0"/>
        <v>0.93361113749592584</v>
      </c>
    </row>
    <row r="64" spans="2:10" ht="28.05" customHeight="1" x14ac:dyDescent="0.3">
      <c r="B64" s="4" t="s">
        <v>1221</v>
      </c>
      <c r="C64" s="6">
        <v>474127</v>
      </c>
      <c r="D64" s="6">
        <v>41991</v>
      </c>
      <c r="E64" s="6">
        <v>9792</v>
      </c>
      <c r="F64" s="6">
        <v>2680</v>
      </c>
      <c r="G64" s="6">
        <v>6444256</v>
      </c>
      <c r="H64" s="6">
        <v>102525</v>
      </c>
      <c r="I64" s="6">
        <v>7075371</v>
      </c>
      <c r="J64" s="9">
        <f t="shared" si="0"/>
        <v>0.91080114385521271</v>
      </c>
    </row>
    <row r="65" spans="2:10" ht="28.05" customHeight="1" x14ac:dyDescent="0.3">
      <c r="B65" s="4" t="s">
        <v>5340</v>
      </c>
      <c r="C65" s="6">
        <v>70320</v>
      </c>
      <c r="D65" s="6">
        <v>5688</v>
      </c>
      <c r="E65" s="6">
        <v>750</v>
      </c>
      <c r="F65" s="6">
        <v>40</v>
      </c>
      <c r="G65" s="6">
        <v>1908696</v>
      </c>
      <c r="H65" s="6">
        <v>70048</v>
      </c>
      <c r="I65" s="6">
        <v>2055542</v>
      </c>
      <c r="J65" s="9">
        <f t="shared" si="0"/>
        <v>0.92856093429372888</v>
      </c>
    </row>
    <row r="66" spans="2:10" ht="28.05" customHeight="1" x14ac:dyDescent="0.3">
      <c r="B66" s="4" t="s">
        <v>5337</v>
      </c>
      <c r="C66" s="6">
        <v>1180793</v>
      </c>
      <c r="D66" s="6">
        <v>110913</v>
      </c>
      <c r="E66" s="6">
        <v>22238</v>
      </c>
      <c r="F66" s="6">
        <v>3759</v>
      </c>
      <c r="G66" s="6">
        <v>20884931</v>
      </c>
      <c r="H66" s="6">
        <v>351404</v>
      </c>
      <c r="I66" s="6">
        <v>22554038</v>
      </c>
      <c r="J66" s="9">
        <f t="shared" si="0"/>
        <v>0.92599520316494988</v>
      </c>
    </row>
    <row r="67" spans="2:10" ht="28.05" customHeight="1" x14ac:dyDescent="0.3">
      <c r="B67" s="4" t="s">
        <v>364</v>
      </c>
      <c r="J67" s="9" t="e">
        <f t="shared" si="0"/>
        <v>#DIV/0!</v>
      </c>
    </row>
    <row r="68" spans="2:10" ht="28.05" customHeight="1" x14ac:dyDescent="0.3">
      <c r="B68" s="4" t="s">
        <v>5339</v>
      </c>
      <c r="C68" s="6">
        <v>25102</v>
      </c>
      <c r="D68" s="6">
        <v>6637</v>
      </c>
      <c r="G68" s="6">
        <v>1272974</v>
      </c>
      <c r="H68" s="6">
        <v>20635</v>
      </c>
      <c r="I68" s="6">
        <v>1325348</v>
      </c>
      <c r="J68" s="9">
        <f t="shared" si="0"/>
        <v>0.96048283167892512</v>
      </c>
    </row>
    <row r="69" spans="2:10" ht="28.05" customHeight="1" x14ac:dyDescent="0.3">
      <c r="B69" s="4" t="s">
        <v>1221</v>
      </c>
      <c r="C69" s="6">
        <v>37739</v>
      </c>
      <c r="D69" s="6">
        <v>4584</v>
      </c>
      <c r="G69" s="6">
        <v>936839</v>
      </c>
      <c r="H69" s="6">
        <v>4356</v>
      </c>
      <c r="I69" s="6">
        <v>983518</v>
      </c>
      <c r="J69" s="9">
        <f t="shared" si="0"/>
        <v>0.95253874357154622</v>
      </c>
    </row>
    <row r="70" spans="2:10" ht="28.05" customHeight="1" x14ac:dyDescent="0.3">
      <c r="B70" s="4" t="s">
        <v>5340</v>
      </c>
      <c r="C70" s="6">
        <v>262821</v>
      </c>
      <c r="D70" s="6">
        <v>23730</v>
      </c>
      <c r="E70" s="6">
        <v>4565</v>
      </c>
      <c r="F70" s="6">
        <v>4014</v>
      </c>
      <c r="G70" s="6">
        <v>2422232</v>
      </c>
      <c r="H70" s="6">
        <v>220841</v>
      </c>
      <c r="I70" s="6">
        <v>2938203</v>
      </c>
      <c r="J70" s="9">
        <f t="shared" si="0"/>
        <v>0.82439232415187103</v>
      </c>
    </row>
    <row r="71" spans="2:10" ht="28.05" customHeight="1" x14ac:dyDescent="0.3">
      <c r="B71" s="4" t="s">
        <v>5337</v>
      </c>
      <c r="C71" s="6">
        <v>325662</v>
      </c>
      <c r="D71" s="6">
        <v>34951</v>
      </c>
      <c r="E71" s="6">
        <v>4565</v>
      </c>
      <c r="F71" s="6">
        <v>4014</v>
      </c>
      <c r="G71" s="6">
        <v>4632045</v>
      </c>
      <c r="H71" s="6">
        <v>245832</v>
      </c>
      <c r="I71" s="6">
        <v>5247069</v>
      </c>
      <c r="J71" s="9">
        <f t="shared" si="0"/>
        <v>0.88278713315948387</v>
      </c>
    </row>
    <row r="72" spans="2:10" ht="28.05" customHeight="1" x14ac:dyDescent="0.3">
      <c r="B72" s="4" t="s">
        <v>373</v>
      </c>
      <c r="J72" s="9" t="e">
        <f t="shared" si="0"/>
        <v>#DIV/0!</v>
      </c>
    </row>
    <row r="73" spans="2:10" ht="28.05" customHeight="1" x14ac:dyDescent="0.3">
      <c r="B73" s="4" t="s">
        <v>5339</v>
      </c>
      <c r="C73" s="6">
        <v>30026</v>
      </c>
      <c r="D73" s="6">
        <v>4123</v>
      </c>
      <c r="G73" s="6">
        <v>534646</v>
      </c>
      <c r="H73" s="6">
        <v>15569</v>
      </c>
      <c r="I73" s="6">
        <v>584364</v>
      </c>
      <c r="J73" s="9">
        <f t="shared" si="0"/>
        <v>0.9149194680028202</v>
      </c>
    </row>
    <row r="74" spans="2:10" ht="28.05" customHeight="1" x14ac:dyDescent="0.3">
      <c r="B74" s="4" t="s">
        <v>1221</v>
      </c>
      <c r="C74" s="6">
        <v>1259</v>
      </c>
      <c r="D74" s="6">
        <v>716</v>
      </c>
      <c r="G74" s="6">
        <v>137822</v>
      </c>
      <c r="H74" s="6">
        <v>1135</v>
      </c>
      <c r="I74" s="6">
        <v>140932</v>
      </c>
      <c r="J74" s="9">
        <f t="shared" ref="J74:J137" si="1">G74/I74</f>
        <v>0.97793261998694403</v>
      </c>
    </row>
    <row r="75" spans="2:10" ht="28.05" customHeight="1" x14ac:dyDescent="0.3">
      <c r="B75" s="4" t="s">
        <v>5340</v>
      </c>
      <c r="C75" s="6">
        <v>9582</v>
      </c>
      <c r="D75" s="6">
        <v>271</v>
      </c>
      <c r="G75" s="6">
        <v>401870</v>
      </c>
      <c r="H75" s="6">
        <v>37225</v>
      </c>
      <c r="I75" s="6">
        <v>448948</v>
      </c>
      <c r="J75" s="9">
        <f t="shared" si="1"/>
        <v>0.89513707600880277</v>
      </c>
    </row>
    <row r="76" spans="2:10" ht="28.05" customHeight="1" x14ac:dyDescent="0.3">
      <c r="B76" s="4" t="s">
        <v>5337</v>
      </c>
      <c r="C76" s="6">
        <v>40867</v>
      </c>
      <c r="D76" s="6">
        <v>5110</v>
      </c>
      <c r="G76" s="6">
        <v>1074338</v>
      </c>
      <c r="H76" s="6">
        <v>53929</v>
      </c>
      <c r="I76" s="6">
        <v>1174244</v>
      </c>
      <c r="J76" s="9">
        <f t="shared" si="1"/>
        <v>0.91491887546370265</v>
      </c>
    </row>
    <row r="77" spans="2:10" ht="28.05" customHeight="1" x14ac:dyDescent="0.3">
      <c r="B77" s="4" t="s">
        <v>380</v>
      </c>
      <c r="J77" s="9" t="e">
        <f t="shared" si="1"/>
        <v>#DIV/0!</v>
      </c>
    </row>
    <row r="78" spans="2:10" ht="28.05" customHeight="1" x14ac:dyDescent="0.3">
      <c r="B78" s="4" t="s">
        <v>5339</v>
      </c>
      <c r="C78" s="6">
        <v>90957</v>
      </c>
      <c r="D78" s="6">
        <v>13272</v>
      </c>
      <c r="G78" s="6">
        <v>2933981</v>
      </c>
      <c r="H78" s="6">
        <v>29003</v>
      </c>
      <c r="I78" s="6">
        <v>3067213</v>
      </c>
      <c r="J78" s="9">
        <f t="shared" si="1"/>
        <v>0.95656252108999273</v>
      </c>
    </row>
    <row r="79" spans="2:10" ht="28.05" customHeight="1" x14ac:dyDescent="0.3">
      <c r="B79" s="4" t="s">
        <v>1221</v>
      </c>
      <c r="C79" s="6">
        <v>132712</v>
      </c>
      <c r="D79" s="6">
        <v>23956</v>
      </c>
      <c r="E79" s="1">
        <v>85</v>
      </c>
      <c r="F79" s="1">
        <v>23</v>
      </c>
      <c r="G79" s="6">
        <v>4643111</v>
      </c>
      <c r="H79" s="6">
        <v>48336</v>
      </c>
      <c r="I79" s="6">
        <v>4848223</v>
      </c>
      <c r="J79" s="9">
        <f t="shared" si="1"/>
        <v>0.95769336517730308</v>
      </c>
    </row>
    <row r="80" spans="2:10" ht="28.05" customHeight="1" x14ac:dyDescent="0.3">
      <c r="B80" s="4" t="s">
        <v>5340</v>
      </c>
      <c r="C80" s="6">
        <v>120075</v>
      </c>
      <c r="D80" s="6">
        <v>16319</v>
      </c>
      <c r="G80" s="6">
        <v>2321762</v>
      </c>
      <c r="H80" s="6">
        <v>113074</v>
      </c>
      <c r="I80" s="6">
        <v>2571230</v>
      </c>
      <c r="J80" s="9">
        <f t="shared" si="1"/>
        <v>0.90297717434846358</v>
      </c>
    </row>
    <row r="81" spans="2:10" ht="28.05" customHeight="1" x14ac:dyDescent="0.3">
      <c r="B81" s="4" t="s">
        <v>5337</v>
      </c>
      <c r="C81" s="6">
        <v>343744</v>
      </c>
      <c r="D81" s="6">
        <v>53547</v>
      </c>
      <c r="E81" s="1">
        <v>85</v>
      </c>
      <c r="F81" s="1">
        <v>23</v>
      </c>
      <c r="G81" s="6">
        <v>9898854</v>
      </c>
      <c r="H81" s="6">
        <v>190413</v>
      </c>
      <c r="I81" s="6">
        <v>10486666</v>
      </c>
      <c r="J81" s="9">
        <f t="shared" si="1"/>
        <v>0.94394672243780819</v>
      </c>
    </row>
    <row r="82" spans="2:10" ht="28.05" customHeight="1" x14ac:dyDescent="0.3">
      <c r="B82" s="4" t="s">
        <v>404</v>
      </c>
      <c r="J82" s="9" t="e">
        <f t="shared" si="1"/>
        <v>#DIV/0!</v>
      </c>
    </row>
    <row r="83" spans="2:10" ht="28.05" customHeight="1" x14ac:dyDescent="0.3">
      <c r="B83" s="4" t="s">
        <v>5339</v>
      </c>
      <c r="C83" s="6">
        <v>9668</v>
      </c>
      <c r="D83" s="6">
        <v>1151</v>
      </c>
      <c r="G83" s="6">
        <v>144054</v>
      </c>
      <c r="H83" s="6">
        <v>2519</v>
      </c>
      <c r="I83" s="6">
        <v>157392</v>
      </c>
      <c r="J83" s="9">
        <f t="shared" si="1"/>
        <v>0.91525617566331197</v>
      </c>
    </row>
    <row r="84" spans="2:10" ht="28.05" customHeight="1" x14ac:dyDescent="0.3">
      <c r="B84" s="4" t="s">
        <v>1221</v>
      </c>
      <c r="C84" s="6">
        <v>36413</v>
      </c>
      <c r="D84" s="6">
        <v>3613</v>
      </c>
      <c r="G84" s="6">
        <v>194206</v>
      </c>
      <c r="H84" s="6">
        <v>3415</v>
      </c>
      <c r="I84" s="6">
        <v>237647</v>
      </c>
      <c r="J84" s="9">
        <f t="shared" si="1"/>
        <v>0.81720366762467023</v>
      </c>
    </row>
    <row r="85" spans="2:10" ht="28.05" customHeight="1" x14ac:dyDescent="0.3">
      <c r="B85" s="4" t="s">
        <v>5340</v>
      </c>
      <c r="C85" s="6">
        <v>29846</v>
      </c>
      <c r="D85" s="6">
        <v>1111</v>
      </c>
      <c r="G85" s="6">
        <v>227463</v>
      </c>
      <c r="H85" s="6">
        <v>46212</v>
      </c>
      <c r="I85" s="6">
        <v>304632</v>
      </c>
      <c r="J85" s="9">
        <f t="shared" si="1"/>
        <v>0.74668124162924443</v>
      </c>
    </row>
    <row r="86" spans="2:10" ht="28.05" customHeight="1" x14ac:dyDescent="0.3">
      <c r="B86" s="4" t="s">
        <v>5337</v>
      </c>
      <c r="C86" s="6">
        <v>75927</v>
      </c>
      <c r="D86" s="6">
        <v>5875</v>
      </c>
      <c r="G86" s="6">
        <v>565723</v>
      </c>
      <c r="H86" s="6">
        <v>52146</v>
      </c>
      <c r="I86" s="6">
        <v>699671</v>
      </c>
      <c r="J86" s="9">
        <f t="shared" si="1"/>
        <v>0.80855573548139059</v>
      </c>
    </row>
    <row r="87" spans="2:10" ht="28.05" customHeight="1" x14ac:dyDescent="0.3">
      <c r="B87" s="4" t="s">
        <v>410</v>
      </c>
      <c r="J87" s="9" t="e">
        <f t="shared" si="1"/>
        <v>#DIV/0!</v>
      </c>
    </row>
    <row r="88" spans="2:10" ht="28.05" customHeight="1" x14ac:dyDescent="0.3">
      <c r="B88" s="4" t="s">
        <v>5339</v>
      </c>
      <c r="C88" s="6">
        <v>13855</v>
      </c>
      <c r="D88" s="6">
        <v>1554</v>
      </c>
      <c r="E88" s="1">
        <v>264</v>
      </c>
      <c r="G88" s="6">
        <v>242791</v>
      </c>
      <c r="H88" s="6">
        <v>1599</v>
      </c>
      <c r="I88" s="6">
        <v>260063</v>
      </c>
      <c r="J88" s="9">
        <f t="shared" si="1"/>
        <v>0.93358532355621526</v>
      </c>
    </row>
    <row r="89" spans="2:10" ht="28.05" customHeight="1" x14ac:dyDescent="0.3">
      <c r="B89" s="4" t="s">
        <v>1221</v>
      </c>
      <c r="C89" s="6">
        <v>27909</v>
      </c>
      <c r="D89" s="6">
        <v>1693</v>
      </c>
      <c r="G89" s="6">
        <v>376539</v>
      </c>
      <c r="H89" s="6">
        <v>8707</v>
      </c>
      <c r="I89" s="6">
        <v>414848</v>
      </c>
      <c r="J89" s="9">
        <f t="shared" si="1"/>
        <v>0.90765533400185128</v>
      </c>
    </row>
    <row r="90" spans="2:10" ht="28.05" customHeight="1" x14ac:dyDescent="0.3">
      <c r="B90" s="4" t="s">
        <v>5340</v>
      </c>
      <c r="C90" s="6">
        <v>2904</v>
      </c>
      <c r="D90" s="6">
        <v>135</v>
      </c>
      <c r="G90" s="6">
        <v>225097</v>
      </c>
      <c r="H90" s="6">
        <v>2273</v>
      </c>
      <c r="I90" s="6">
        <v>230409</v>
      </c>
      <c r="J90" s="9">
        <f t="shared" si="1"/>
        <v>0.97694534501690478</v>
      </c>
    </row>
    <row r="91" spans="2:10" ht="28.05" customHeight="1" x14ac:dyDescent="0.3">
      <c r="B91" s="4" t="s">
        <v>5337</v>
      </c>
      <c r="C91" s="6">
        <v>44668</v>
      </c>
      <c r="D91" s="6">
        <v>3382</v>
      </c>
      <c r="E91" s="1">
        <v>264</v>
      </c>
      <c r="G91" s="6">
        <v>844427</v>
      </c>
      <c r="H91" s="6">
        <v>12579</v>
      </c>
      <c r="I91" s="6">
        <v>905320</v>
      </c>
      <c r="J91" s="9">
        <f t="shared" si="1"/>
        <v>0.93273870012813154</v>
      </c>
    </row>
    <row r="92" spans="2:10" ht="28.05" customHeight="1" x14ac:dyDescent="0.3">
      <c r="B92" s="4" t="s">
        <v>416</v>
      </c>
      <c r="J92" s="9" t="e">
        <f t="shared" si="1"/>
        <v>#DIV/0!</v>
      </c>
    </row>
    <row r="93" spans="2:10" ht="28.05" customHeight="1" x14ac:dyDescent="0.3">
      <c r="B93" s="4" t="s">
        <v>5339</v>
      </c>
      <c r="C93" s="6">
        <v>6313</v>
      </c>
      <c r="D93" s="6">
        <v>2323</v>
      </c>
      <c r="E93" s="1">
        <v>116</v>
      </c>
      <c r="G93" s="6">
        <v>581230</v>
      </c>
      <c r="H93" s="6">
        <v>22908</v>
      </c>
      <c r="I93" s="6">
        <v>612890</v>
      </c>
      <c r="J93" s="9">
        <f t="shared" si="1"/>
        <v>0.94834309582469933</v>
      </c>
    </row>
    <row r="94" spans="2:10" ht="28.05" customHeight="1" x14ac:dyDescent="0.3">
      <c r="B94" s="4" t="s">
        <v>1221</v>
      </c>
      <c r="C94" s="6">
        <v>13266</v>
      </c>
      <c r="D94" s="6">
        <v>2380</v>
      </c>
      <c r="E94" s="6">
        <v>4308</v>
      </c>
      <c r="F94" s="1">
        <v>65</v>
      </c>
      <c r="G94" s="6">
        <v>621004</v>
      </c>
      <c r="H94" s="6">
        <v>6496</v>
      </c>
      <c r="I94" s="6">
        <v>647519</v>
      </c>
      <c r="J94" s="9">
        <f t="shared" si="1"/>
        <v>0.95905139463089117</v>
      </c>
    </row>
    <row r="95" spans="2:10" ht="28.05" customHeight="1" x14ac:dyDescent="0.3">
      <c r="B95" s="4" t="s">
        <v>5340</v>
      </c>
      <c r="C95" s="6">
        <v>1995</v>
      </c>
      <c r="D95" s="6">
        <v>391</v>
      </c>
      <c r="E95" s="1">
        <v>164</v>
      </c>
      <c r="F95" s="1">
        <v>85</v>
      </c>
      <c r="G95" s="6">
        <v>232566</v>
      </c>
      <c r="H95" s="6">
        <v>2068</v>
      </c>
      <c r="I95" s="6">
        <v>237269</v>
      </c>
      <c r="J95" s="9">
        <f t="shared" si="1"/>
        <v>0.98017861583266253</v>
      </c>
    </row>
    <row r="96" spans="2:10" ht="28.05" customHeight="1" x14ac:dyDescent="0.3">
      <c r="B96" s="4" t="s">
        <v>5337</v>
      </c>
      <c r="C96" s="6">
        <v>21574</v>
      </c>
      <c r="D96" s="6">
        <v>5094</v>
      </c>
      <c r="E96" s="6">
        <v>4588</v>
      </c>
      <c r="F96" s="1">
        <v>150</v>
      </c>
      <c r="G96" s="6">
        <v>1434800</v>
      </c>
      <c r="H96" s="6">
        <v>31472</v>
      </c>
      <c r="I96" s="6">
        <v>1497678</v>
      </c>
      <c r="J96" s="9">
        <f t="shared" si="1"/>
        <v>0.9580163426317273</v>
      </c>
    </row>
    <row r="97" spans="2:10" ht="28.05" customHeight="1" x14ac:dyDescent="0.3">
      <c r="B97" s="4" t="s">
        <v>422</v>
      </c>
      <c r="J97" s="9" t="e">
        <f t="shared" si="1"/>
        <v>#DIV/0!</v>
      </c>
    </row>
    <row r="98" spans="2:10" ht="28.05" customHeight="1" x14ac:dyDescent="0.3">
      <c r="B98" s="4" t="s">
        <v>5339</v>
      </c>
      <c r="C98" s="6">
        <v>366959</v>
      </c>
      <c r="D98" s="6">
        <v>32103</v>
      </c>
      <c r="E98" s="6">
        <v>20766</v>
      </c>
      <c r="F98" s="6">
        <v>1052</v>
      </c>
      <c r="G98" s="6">
        <v>12432423</v>
      </c>
      <c r="H98" s="6">
        <v>302405</v>
      </c>
      <c r="I98" s="6">
        <v>13155708</v>
      </c>
      <c r="J98" s="9">
        <f t="shared" si="1"/>
        <v>0.94502120296376291</v>
      </c>
    </row>
    <row r="99" spans="2:10" ht="28.05" customHeight="1" x14ac:dyDescent="0.3">
      <c r="B99" s="4" t="s">
        <v>1221</v>
      </c>
      <c r="C99" s="6">
        <v>284383</v>
      </c>
      <c r="D99" s="6">
        <v>14551</v>
      </c>
      <c r="E99" s="6">
        <v>1970</v>
      </c>
      <c r="F99" s="1">
        <v>917</v>
      </c>
      <c r="G99" s="6">
        <v>5496615</v>
      </c>
      <c r="H99" s="6">
        <v>75155</v>
      </c>
      <c r="I99" s="6">
        <v>5873591</v>
      </c>
      <c r="J99" s="9">
        <f t="shared" si="1"/>
        <v>0.9358184797000676</v>
      </c>
    </row>
    <row r="100" spans="2:10" ht="28.05" customHeight="1" x14ac:dyDescent="0.3">
      <c r="B100" s="4" t="s">
        <v>5340</v>
      </c>
      <c r="C100" s="6">
        <v>632036</v>
      </c>
      <c r="D100" s="6">
        <v>7796</v>
      </c>
      <c r="E100" s="1">
        <v>86</v>
      </c>
      <c r="G100" s="6">
        <v>3245953</v>
      </c>
      <c r="H100" s="6">
        <v>147158</v>
      </c>
      <c r="I100" s="6">
        <v>4033029</v>
      </c>
      <c r="J100" s="9">
        <f t="shared" si="1"/>
        <v>0.80484246455951591</v>
      </c>
    </row>
    <row r="101" spans="2:10" ht="28.05" customHeight="1" x14ac:dyDescent="0.3">
      <c r="B101" s="4" t="s">
        <v>5337</v>
      </c>
      <c r="C101" s="6">
        <v>1283378</v>
      </c>
      <c r="D101" s="6">
        <v>54450</v>
      </c>
      <c r="E101" s="6">
        <v>22822</v>
      </c>
      <c r="F101" s="6">
        <v>1969</v>
      </c>
      <c r="G101" s="6">
        <v>21174991</v>
      </c>
      <c r="H101" s="6">
        <v>524718</v>
      </c>
      <c r="I101" s="6">
        <v>23062328</v>
      </c>
      <c r="J101" s="9">
        <f t="shared" si="1"/>
        <v>0.91816363898735631</v>
      </c>
    </row>
    <row r="102" spans="2:10" ht="28.05" customHeight="1" x14ac:dyDescent="0.3">
      <c r="B102" s="4" t="s">
        <v>461</v>
      </c>
      <c r="J102" s="9" t="e">
        <f t="shared" si="1"/>
        <v>#DIV/0!</v>
      </c>
    </row>
    <row r="103" spans="2:10" ht="28.05" customHeight="1" x14ac:dyDescent="0.3">
      <c r="B103" s="4" t="s">
        <v>5339</v>
      </c>
      <c r="C103" s="6">
        <v>843435</v>
      </c>
      <c r="D103" s="6">
        <v>48916</v>
      </c>
      <c r="E103" s="6">
        <v>14283</v>
      </c>
      <c r="F103" s="6">
        <v>1317</v>
      </c>
      <c r="G103" s="6">
        <v>8855452</v>
      </c>
      <c r="H103" s="6">
        <v>129611</v>
      </c>
      <c r="I103" s="6">
        <v>9893014</v>
      </c>
      <c r="J103" s="9">
        <f t="shared" si="1"/>
        <v>0.89512174954973278</v>
      </c>
    </row>
    <row r="104" spans="2:10" ht="28.05" customHeight="1" x14ac:dyDescent="0.3">
      <c r="B104" s="4" t="s">
        <v>1221</v>
      </c>
      <c r="C104" s="6">
        <v>966114</v>
      </c>
      <c r="D104" s="6">
        <v>57774</v>
      </c>
      <c r="E104" s="1">
        <v>2594</v>
      </c>
      <c r="G104" s="6">
        <v>7117740</v>
      </c>
      <c r="H104" s="6">
        <v>107003</v>
      </c>
      <c r="I104" s="6">
        <v>8251225</v>
      </c>
      <c r="J104" s="9">
        <f t="shared" si="1"/>
        <v>0.86262827640744255</v>
      </c>
    </row>
    <row r="105" spans="2:10" ht="28.05" customHeight="1" x14ac:dyDescent="0.3">
      <c r="B105" s="4" t="s">
        <v>5340</v>
      </c>
      <c r="C105" s="6">
        <v>233978</v>
      </c>
      <c r="D105" s="6">
        <v>8471</v>
      </c>
      <c r="E105" s="6">
        <v>1932</v>
      </c>
      <c r="F105" s="6">
        <v>48</v>
      </c>
      <c r="G105" s="6">
        <v>2644070</v>
      </c>
      <c r="H105" s="6">
        <v>265479</v>
      </c>
      <c r="I105" s="6">
        <v>3153978</v>
      </c>
      <c r="J105" s="9">
        <f t="shared" si="1"/>
        <v>0.83832861231118294</v>
      </c>
    </row>
    <row r="106" spans="2:10" ht="28.05" customHeight="1" x14ac:dyDescent="0.3">
      <c r="B106" s="4" t="s">
        <v>5337</v>
      </c>
      <c r="C106" s="6">
        <v>2043527</v>
      </c>
      <c r="D106" s="6">
        <v>115161</v>
      </c>
      <c r="E106" s="1">
        <v>18809</v>
      </c>
      <c r="F106" s="1">
        <v>1365</v>
      </c>
      <c r="G106" s="6">
        <v>18617262</v>
      </c>
      <c r="H106" s="6">
        <v>502093</v>
      </c>
      <c r="I106" s="6">
        <v>21298217</v>
      </c>
      <c r="J106" s="9">
        <f t="shared" si="1"/>
        <v>0.87412303104997002</v>
      </c>
    </row>
    <row r="107" spans="2:10" ht="28.05" customHeight="1" x14ac:dyDescent="0.3">
      <c r="B107" s="4" t="s">
        <v>556</v>
      </c>
      <c r="J107" s="9" t="e">
        <f t="shared" si="1"/>
        <v>#DIV/0!</v>
      </c>
    </row>
    <row r="108" spans="2:10" ht="28.05" customHeight="1" x14ac:dyDescent="0.3">
      <c r="B108" s="4" t="s">
        <v>5339</v>
      </c>
      <c r="C108" s="6">
        <v>36827</v>
      </c>
      <c r="D108" s="6">
        <v>2118</v>
      </c>
      <c r="G108" s="6">
        <v>456108</v>
      </c>
      <c r="H108" s="6">
        <v>3242</v>
      </c>
      <c r="I108" s="6">
        <v>498295</v>
      </c>
      <c r="J108" s="9">
        <f t="shared" si="1"/>
        <v>0.91533730019366033</v>
      </c>
    </row>
    <row r="109" spans="2:10" ht="28.05" customHeight="1" x14ac:dyDescent="0.3">
      <c r="B109" s="4" t="s">
        <v>1221</v>
      </c>
      <c r="C109" s="6">
        <v>102065</v>
      </c>
      <c r="D109" s="6">
        <v>4353</v>
      </c>
      <c r="G109" s="6">
        <v>1316147</v>
      </c>
      <c r="H109" s="6">
        <v>14420</v>
      </c>
      <c r="I109" s="6">
        <v>1436985</v>
      </c>
      <c r="J109" s="9">
        <f t="shared" si="1"/>
        <v>0.91590865597066085</v>
      </c>
    </row>
    <row r="110" spans="2:10" ht="28.05" customHeight="1" x14ac:dyDescent="0.3">
      <c r="B110" s="4" t="s">
        <v>5340</v>
      </c>
      <c r="C110" s="6">
        <v>150701</v>
      </c>
      <c r="D110" s="6">
        <v>3698</v>
      </c>
      <c r="G110" s="6">
        <v>1523354</v>
      </c>
      <c r="H110" s="6">
        <v>55637</v>
      </c>
      <c r="I110" s="6">
        <v>1733390</v>
      </c>
      <c r="J110" s="9">
        <f t="shared" si="1"/>
        <v>0.87882934596368967</v>
      </c>
    </row>
    <row r="111" spans="2:10" ht="28.05" customHeight="1" x14ac:dyDescent="0.3">
      <c r="B111" s="4" t="s">
        <v>5337</v>
      </c>
      <c r="C111" s="6">
        <v>289593</v>
      </c>
      <c r="D111" s="6">
        <v>10169</v>
      </c>
      <c r="G111" s="6">
        <v>3295609</v>
      </c>
      <c r="H111" s="6">
        <v>73299</v>
      </c>
      <c r="I111" s="6">
        <v>3668670</v>
      </c>
      <c r="J111" s="9">
        <f t="shared" si="1"/>
        <v>0.89831164972592248</v>
      </c>
    </row>
    <row r="112" spans="2:10" ht="28.05" customHeight="1" x14ac:dyDescent="0.3">
      <c r="B112" s="4" t="s">
        <v>567</v>
      </c>
      <c r="J112" s="9" t="e">
        <f t="shared" si="1"/>
        <v>#DIV/0!</v>
      </c>
    </row>
    <row r="113" spans="2:10" ht="28.05" customHeight="1" x14ac:dyDescent="0.3">
      <c r="B113" s="4" t="s">
        <v>5339</v>
      </c>
      <c r="C113" s="6">
        <v>11162</v>
      </c>
      <c r="D113" s="6">
        <v>1582</v>
      </c>
      <c r="E113" s="6">
        <v>3325</v>
      </c>
      <c r="F113" s="1">
        <v>200</v>
      </c>
      <c r="G113" s="6">
        <v>306907</v>
      </c>
      <c r="H113" s="6">
        <v>2528</v>
      </c>
      <c r="I113" s="6">
        <v>325704</v>
      </c>
      <c r="J113" s="9">
        <f t="shared" si="1"/>
        <v>0.94228808979932699</v>
      </c>
    </row>
    <row r="114" spans="2:10" ht="28.05" customHeight="1" x14ac:dyDescent="0.3">
      <c r="B114" s="4" t="s">
        <v>1221</v>
      </c>
      <c r="C114" s="6">
        <v>7984</v>
      </c>
      <c r="D114" s="6">
        <v>475</v>
      </c>
      <c r="G114" s="6">
        <v>187984</v>
      </c>
      <c r="H114" s="6">
        <v>1314</v>
      </c>
      <c r="I114" s="6">
        <v>197757</v>
      </c>
      <c r="J114" s="9">
        <f t="shared" si="1"/>
        <v>0.95058076325996044</v>
      </c>
    </row>
    <row r="115" spans="2:10" ht="28.05" customHeight="1" x14ac:dyDescent="0.3">
      <c r="B115" s="4" t="s">
        <v>5340</v>
      </c>
      <c r="C115" s="6">
        <v>4043</v>
      </c>
      <c r="D115" s="6">
        <v>1136</v>
      </c>
      <c r="E115" s="1">
        <v>6</v>
      </c>
      <c r="G115" s="6">
        <v>373893</v>
      </c>
      <c r="H115" s="6">
        <v>4210</v>
      </c>
      <c r="I115" s="6">
        <v>383288</v>
      </c>
      <c r="J115" s="9">
        <f t="shared" si="1"/>
        <v>0.97548840558535621</v>
      </c>
    </row>
    <row r="116" spans="2:10" ht="28.05" customHeight="1" x14ac:dyDescent="0.3">
      <c r="B116" s="4" t="s">
        <v>5337</v>
      </c>
      <c r="C116" s="6">
        <v>23189</v>
      </c>
      <c r="D116" s="6">
        <v>3193</v>
      </c>
      <c r="E116" s="6">
        <v>3331</v>
      </c>
      <c r="F116" s="1">
        <v>200</v>
      </c>
      <c r="G116" s="6">
        <v>868784</v>
      </c>
      <c r="H116" s="6">
        <v>8052</v>
      </c>
      <c r="I116" s="6">
        <v>906749</v>
      </c>
      <c r="J116" s="9">
        <f t="shared" si="1"/>
        <v>0.95813064034258655</v>
      </c>
    </row>
    <row r="117" spans="2:10" ht="28.05" customHeight="1" x14ac:dyDescent="0.3">
      <c r="B117" s="4" t="s">
        <v>570</v>
      </c>
      <c r="J117" s="9" t="e">
        <f t="shared" si="1"/>
        <v>#DIV/0!</v>
      </c>
    </row>
    <row r="118" spans="2:10" ht="28.05" customHeight="1" x14ac:dyDescent="0.3">
      <c r="B118" s="4" t="s">
        <v>5339</v>
      </c>
      <c r="C118" s="6">
        <v>26524</v>
      </c>
      <c r="D118" s="6">
        <v>2121</v>
      </c>
      <c r="G118" s="6">
        <v>392589</v>
      </c>
      <c r="H118" s="6">
        <v>4910</v>
      </c>
      <c r="I118" s="6">
        <v>426144</v>
      </c>
      <c r="J118" s="9">
        <f t="shared" si="1"/>
        <v>0.92125901103852215</v>
      </c>
    </row>
    <row r="119" spans="2:10" ht="28.05" customHeight="1" x14ac:dyDescent="0.3">
      <c r="B119" s="4" t="s">
        <v>1221</v>
      </c>
      <c r="C119" s="6">
        <v>4894</v>
      </c>
      <c r="D119" s="6">
        <v>560</v>
      </c>
      <c r="G119" s="6">
        <v>137757</v>
      </c>
      <c r="H119" s="6">
        <v>6990</v>
      </c>
      <c r="I119" s="6">
        <v>150201</v>
      </c>
      <c r="J119" s="9">
        <f t="shared" si="1"/>
        <v>0.91715101763636731</v>
      </c>
    </row>
    <row r="120" spans="2:10" ht="28.05" customHeight="1" x14ac:dyDescent="0.3">
      <c r="B120" s="4" t="s">
        <v>5340</v>
      </c>
      <c r="C120" s="6">
        <v>39746</v>
      </c>
      <c r="D120" s="6">
        <v>622</v>
      </c>
      <c r="G120" s="6">
        <v>434479</v>
      </c>
      <c r="H120" s="6">
        <v>87787</v>
      </c>
      <c r="I120" s="6">
        <v>562634</v>
      </c>
      <c r="J120" s="9">
        <f t="shared" si="1"/>
        <v>0.77222315039617229</v>
      </c>
    </row>
    <row r="121" spans="2:10" ht="28.05" customHeight="1" x14ac:dyDescent="0.3">
      <c r="B121" s="4" t="s">
        <v>5337</v>
      </c>
      <c r="C121" s="6">
        <v>71164</v>
      </c>
      <c r="D121" s="6">
        <v>3303</v>
      </c>
      <c r="G121" s="6">
        <v>964825</v>
      </c>
      <c r="H121" s="6">
        <v>99687</v>
      </c>
      <c r="I121" s="6">
        <v>1138979</v>
      </c>
      <c r="J121" s="9">
        <f t="shared" si="1"/>
        <v>0.847096390714842</v>
      </c>
    </row>
    <row r="122" spans="2:10" ht="28.05" customHeight="1" x14ac:dyDescent="0.3">
      <c r="B122" s="4" t="s">
        <v>575</v>
      </c>
      <c r="J122" s="9" t="e">
        <f t="shared" si="1"/>
        <v>#DIV/0!</v>
      </c>
    </row>
    <row r="123" spans="2:10" ht="28.05" customHeight="1" x14ac:dyDescent="0.3">
      <c r="B123" s="4" t="s">
        <v>5339</v>
      </c>
      <c r="C123" s="6">
        <v>504763</v>
      </c>
      <c r="D123" s="6">
        <v>1975</v>
      </c>
      <c r="E123" s="1">
        <v>11</v>
      </c>
      <c r="G123" s="6">
        <v>1121456</v>
      </c>
      <c r="H123" s="6">
        <v>5685</v>
      </c>
      <c r="I123" s="6">
        <v>1633890</v>
      </c>
      <c r="J123" s="9">
        <f t="shared" si="1"/>
        <v>0.68637178757443895</v>
      </c>
    </row>
    <row r="124" spans="2:10" ht="28.05" customHeight="1" x14ac:dyDescent="0.3">
      <c r="B124" s="4" t="s">
        <v>1221</v>
      </c>
      <c r="C124" s="6">
        <v>18755</v>
      </c>
      <c r="D124" s="6">
        <v>2561</v>
      </c>
      <c r="E124" s="1">
        <v>316</v>
      </c>
      <c r="F124" s="1">
        <v>608</v>
      </c>
      <c r="G124" s="6">
        <v>736297</v>
      </c>
      <c r="H124" s="6">
        <v>6788</v>
      </c>
      <c r="I124" s="6">
        <v>765325</v>
      </c>
      <c r="J124" s="9">
        <f t="shared" si="1"/>
        <v>0.96207101558161567</v>
      </c>
    </row>
    <row r="125" spans="2:10" ht="28.05" customHeight="1" x14ac:dyDescent="0.3">
      <c r="B125" s="4" t="s">
        <v>5340</v>
      </c>
      <c r="C125" s="6">
        <v>85815</v>
      </c>
      <c r="D125" s="6">
        <v>1049</v>
      </c>
      <c r="E125" s="6">
        <v>36045</v>
      </c>
      <c r="F125" s="6">
        <v>8700</v>
      </c>
      <c r="G125" s="6">
        <v>997957</v>
      </c>
      <c r="H125" s="6">
        <v>96665</v>
      </c>
      <c r="I125" s="6">
        <v>1226231</v>
      </c>
      <c r="J125" s="9">
        <f t="shared" si="1"/>
        <v>0.81384094840205479</v>
      </c>
    </row>
    <row r="126" spans="2:10" ht="28.05" customHeight="1" x14ac:dyDescent="0.3">
      <c r="B126" s="4" t="s">
        <v>5337</v>
      </c>
      <c r="C126" s="6">
        <v>609333</v>
      </c>
      <c r="D126" s="6">
        <v>5585</v>
      </c>
      <c r="E126" s="6">
        <v>36372</v>
      </c>
      <c r="F126" s="6">
        <v>9308</v>
      </c>
      <c r="G126" s="6">
        <v>2855710</v>
      </c>
      <c r="H126" s="6">
        <v>109138</v>
      </c>
      <c r="I126" s="6">
        <v>3625446</v>
      </c>
      <c r="J126" s="9">
        <f t="shared" si="1"/>
        <v>0.78768515652970694</v>
      </c>
    </row>
    <row r="127" spans="2:10" ht="28.05" customHeight="1" x14ac:dyDescent="0.3">
      <c r="B127" s="4" t="s">
        <v>5341</v>
      </c>
      <c r="J127" s="9" t="e">
        <f t="shared" si="1"/>
        <v>#DIV/0!</v>
      </c>
    </row>
    <row r="128" spans="2:10" ht="28.05" customHeight="1" x14ac:dyDescent="0.3">
      <c r="B128" s="4" t="s">
        <v>5342</v>
      </c>
      <c r="C128" s="6">
        <v>2982652</v>
      </c>
      <c r="D128" s="6">
        <v>893332</v>
      </c>
      <c r="E128" s="6">
        <v>204265</v>
      </c>
      <c r="F128" s="6">
        <v>503895</v>
      </c>
      <c r="G128" s="6">
        <v>96952353</v>
      </c>
      <c r="H128" s="6">
        <v>3806833</v>
      </c>
      <c r="I128" s="6">
        <v>105343330</v>
      </c>
      <c r="J128" s="9">
        <f t="shared" si="1"/>
        <v>0.92034638548069436</v>
      </c>
    </row>
    <row r="129" spans="2:10" ht="28.05" customHeight="1" x14ac:dyDescent="0.3">
      <c r="B129" s="4" t="s">
        <v>588</v>
      </c>
      <c r="J129" s="9" t="e">
        <f t="shared" si="1"/>
        <v>#DIV/0!</v>
      </c>
    </row>
    <row r="130" spans="2:10" ht="28.05" customHeight="1" x14ac:dyDescent="0.3">
      <c r="B130" s="4" t="s">
        <v>5339</v>
      </c>
      <c r="C130" s="6">
        <v>1811685</v>
      </c>
      <c r="D130" s="6">
        <v>348889</v>
      </c>
      <c r="E130" s="6">
        <v>4341</v>
      </c>
      <c r="F130" s="6">
        <v>455</v>
      </c>
      <c r="G130" s="6">
        <v>32543395</v>
      </c>
      <c r="H130" s="6">
        <v>571535</v>
      </c>
      <c r="I130" s="6">
        <v>35280300</v>
      </c>
      <c r="J130" s="9">
        <f t="shared" si="1"/>
        <v>0.92242398732437081</v>
      </c>
    </row>
    <row r="131" spans="2:10" ht="28.05" customHeight="1" x14ac:dyDescent="0.3">
      <c r="B131" s="4" t="s">
        <v>1221</v>
      </c>
      <c r="C131" s="6">
        <v>420656</v>
      </c>
      <c r="D131" s="6">
        <v>125116</v>
      </c>
      <c r="G131" s="6">
        <v>4953280</v>
      </c>
      <c r="H131" s="6">
        <v>233677</v>
      </c>
      <c r="I131" s="6">
        <v>5732729</v>
      </c>
      <c r="J131" s="9">
        <f t="shared" si="1"/>
        <v>0.86403526139121523</v>
      </c>
    </row>
    <row r="132" spans="2:10" ht="28.05" customHeight="1" x14ac:dyDescent="0.3">
      <c r="B132" s="4" t="s">
        <v>5337</v>
      </c>
      <c r="C132" s="6">
        <v>2232341</v>
      </c>
      <c r="D132" s="6">
        <v>474005</v>
      </c>
      <c r="E132" s="6">
        <v>4341</v>
      </c>
      <c r="F132" s="1">
        <v>455</v>
      </c>
      <c r="G132" s="6">
        <v>37496675</v>
      </c>
      <c r="H132" s="6">
        <v>805212</v>
      </c>
      <c r="I132" s="6">
        <v>41013029</v>
      </c>
      <c r="J132" s="9">
        <f t="shared" si="1"/>
        <v>0.91426251399280944</v>
      </c>
    </row>
    <row r="133" spans="2:10" ht="28.05" customHeight="1" x14ac:dyDescent="0.3">
      <c r="B133" s="4" t="s">
        <v>1079</v>
      </c>
      <c r="J133" s="9" t="e">
        <f t="shared" si="1"/>
        <v>#DIV/0!</v>
      </c>
    </row>
    <row r="134" spans="2:10" ht="28.05" customHeight="1" x14ac:dyDescent="0.3">
      <c r="B134" s="4" t="s">
        <v>5339</v>
      </c>
      <c r="C134" s="6">
        <v>23360</v>
      </c>
      <c r="D134" s="6">
        <v>1996</v>
      </c>
      <c r="E134" s="6">
        <v>1359</v>
      </c>
      <c r="F134" s="1">
        <v>39</v>
      </c>
      <c r="G134" s="6">
        <v>382764</v>
      </c>
      <c r="H134" s="6">
        <v>7690</v>
      </c>
      <c r="I134" s="6">
        <v>417208</v>
      </c>
      <c r="J134" s="9">
        <f t="shared" si="1"/>
        <v>0.91744165979559356</v>
      </c>
    </row>
    <row r="135" spans="2:10" ht="28.05" customHeight="1" x14ac:dyDescent="0.3">
      <c r="B135" s="4" t="s">
        <v>1221</v>
      </c>
      <c r="C135" s="6">
        <v>11933</v>
      </c>
      <c r="D135" s="6">
        <v>1260</v>
      </c>
      <c r="E135" s="1">
        <v>10</v>
      </c>
      <c r="G135" s="6">
        <v>533520</v>
      </c>
      <c r="H135" s="6">
        <v>5283</v>
      </c>
      <c r="I135" s="6">
        <v>552006</v>
      </c>
      <c r="J135" s="9">
        <f t="shared" si="1"/>
        <v>0.96651123357354807</v>
      </c>
    </row>
    <row r="136" spans="2:10" ht="28.05" customHeight="1" x14ac:dyDescent="0.3">
      <c r="B136" s="4" t="s">
        <v>5340</v>
      </c>
      <c r="C136" s="6">
        <v>53253</v>
      </c>
      <c r="D136" s="6">
        <v>6020</v>
      </c>
      <c r="G136" s="6">
        <v>1871056</v>
      </c>
      <c r="H136" s="6">
        <v>151508</v>
      </c>
      <c r="I136" s="6">
        <v>2081837</v>
      </c>
      <c r="J136" s="9">
        <f t="shared" si="1"/>
        <v>0.89875239992372125</v>
      </c>
    </row>
    <row r="137" spans="2:10" ht="28.05" customHeight="1" x14ac:dyDescent="0.3">
      <c r="B137" s="4" t="s">
        <v>5337</v>
      </c>
      <c r="C137" s="6">
        <v>88546</v>
      </c>
      <c r="D137" s="6">
        <v>9276</v>
      </c>
      <c r="E137" s="1">
        <v>1369</v>
      </c>
      <c r="F137" s="1">
        <v>39</v>
      </c>
      <c r="G137" s="6">
        <v>2787340</v>
      </c>
      <c r="H137" s="6">
        <v>164481</v>
      </c>
      <c r="I137" s="6">
        <v>3051051</v>
      </c>
      <c r="J137" s="9">
        <f t="shared" si="1"/>
        <v>0.91356716095535606</v>
      </c>
    </row>
    <row r="138" spans="2:10" ht="28.05" customHeight="1" x14ac:dyDescent="0.3">
      <c r="B138" s="4" t="s">
        <v>626</v>
      </c>
      <c r="J138" s="9" t="e">
        <f t="shared" ref="J138:J201" si="2">G138/I138</f>
        <v>#DIV/0!</v>
      </c>
    </row>
    <row r="139" spans="2:10" ht="28.05" customHeight="1" x14ac:dyDescent="0.3">
      <c r="B139" s="4" t="s">
        <v>5339</v>
      </c>
      <c r="C139" s="6">
        <v>26368</v>
      </c>
      <c r="D139" s="6">
        <v>4605</v>
      </c>
      <c r="G139" s="6">
        <v>558833</v>
      </c>
      <c r="H139" s="6">
        <v>5399</v>
      </c>
      <c r="I139" s="6">
        <v>595205</v>
      </c>
      <c r="J139" s="9">
        <f t="shared" si="2"/>
        <v>0.93889164237531608</v>
      </c>
    </row>
    <row r="140" spans="2:10" ht="28.05" customHeight="1" x14ac:dyDescent="0.3">
      <c r="B140" s="4" t="s">
        <v>1221</v>
      </c>
      <c r="C140" s="6">
        <v>167174</v>
      </c>
      <c r="D140" s="6">
        <v>2689</v>
      </c>
      <c r="G140" s="6">
        <v>948396</v>
      </c>
      <c r="H140" s="6">
        <v>5208</v>
      </c>
      <c r="I140" s="6">
        <v>1123467</v>
      </c>
      <c r="J140" s="9">
        <f t="shared" si="2"/>
        <v>0.84416898760711268</v>
      </c>
    </row>
    <row r="141" spans="2:10" ht="28.05" customHeight="1" x14ac:dyDescent="0.3">
      <c r="B141" s="4" t="s">
        <v>5340</v>
      </c>
      <c r="C141" s="6">
        <v>80673</v>
      </c>
      <c r="D141" s="6">
        <v>3842</v>
      </c>
      <c r="G141" s="6">
        <v>955936</v>
      </c>
      <c r="H141" s="6">
        <v>53984</v>
      </c>
      <c r="I141" s="6">
        <v>1094435</v>
      </c>
      <c r="J141" s="9">
        <f t="shared" si="2"/>
        <v>0.87345159831328489</v>
      </c>
    </row>
    <row r="142" spans="2:10" ht="28.05" customHeight="1" x14ac:dyDescent="0.3">
      <c r="B142" s="4" t="s">
        <v>5337</v>
      </c>
      <c r="C142" s="6">
        <v>274215</v>
      </c>
      <c r="D142" s="6">
        <v>11136</v>
      </c>
      <c r="G142" s="6">
        <v>2463165</v>
      </c>
      <c r="H142" s="6">
        <v>64591</v>
      </c>
      <c r="I142" s="6">
        <v>2813107</v>
      </c>
      <c r="J142" s="9">
        <f t="shared" si="2"/>
        <v>0.87560302540927171</v>
      </c>
    </row>
    <row r="143" spans="2:10" ht="28.05" customHeight="1" x14ac:dyDescent="0.3">
      <c r="B143" s="4" t="s">
        <v>640</v>
      </c>
      <c r="J143" s="9" t="e">
        <f t="shared" si="2"/>
        <v>#DIV/0!</v>
      </c>
    </row>
    <row r="144" spans="2:10" ht="28.05" customHeight="1" x14ac:dyDescent="0.3">
      <c r="B144" s="4" t="s">
        <v>5339</v>
      </c>
      <c r="C144" s="6">
        <v>100305</v>
      </c>
      <c r="D144" s="6">
        <v>3833</v>
      </c>
      <c r="E144" s="1">
        <v>6517</v>
      </c>
      <c r="F144" s="1">
        <v>700</v>
      </c>
      <c r="G144" s="6">
        <v>1315716</v>
      </c>
      <c r="H144" s="6">
        <v>13662</v>
      </c>
      <c r="I144" s="6">
        <v>1440733</v>
      </c>
      <c r="J144" s="9">
        <f t="shared" si="2"/>
        <v>0.9132268088535489</v>
      </c>
    </row>
    <row r="145" spans="2:10" ht="28.05" customHeight="1" x14ac:dyDescent="0.3">
      <c r="B145" s="4" t="s">
        <v>1221</v>
      </c>
      <c r="C145" s="6">
        <v>141027</v>
      </c>
      <c r="D145" s="6">
        <v>5218</v>
      </c>
      <c r="E145" s="6">
        <v>10905</v>
      </c>
      <c r="G145" s="6">
        <v>1697762</v>
      </c>
      <c r="H145" s="6">
        <v>23603</v>
      </c>
      <c r="I145" s="6">
        <v>1878515</v>
      </c>
      <c r="J145" s="9">
        <f t="shared" si="2"/>
        <v>0.90377878270868217</v>
      </c>
    </row>
    <row r="146" spans="2:10" ht="28.05" customHeight="1" x14ac:dyDescent="0.3">
      <c r="B146" s="4" t="s">
        <v>5340</v>
      </c>
      <c r="C146" s="6">
        <v>74558</v>
      </c>
      <c r="D146" s="6">
        <v>1463</v>
      </c>
      <c r="E146" s="1">
        <v>50</v>
      </c>
      <c r="G146" s="6">
        <v>865370</v>
      </c>
      <c r="H146" s="6">
        <v>35655</v>
      </c>
      <c r="I146" s="6">
        <v>977096</v>
      </c>
      <c r="J146" s="9">
        <f t="shared" si="2"/>
        <v>0.88565504310733034</v>
      </c>
    </row>
    <row r="147" spans="2:10" ht="28.05" customHeight="1" x14ac:dyDescent="0.3">
      <c r="B147" s="4" t="s">
        <v>5337</v>
      </c>
      <c r="C147" s="6">
        <v>315890</v>
      </c>
      <c r="D147" s="6">
        <v>10514</v>
      </c>
      <c r="E147" s="1">
        <v>17472</v>
      </c>
      <c r="F147" s="1">
        <v>700</v>
      </c>
      <c r="G147" s="6">
        <v>3878848</v>
      </c>
      <c r="H147" s="6">
        <v>72920</v>
      </c>
      <c r="I147" s="6">
        <v>4296344</v>
      </c>
      <c r="J147" s="9">
        <f t="shared" si="2"/>
        <v>0.90282528587096378</v>
      </c>
    </row>
    <row r="148" spans="2:10" ht="28.05" customHeight="1" x14ac:dyDescent="0.3">
      <c r="B148" s="4" t="s">
        <v>657</v>
      </c>
      <c r="J148" s="9" t="e">
        <f t="shared" si="2"/>
        <v>#DIV/0!</v>
      </c>
    </row>
    <row r="149" spans="2:10" ht="28.05" customHeight="1" x14ac:dyDescent="0.3">
      <c r="B149" s="4" t="s">
        <v>5339</v>
      </c>
      <c r="C149" s="6">
        <v>90580</v>
      </c>
      <c r="D149" s="6">
        <v>8499</v>
      </c>
      <c r="G149" s="6">
        <v>1315053</v>
      </c>
      <c r="H149" s="6">
        <v>17817</v>
      </c>
      <c r="I149" s="6">
        <v>1431949</v>
      </c>
      <c r="J149" s="9">
        <f t="shared" si="2"/>
        <v>0.91836580772080567</v>
      </c>
    </row>
    <row r="150" spans="2:10" ht="28.05" customHeight="1" x14ac:dyDescent="0.3">
      <c r="B150" s="4" t="s">
        <v>1221</v>
      </c>
      <c r="C150" s="6">
        <v>189610</v>
      </c>
      <c r="D150" s="6">
        <v>6686</v>
      </c>
      <c r="E150" s="1">
        <v>325</v>
      </c>
      <c r="F150" s="1">
        <v>400</v>
      </c>
      <c r="G150" s="6">
        <v>2335893</v>
      </c>
      <c r="H150" s="6">
        <v>55369</v>
      </c>
      <c r="I150" s="6">
        <v>2588283</v>
      </c>
      <c r="J150" s="9">
        <f t="shared" si="2"/>
        <v>0.9024874791512365</v>
      </c>
    </row>
    <row r="151" spans="2:10" ht="28.05" customHeight="1" x14ac:dyDescent="0.3">
      <c r="B151" s="4" t="s">
        <v>5340</v>
      </c>
      <c r="C151" s="6">
        <v>214037</v>
      </c>
      <c r="D151" s="6">
        <v>4336</v>
      </c>
      <c r="G151" s="6">
        <v>1294329</v>
      </c>
      <c r="H151" s="6">
        <v>88890</v>
      </c>
      <c r="I151" s="6">
        <v>1601592</v>
      </c>
      <c r="J151" s="9">
        <f t="shared" si="2"/>
        <v>0.80815151424332787</v>
      </c>
    </row>
    <row r="152" spans="2:10" ht="28.05" customHeight="1" x14ac:dyDescent="0.3">
      <c r="B152" s="4" t="s">
        <v>5337</v>
      </c>
      <c r="C152" s="6">
        <v>494227</v>
      </c>
      <c r="D152" s="6">
        <v>19521</v>
      </c>
      <c r="E152" s="1">
        <v>325</v>
      </c>
      <c r="F152" s="1">
        <v>400</v>
      </c>
      <c r="G152" s="6">
        <v>4945275</v>
      </c>
      <c r="H152" s="6">
        <v>162076</v>
      </c>
      <c r="I152" s="6">
        <v>5621824</v>
      </c>
      <c r="J152" s="9">
        <f t="shared" si="2"/>
        <v>0.87965667370590039</v>
      </c>
    </row>
    <row r="153" spans="2:10" ht="28.05" customHeight="1" x14ac:dyDescent="0.3">
      <c r="B153" s="4" t="s">
        <v>672</v>
      </c>
      <c r="J153" s="9" t="e">
        <f t="shared" si="2"/>
        <v>#DIV/0!</v>
      </c>
    </row>
    <row r="154" spans="2:10" ht="28.05" customHeight="1" x14ac:dyDescent="0.3">
      <c r="B154" s="4" t="s">
        <v>5339</v>
      </c>
      <c r="C154" s="6">
        <v>21077</v>
      </c>
      <c r="D154" s="6">
        <v>5075</v>
      </c>
      <c r="F154" s="1">
        <v>110</v>
      </c>
      <c r="G154" s="6">
        <v>449166</v>
      </c>
      <c r="H154" s="6">
        <v>5735</v>
      </c>
      <c r="I154" s="6">
        <v>481163</v>
      </c>
      <c r="J154" s="9">
        <f t="shared" si="2"/>
        <v>0.93350070558210008</v>
      </c>
    </row>
    <row r="155" spans="2:10" ht="28.05" customHeight="1" x14ac:dyDescent="0.3">
      <c r="B155" s="4" t="s">
        <v>1221</v>
      </c>
      <c r="C155" s="6">
        <v>6958</v>
      </c>
      <c r="D155" s="6">
        <v>339</v>
      </c>
      <c r="G155" s="6">
        <v>176018</v>
      </c>
      <c r="H155" s="6">
        <v>899</v>
      </c>
      <c r="I155" s="6">
        <v>184214</v>
      </c>
      <c r="J155" s="9">
        <f t="shared" si="2"/>
        <v>0.95550826755838314</v>
      </c>
    </row>
    <row r="156" spans="2:10" ht="28.05" customHeight="1" x14ac:dyDescent="0.3">
      <c r="B156" s="4" t="s">
        <v>5340</v>
      </c>
      <c r="C156" s="6">
        <v>32607</v>
      </c>
      <c r="D156" s="6">
        <v>1250</v>
      </c>
      <c r="G156" s="6">
        <v>1002080</v>
      </c>
      <c r="H156" s="6">
        <v>170624</v>
      </c>
      <c r="I156" s="6">
        <v>1206561</v>
      </c>
      <c r="J156" s="9">
        <f t="shared" si="2"/>
        <v>0.8305257670354006</v>
      </c>
    </row>
    <row r="157" spans="2:10" ht="28.05" customHeight="1" x14ac:dyDescent="0.3">
      <c r="B157" s="4" t="s">
        <v>5337</v>
      </c>
      <c r="C157" s="6">
        <v>60642</v>
      </c>
      <c r="D157" s="6">
        <v>6664</v>
      </c>
      <c r="F157" s="1">
        <v>110</v>
      </c>
      <c r="G157" s="6">
        <v>1627264</v>
      </c>
      <c r="H157" s="6">
        <v>177258</v>
      </c>
      <c r="I157" s="6">
        <v>1871938</v>
      </c>
      <c r="J157" s="9">
        <f t="shared" si="2"/>
        <v>0.86929374797669579</v>
      </c>
    </row>
    <row r="158" spans="2:10" ht="28.05" customHeight="1" x14ac:dyDescent="0.3">
      <c r="B158" s="4" t="s">
        <v>680</v>
      </c>
      <c r="J158" s="9" t="e">
        <f t="shared" si="2"/>
        <v>#DIV/0!</v>
      </c>
    </row>
    <row r="159" spans="2:10" ht="28.05" customHeight="1" x14ac:dyDescent="0.3">
      <c r="B159" s="4" t="s">
        <v>1221</v>
      </c>
      <c r="C159" s="6">
        <v>1627</v>
      </c>
      <c r="D159" s="6">
        <v>228</v>
      </c>
      <c r="G159" s="6">
        <v>46457</v>
      </c>
      <c r="H159" s="6">
        <v>3061</v>
      </c>
      <c r="I159" s="6">
        <v>51373</v>
      </c>
      <c r="J159" s="9">
        <f t="shared" si="2"/>
        <v>0.90430771027582579</v>
      </c>
    </row>
    <row r="160" spans="2:10" ht="28.05" customHeight="1" x14ac:dyDescent="0.3">
      <c r="B160" s="4" t="s">
        <v>5340</v>
      </c>
      <c r="C160" s="6">
        <v>21094</v>
      </c>
      <c r="D160" s="6">
        <v>165</v>
      </c>
      <c r="G160" s="6">
        <v>115439</v>
      </c>
      <c r="H160" s="6">
        <v>25327</v>
      </c>
      <c r="I160" s="6">
        <v>162025</v>
      </c>
      <c r="J160" s="9">
        <f t="shared" si="2"/>
        <v>0.71247646968060485</v>
      </c>
    </row>
    <row r="161" spans="2:10" ht="28.05" customHeight="1" x14ac:dyDescent="0.3">
      <c r="B161" s="4" t="s">
        <v>5337</v>
      </c>
      <c r="C161" s="6">
        <v>22721</v>
      </c>
      <c r="D161" s="6">
        <v>393</v>
      </c>
      <c r="G161" s="6">
        <v>161896</v>
      </c>
      <c r="H161" s="6">
        <v>28388</v>
      </c>
      <c r="I161" s="6">
        <v>213398</v>
      </c>
      <c r="J161" s="9">
        <f t="shared" si="2"/>
        <v>0.75865753193563201</v>
      </c>
    </row>
    <row r="162" spans="2:10" ht="28.05" customHeight="1" x14ac:dyDescent="0.3">
      <c r="B162" s="4" t="s">
        <v>683</v>
      </c>
      <c r="J162" s="9" t="e">
        <f t="shared" si="2"/>
        <v>#DIV/0!</v>
      </c>
    </row>
    <row r="163" spans="2:10" ht="28.05" customHeight="1" x14ac:dyDescent="0.3">
      <c r="B163" s="4" t="s">
        <v>5339</v>
      </c>
      <c r="C163" s="6">
        <v>29799</v>
      </c>
      <c r="D163" s="6">
        <v>4484</v>
      </c>
      <c r="G163" s="6">
        <v>1056925</v>
      </c>
      <c r="H163" s="6">
        <v>24464</v>
      </c>
      <c r="I163" s="6">
        <v>1115672</v>
      </c>
      <c r="J163" s="9">
        <f t="shared" si="2"/>
        <v>0.94734384299328123</v>
      </c>
    </row>
    <row r="164" spans="2:10" ht="28.05" customHeight="1" x14ac:dyDescent="0.3">
      <c r="B164" s="4" t="s">
        <v>1221</v>
      </c>
      <c r="C164" s="6">
        <v>26593</v>
      </c>
      <c r="D164" s="6">
        <v>3020</v>
      </c>
      <c r="G164" s="6">
        <v>708399</v>
      </c>
      <c r="H164" s="6">
        <v>9736</v>
      </c>
      <c r="I164" s="6">
        <v>747748</v>
      </c>
      <c r="J164" s="9">
        <f t="shared" si="2"/>
        <v>0.94737665630667012</v>
      </c>
    </row>
    <row r="165" spans="2:10" ht="28.05" customHeight="1" x14ac:dyDescent="0.3">
      <c r="B165" s="4" t="s">
        <v>5340</v>
      </c>
      <c r="C165" s="6">
        <v>52672</v>
      </c>
      <c r="D165" s="6">
        <v>2261</v>
      </c>
      <c r="G165" s="6">
        <v>1038523</v>
      </c>
      <c r="H165" s="6">
        <v>179476</v>
      </c>
      <c r="I165" s="6">
        <v>1272932</v>
      </c>
      <c r="J165" s="9">
        <f t="shared" si="2"/>
        <v>0.81585112166242968</v>
      </c>
    </row>
    <row r="166" spans="2:10" ht="28.05" customHeight="1" x14ac:dyDescent="0.3">
      <c r="B166" s="4" t="s">
        <v>5337</v>
      </c>
      <c r="C166" s="6">
        <v>109064</v>
      </c>
      <c r="D166" s="6">
        <v>9765</v>
      </c>
      <c r="G166" s="6">
        <v>2803847</v>
      </c>
      <c r="H166" s="6">
        <v>213676</v>
      </c>
      <c r="I166" s="6">
        <v>3136352</v>
      </c>
      <c r="J166" s="9">
        <f t="shared" si="2"/>
        <v>0.89398351970697165</v>
      </c>
    </row>
    <row r="167" spans="2:10" ht="28.05" customHeight="1" x14ac:dyDescent="0.3">
      <c r="B167" s="4" t="s">
        <v>696</v>
      </c>
      <c r="J167" s="9" t="e">
        <f t="shared" si="2"/>
        <v>#DIV/0!</v>
      </c>
    </row>
    <row r="168" spans="2:10" ht="28.05" customHeight="1" x14ac:dyDescent="0.3">
      <c r="B168" s="4" t="s">
        <v>5339</v>
      </c>
      <c r="C168" s="6">
        <v>38685</v>
      </c>
      <c r="D168" s="6">
        <v>6376</v>
      </c>
      <c r="G168" s="6">
        <v>741529</v>
      </c>
      <c r="H168" s="6">
        <v>13763</v>
      </c>
      <c r="I168" s="6">
        <v>800353</v>
      </c>
      <c r="J168" s="9">
        <f t="shared" si="2"/>
        <v>0.92650243080240846</v>
      </c>
    </row>
    <row r="169" spans="2:10" ht="28.05" customHeight="1" x14ac:dyDescent="0.3">
      <c r="B169" s="4" t="s">
        <v>5340</v>
      </c>
      <c r="C169" s="6">
        <v>4739</v>
      </c>
      <c r="G169" s="6">
        <v>74647</v>
      </c>
      <c r="H169" s="6">
        <v>9828</v>
      </c>
      <c r="I169" s="6">
        <v>89214</v>
      </c>
      <c r="J169" s="9">
        <f t="shared" si="2"/>
        <v>0.83671845226085595</v>
      </c>
    </row>
    <row r="170" spans="2:10" ht="28.05" customHeight="1" x14ac:dyDescent="0.3">
      <c r="B170" s="4" t="s">
        <v>5337</v>
      </c>
      <c r="C170" s="6">
        <v>43424</v>
      </c>
      <c r="D170" s="6">
        <v>6376</v>
      </c>
      <c r="G170" s="6">
        <v>816176</v>
      </c>
      <c r="H170" s="6">
        <v>23591</v>
      </c>
      <c r="I170" s="6">
        <v>889567</v>
      </c>
      <c r="J170" s="9">
        <f t="shared" si="2"/>
        <v>0.91749806366468178</v>
      </c>
    </row>
    <row r="171" spans="2:10" ht="28.05" customHeight="1" x14ac:dyDescent="0.3">
      <c r="B171" s="4" t="s">
        <v>698</v>
      </c>
      <c r="J171" s="9" t="e">
        <f t="shared" si="2"/>
        <v>#DIV/0!</v>
      </c>
    </row>
    <row r="172" spans="2:10" ht="28.05" customHeight="1" x14ac:dyDescent="0.3">
      <c r="B172" s="4" t="s">
        <v>5339</v>
      </c>
      <c r="C172" s="6">
        <v>62363</v>
      </c>
      <c r="D172" s="6">
        <v>8205</v>
      </c>
      <c r="E172" s="1">
        <v>61</v>
      </c>
      <c r="G172" s="6">
        <v>2077718</v>
      </c>
      <c r="H172" s="6">
        <v>28071</v>
      </c>
      <c r="I172" s="6">
        <v>2176418</v>
      </c>
      <c r="J172" s="9">
        <f t="shared" si="2"/>
        <v>0.95465025560347327</v>
      </c>
    </row>
    <row r="173" spans="2:10" ht="28.05" customHeight="1" x14ac:dyDescent="0.3">
      <c r="B173" s="4" t="s">
        <v>1221</v>
      </c>
      <c r="C173" s="6">
        <v>69170</v>
      </c>
      <c r="D173" s="6">
        <v>4560</v>
      </c>
      <c r="E173" s="6">
        <v>1930</v>
      </c>
      <c r="G173" s="6">
        <v>1072666</v>
      </c>
      <c r="H173" s="6">
        <v>13338</v>
      </c>
      <c r="I173" s="6">
        <v>1161664</v>
      </c>
      <c r="J173" s="9">
        <f t="shared" si="2"/>
        <v>0.92338748553798689</v>
      </c>
    </row>
    <row r="174" spans="2:10" ht="28.05" customHeight="1" x14ac:dyDescent="0.3">
      <c r="B174" s="4" t="s">
        <v>5340</v>
      </c>
      <c r="C174" s="6">
        <v>76853</v>
      </c>
      <c r="D174" s="6">
        <v>4973</v>
      </c>
      <c r="E174" s="1">
        <v>18</v>
      </c>
      <c r="G174" s="6">
        <v>1978927</v>
      </c>
      <c r="H174" s="6">
        <v>101338</v>
      </c>
      <c r="I174" s="6">
        <v>2162109</v>
      </c>
      <c r="J174" s="9">
        <f t="shared" si="2"/>
        <v>0.91527624185459655</v>
      </c>
    </row>
    <row r="175" spans="2:10" ht="28.05" customHeight="1" x14ac:dyDescent="0.3">
      <c r="B175" s="4" t="s">
        <v>5337</v>
      </c>
      <c r="C175" s="6">
        <v>208386</v>
      </c>
      <c r="D175" s="6">
        <v>17738</v>
      </c>
      <c r="E175" s="6">
        <v>2009</v>
      </c>
      <c r="G175" s="6">
        <v>5129311</v>
      </c>
      <c r="H175" s="6">
        <v>142747</v>
      </c>
      <c r="I175" s="6">
        <v>5500191</v>
      </c>
      <c r="J175" s="9">
        <f t="shared" si="2"/>
        <v>0.93256961440066355</v>
      </c>
    </row>
    <row r="176" spans="2:10" ht="28.05" customHeight="1" x14ac:dyDescent="0.3">
      <c r="B176" s="4" t="s">
        <v>718</v>
      </c>
      <c r="C176" s="6"/>
      <c r="D176" s="6"/>
      <c r="J176" s="9" t="e">
        <f t="shared" si="2"/>
        <v>#DIV/0!</v>
      </c>
    </row>
    <row r="177" spans="2:10" ht="28.05" customHeight="1" x14ac:dyDescent="0.3">
      <c r="B177" s="4" t="s">
        <v>5339</v>
      </c>
      <c r="C177" s="6">
        <v>90639</v>
      </c>
      <c r="D177" s="6">
        <v>19864</v>
      </c>
      <c r="E177" s="6">
        <v>70</v>
      </c>
      <c r="F177" s="6">
        <v>70</v>
      </c>
      <c r="G177" s="6">
        <v>3168117</v>
      </c>
      <c r="H177" s="6">
        <v>219563</v>
      </c>
      <c r="I177" s="6">
        <v>3498323</v>
      </c>
      <c r="J177" s="9">
        <f t="shared" si="2"/>
        <v>0.90561020237410894</v>
      </c>
    </row>
    <row r="178" spans="2:10" ht="28.05" customHeight="1" x14ac:dyDescent="0.3">
      <c r="B178" s="4" t="s">
        <v>1221</v>
      </c>
      <c r="C178" s="6">
        <v>28543</v>
      </c>
      <c r="D178" s="6">
        <v>5646</v>
      </c>
      <c r="E178" s="1">
        <v>112</v>
      </c>
      <c r="F178" s="1">
        <v>100</v>
      </c>
      <c r="G178" s="6">
        <v>1890266</v>
      </c>
      <c r="H178" s="6">
        <v>108490</v>
      </c>
      <c r="I178" s="6">
        <v>2033157</v>
      </c>
      <c r="J178" s="9">
        <f t="shared" si="2"/>
        <v>0.92971964290017939</v>
      </c>
    </row>
    <row r="179" spans="2:10" ht="28.05" customHeight="1" x14ac:dyDescent="0.3">
      <c r="B179" s="4" t="s">
        <v>5340</v>
      </c>
      <c r="C179" s="6">
        <v>335591</v>
      </c>
      <c r="D179" s="6">
        <v>21496</v>
      </c>
      <c r="E179" s="6">
        <v>12</v>
      </c>
      <c r="G179" s="6">
        <v>2599957</v>
      </c>
      <c r="H179" s="6">
        <v>314623</v>
      </c>
      <c r="I179" s="6">
        <v>3271679</v>
      </c>
      <c r="J179" s="9">
        <f t="shared" si="2"/>
        <v>0.79468584784754248</v>
      </c>
    </row>
    <row r="180" spans="2:10" ht="28.05" customHeight="1" x14ac:dyDescent="0.3">
      <c r="B180" s="4" t="s">
        <v>5337</v>
      </c>
      <c r="C180" s="6">
        <v>454773</v>
      </c>
      <c r="D180" s="6">
        <v>47006</v>
      </c>
      <c r="E180" s="1">
        <v>194</v>
      </c>
      <c r="F180" s="1">
        <v>170</v>
      </c>
      <c r="G180" s="6">
        <v>7658340</v>
      </c>
      <c r="H180" s="6">
        <v>642676</v>
      </c>
      <c r="I180" s="6">
        <v>8803159</v>
      </c>
      <c r="J180" s="9">
        <f t="shared" si="2"/>
        <v>0.86995361551461248</v>
      </c>
    </row>
    <row r="181" spans="2:10" ht="28.05" customHeight="1" x14ac:dyDescent="0.3">
      <c r="B181" s="4" t="s">
        <v>734</v>
      </c>
      <c r="J181" s="9" t="e">
        <f t="shared" si="2"/>
        <v>#DIV/0!</v>
      </c>
    </row>
    <row r="182" spans="2:10" ht="28.05" customHeight="1" x14ac:dyDescent="0.3">
      <c r="B182" s="4" t="s">
        <v>5339</v>
      </c>
      <c r="C182" s="6">
        <v>329921</v>
      </c>
      <c r="D182" s="6">
        <v>26854</v>
      </c>
      <c r="G182" s="6">
        <v>2684964</v>
      </c>
      <c r="H182" s="6">
        <v>32990</v>
      </c>
      <c r="I182" s="6">
        <v>3074729</v>
      </c>
      <c r="J182" s="9">
        <f t="shared" si="2"/>
        <v>0.87323598274839831</v>
      </c>
    </row>
    <row r="183" spans="2:10" ht="28.05" customHeight="1" x14ac:dyDescent="0.3">
      <c r="B183" s="4" t="s">
        <v>1221</v>
      </c>
      <c r="C183" s="6">
        <v>371234</v>
      </c>
      <c r="D183" s="6">
        <v>21375</v>
      </c>
      <c r="G183" s="6">
        <v>2961384</v>
      </c>
      <c r="H183" s="6">
        <v>25928</v>
      </c>
      <c r="I183" s="6">
        <v>3379921</v>
      </c>
      <c r="J183" s="9">
        <f t="shared" si="2"/>
        <v>0.87616959094606062</v>
      </c>
    </row>
    <row r="184" spans="2:10" ht="28.05" customHeight="1" x14ac:dyDescent="0.3">
      <c r="B184" s="4" t="s">
        <v>5340</v>
      </c>
      <c r="C184" s="6">
        <v>136569</v>
      </c>
      <c r="D184" s="6">
        <v>9543</v>
      </c>
      <c r="G184" s="6">
        <v>1623640</v>
      </c>
      <c r="H184" s="6">
        <v>162743</v>
      </c>
      <c r="I184" s="6">
        <v>1932495</v>
      </c>
      <c r="J184" s="9">
        <f t="shared" si="2"/>
        <v>0.84017811171568357</v>
      </c>
    </row>
    <row r="185" spans="2:10" ht="28.05" customHeight="1" x14ac:dyDescent="0.3">
      <c r="B185" s="4" t="s">
        <v>5337</v>
      </c>
      <c r="C185" s="6">
        <v>837724</v>
      </c>
      <c r="D185" s="6">
        <v>57772</v>
      </c>
      <c r="G185" s="6">
        <v>7269988</v>
      </c>
      <c r="H185" s="6">
        <v>221661</v>
      </c>
      <c r="I185" s="6">
        <v>8387145</v>
      </c>
      <c r="J185" s="9">
        <f t="shared" si="2"/>
        <v>0.86680127743111635</v>
      </c>
    </row>
    <row r="186" spans="2:10" ht="28.05" customHeight="1" x14ac:dyDescent="0.3">
      <c r="B186" s="4" t="s">
        <v>5343</v>
      </c>
      <c r="J186" s="9" t="e">
        <f t="shared" si="2"/>
        <v>#DIV/0!</v>
      </c>
    </row>
    <row r="187" spans="2:10" ht="28.05" customHeight="1" x14ac:dyDescent="0.3">
      <c r="B187" s="4" t="s">
        <v>5339</v>
      </c>
      <c r="C187" s="6">
        <v>26485</v>
      </c>
      <c r="D187" s="6">
        <v>962</v>
      </c>
      <c r="E187" s="1">
        <v>121</v>
      </c>
      <c r="F187" s="1">
        <v>6</v>
      </c>
      <c r="G187" s="6">
        <v>692003</v>
      </c>
      <c r="H187" s="6">
        <v>3905</v>
      </c>
      <c r="I187" s="6">
        <v>723482</v>
      </c>
      <c r="J187" s="9">
        <f t="shared" si="2"/>
        <v>0.9564895878542935</v>
      </c>
    </row>
    <row r="188" spans="2:10" ht="28.05" customHeight="1" x14ac:dyDescent="0.3">
      <c r="B188" s="4" t="s">
        <v>1221</v>
      </c>
      <c r="C188" s="6">
        <v>15734</v>
      </c>
      <c r="D188" s="6">
        <v>1535</v>
      </c>
      <c r="E188" s="1">
        <v>323</v>
      </c>
      <c r="G188" s="6">
        <v>542706</v>
      </c>
      <c r="H188" s="6">
        <v>13701</v>
      </c>
      <c r="I188" s="6">
        <v>573999</v>
      </c>
      <c r="J188" s="9">
        <f t="shared" si="2"/>
        <v>0.94548248341896068</v>
      </c>
    </row>
    <row r="189" spans="2:10" ht="28.05" customHeight="1" x14ac:dyDescent="0.3">
      <c r="B189" s="4" t="s">
        <v>5340</v>
      </c>
      <c r="C189" s="6">
        <v>24702</v>
      </c>
      <c r="D189" s="6">
        <v>868</v>
      </c>
      <c r="G189" s="6">
        <v>805651</v>
      </c>
      <c r="H189" s="6">
        <v>56402</v>
      </c>
      <c r="I189" s="6">
        <v>887623</v>
      </c>
      <c r="J189" s="9">
        <f t="shared" si="2"/>
        <v>0.90764998203065939</v>
      </c>
    </row>
    <row r="190" spans="2:10" ht="28.05" customHeight="1" x14ac:dyDescent="0.3">
      <c r="B190" s="4" t="s">
        <v>5337</v>
      </c>
      <c r="C190" s="6">
        <v>66921</v>
      </c>
      <c r="D190" s="6">
        <v>3365</v>
      </c>
      <c r="E190" s="1">
        <v>444</v>
      </c>
      <c r="F190" s="1">
        <v>6</v>
      </c>
      <c r="G190" s="6">
        <v>240360</v>
      </c>
      <c r="H190" s="6">
        <v>74008</v>
      </c>
      <c r="I190" s="6">
        <v>2185104</v>
      </c>
      <c r="J190" s="9">
        <f t="shared" si="2"/>
        <v>0.10999934099246535</v>
      </c>
    </row>
    <row r="191" spans="2:10" ht="28.05" customHeight="1" x14ac:dyDescent="0.3">
      <c r="B191" s="4" t="s">
        <v>5344</v>
      </c>
      <c r="J191" s="9" t="e">
        <f t="shared" si="2"/>
        <v>#DIV/0!</v>
      </c>
    </row>
    <row r="192" spans="2:10" ht="28.05" customHeight="1" x14ac:dyDescent="0.3">
      <c r="B192" s="4" t="s">
        <v>5339</v>
      </c>
      <c r="C192" s="6">
        <v>15889</v>
      </c>
      <c r="D192" s="6">
        <v>912</v>
      </c>
      <c r="G192" s="6">
        <v>316628</v>
      </c>
      <c r="H192" s="6">
        <v>9065</v>
      </c>
      <c r="I192" s="6">
        <v>342494</v>
      </c>
      <c r="J192" s="9">
        <f t="shared" si="2"/>
        <v>0.92447750909504989</v>
      </c>
    </row>
    <row r="193" spans="2:10" ht="28.05" customHeight="1" x14ac:dyDescent="0.3">
      <c r="B193" s="4" t="s">
        <v>1221</v>
      </c>
      <c r="C193" s="6">
        <v>4321</v>
      </c>
      <c r="D193" s="6">
        <v>325</v>
      </c>
      <c r="G193" s="6">
        <v>184388</v>
      </c>
      <c r="H193" s="6">
        <v>7024</v>
      </c>
      <c r="I193" s="6">
        <v>196058</v>
      </c>
      <c r="J193" s="9">
        <f t="shared" si="2"/>
        <v>0.94047679768231851</v>
      </c>
    </row>
    <row r="194" spans="2:10" ht="28.05" customHeight="1" x14ac:dyDescent="0.3">
      <c r="B194" s="4" t="s">
        <v>5340</v>
      </c>
      <c r="C194" s="6">
        <v>10998</v>
      </c>
      <c r="D194" s="6">
        <v>854</v>
      </c>
      <c r="G194" s="6">
        <v>425589</v>
      </c>
      <c r="H194" s="6">
        <v>60071</v>
      </c>
      <c r="I194" s="6">
        <v>497512</v>
      </c>
      <c r="J194" s="9">
        <f t="shared" si="2"/>
        <v>0.8554346427824856</v>
      </c>
    </row>
    <row r="195" spans="2:10" ht="28.05" customHeight="1" x14ac:dyDescent="0.3">
      <c r="B195" s="4" t="s">
        <v>5337</v>
      </c>
      <c r="C195" s="6">
        <v>31208</v>
      </c>
      <c r="D195" s="6">
        <v>2091</v>
      </c>
      <c r="G195" s="6">
        <v>926605</v>
      </c>
      <c r="H195" s="6">
        <v>76160</v>
      </c>
      <c r="I195" s="6">
        <v>1036064</v>
      </c>
      <c r="J195" s="9">
        <f t="shared" si="2"/>
        <v>0.89435112116626003</v>
      </c>
    </row>
    <row r="196" spans="2:10" ht="28.05" customHeight="1" x14ac:dyDescent="0.3">
      <c r="B196" s="4" t="s">
        <v>779</v>
      </c>
      <c r="J196" s="9" t="e">
        <f t="shared" si="2"/>
        <v>#DIV/0!</v>
      </c>
    </row>
    <row r="197" spans="2:10" ht="28.05" customHeight="1" x14ac:dyDescent="0.3">
      <c r="B197" s="4" t="s">
        <v>5339</v>
      </c>
      <c r="C197" s="6">
        <v>287202</v>
      </c>
      <c r="D197" s="6">
        <v>65053</v>
      </c>
      <c r="E197" s="1">
        <v>42</v>
      </c>
      <c r="F197" s="1">
        <v>421</v>
      </c>
      <c r="G197" s="6">
        <v>12461526</v>
      </c>
      <c r="H197" s="6">
        <v>251851</v>
      </c>
      <c r="I197" s="6">
        <v>13066095</v>
      </c>
      <c r="J197" s="9">
        <f t="shared" si="2"/>
        <v>0.95372993997058797</v>
      </c>
    </row>
    <row r="198" spans="2:10" ht="28.05" customHeight="1" x14ac:dyDescent="0.3">
      <c r="B198" s="4" t="s">
        <v>1221</v>
      </c>
      <c r="C198" s="6">
        <v>266137</v>
      </c>
      <c r="D198" s="6">
        <v>34681</v>
      </c>
      <c r="E198" s="1">
        <v>7</v>
      </c>
      <c r="G198" s="6">
        <v>9539313</v>
      </c>
      <c r="H198" s="6">
        <v>300319</v>
      </c>
      <c r="I198" s="6">
        <v>10140457</v>
      </c>
      <c r="J198" s="9">
        <f t="shared" si="2"/>
        <v>0.94071825362505856</v>
      </c>
    </row>
    <row r="199" spans="2:10" ht="28.05" customHeight="1" x14ac:dyDescent="0.3">
      <c r="B199" s="4" t="s">
        <v>5340</v>
      </c>
      <c r="C199" s="6">
        <v>89141</v>
      </c>
      <c r="D199" s="6">
        <v>10874</v>
      </c>
      <c r="E199" s="1">
        <v>5</v>
      </c>
      <c r="G199" s="6">
        <v>2166475</v>
      </c>
      <c r="H199" s="6">
        <v>71109</v>
      </c>
      <c r="I199" s="6">
        <v>2337604</v>
      </c>
      <c r="J199" s="9">
        <f t="shared" si="2"/>
        <v>0.9267929897450552</v>
      </c>
    </row>
    <row r="200" spans="2:10" ht="28.05" customHeight="1" x14ac:dyDescent="0.3">
      <c r="B200" s="4" t="s">
        <v>5337</v>
      </c>
      <c r="C200" s="6">
        <v>642480</v>
      </c>
      <c r="D200" s="6">
        <v>110608</v>
      </c>
      <c r="E200" s="1">
        <v>54</v>
      </c>
      <c r="F200" s="1">
        <v>421</v>
      </c>
      <c r="G200" s="6">
        <v>24167314</v>
      </c>
      <c r="H200" s="6">
        <v>623279</v>
      </c>
      <c r="I200" s="6">
        <v>25544156</v>
      </c>
      <c r="J200" s="9">
        <f t="shared" si="2"/>
        <v>0.9460995305540727</v>
      </c>
    </row>
    <row r="201" spans="2:10" ht="28.05" customHeight="1" x14ac:dyDescent="0.3">
      <c r="B201" s="4" t="s">
        <v>808</v>
      </c>
      <c r="J201" s="9" t="e">
        <f t="shared" si="2"/>
        <v>#DIV/0!</v>
      </c>
    </row>
    <row r="202" spans="2:10" ht="28.05" customHeight="1" x14ac:dyDescent="0.3">
      <c r="B202" s="4" t="s">
        <v>5339</v>
      </c>
      <c r="C202" s="6">
        <v>27788</v>
      </c>
      <c r="D202" s="6">
        <v>12292</v>
      </c>
      <c r="E202" s="1">
        <v>205</v>
      </c>
      <c r="G202" s="6">
        <v>2619589</v>
      </c>
      <c r="H202" s="6">
        <v>16314</v>
      </c>
      <c r="I202" s="6">
        <v>2676188</v>
      </c>
      <c r="J202" s="9">
        <f t="shared" ref="J202:J265" si="3">G202/I202</f>
        <v>0.97885088790473618</v>
      </c>
    </row>
    <row r="203" spans="2:10" ht="28.05" customHeight="1" x14ac:dyDescent="0.3">
      <c r="B203" s="4" t="s">
        <v>1221</v>
      </c>
      <c r="C203" s="6">
        <v>19070</v>
      </c>
      <c r="D203" s="6">
        <v>4337</v>
      </c>
      <c r="E203" s="1">
        <v>645</v>
      </c>
      <c r="G203" s="6">
        <v>1135925</v>
      </c>
      <c r="H203" s="6">
        <v>17862</v>
      </c>
      <c r="I203" s="6">
        <v>1177839</v>
      </c>
      <c r="J203" s="9">
        <f t="shared" si="3"/>
        <v>0.96441449128446244</v>
      </c>
    </row>
    <row r="204" spans="2:10" ht="28.05" customHeight="1" x14ac:dyDescent="0.3">
      <c r="B204" s="4" t="s">
        <v>5340</v>
      </c>
      <c r="C204" s="6">
        <v>31060</v>
      </c>
      <c r="D204" s="6">
        <v>5112</v>
      </c>
      <c r="G204" s="6">
        <v>1946264</v>
      </c>
      <c r="H204" s="6">
        <v>30743</v>
      </c>
      <c r="I204" s="6">
        <v>2013179</v>
      </c>
      <c r="J204" s="9">
        <f t="shared" si="3"/>
        <v>0.96676152493146417</v>
      </c>
    </row>
    <row r="205" spans="2:10" ht="28.05" customHeight="1" x14ac:dyDescent="0.3">
      <c r="B205" s="4" t="s">
        <v>5337</v>
      </c>
      <c r="C205" s="6">
        <v>77918</v>
      </c>
      <c r="D205" s="6">
        <v>21741</v>
      </c>
      <c r="E205" s="1">
        <v>850</v>
      </c>
      <c r="G205" s="6">
        <v>5701778</v>
      </c>
      <c r="H205" s="6">
        <v>64919</v>
      </c>
      <c r="I205" s="6">
        <v>5867206</v>
      </c>
      <c r="J205" s="9">
        <f t="shared" si="3"/>
        <v>0.97180463750548385</v>
      </c>
    </row>
    <row r="206" spans="2:10" ht="28.05" customHeight="1" x14ac:dyDescent="0.3">
      <c r="B206" s="4" t="s">
        <v>819</v>
      </c>
      <c r="J206" s="9" t="e">
        <f t="shared" si="3"/>
        <v>#DIV/0!</v>
      </c>
    </row>
    <row r="207" spans="2:10" ht="28.05" customHeight="1" x14ac:dyDescent="0.3">
      <c r="B207" s="4" t="s">
        <v>5339</v>
      </c>
      <c r="C207" s="6">
        <v>11760</v>
      </c>
      <c r="D207" s="6">
        <v>3643</v>
      </c>
      <c r="G207" s="6">
        <v>2175844</v>
      </c>
      <c r="H207" s="6">
        <v>32064</v>
      </c>
      <c r="I207" s="6">
        <v>2223311</v>
      </c>
      <c r="J207" s="9">
        <f t="shared" si="3"/>
        <v>0.97865031028047811</v>
      </c>
    </row>
    <row r="208" spans="2:10" ht="28.05" customHeight="1" x14ac:dyDescent="0.3">
      <c r="B208" s="4" t="s">
        <v>1221</v>
      </c>
      <c r="C208" s="6">
        <v>98742</v>
      </c>
      <c r="D208" s="6">
        <v>18489</v>
      </c>
      <c r="E208" s="6">
        <v>3606</v>
      </c>
      <c r="F208" s="6">
        <v>220</v>
      </c>
      <c r="G208" s="6">
        <v>2004563</v>
      </c>
      <c r="H208" s="6">
        <v>15670</v>
      </c>
      <c r="I208" s="6">
        <v>2141290</v>
      </c>
      <c r="J208" s="9">
        <f t="shared" si="3"/>
        <v>0.93614736910927521</v>
      </c>
    </row>
    <row r="209" spans="2:10" ht="28.05" customHeight="1" x14ac:dyDescent="0.3">
      <c r="B209" s="4" t="s">
        <v>5340</v>
      </c>
      <c r="C209" s="6">
        <v>40119</v>
      </c>
      <c r="D209" s="6">
        <v>2457</v>
      </c>
      <c r="E209" s="6"/>
      <c r="F209" s="6"/>
      <c r="G209" s="6">
        <v>2044088</v>
      </c>
      <c r="H209" s="6">
        <v>40975</v>
      </c>
      <c r="I209" s="6">
        <v>2127639</v>
      </c>
      <c r="J209" s="9">
        <f t="shared" si="3"/>
        <v>0.96073065026538806</v>
      </c>
    </row>
    <row r="210" spans="2:10" ht="28.05" customHeight="1" x14ac:dyDescent="0.3">
      <c r="B210" s="4" t="s">
        <v>5337</v>
      </c>
      <c r="C210" s="6">
        <v>150621</v>
      </c>
      <c r="D210" s="6">
        <v>24589</v>
      </c>
      <c r="E210" s="6">
        <v>3606</v>
      </c>
      <c r="F210" s="6">
        <v>220</v>
      </c>
      <c r="G210" s="6">
        <v>6224495</v>
      </c>
      <c r="H210" s="6">
        <v>88709</v>
      </c>
      <c r="I210" s="6">
        <v>6492240</v>
      </c>
      <c r="J210" s="9">
        <f t="shared" si="3"/>
        <v>0.95875922639951694</v>
      </c>
    </row>
    <row r="211" spans="2:10" ht="28.05" customHeight="1" x14ac:dyDescent="0.3">
      <c r="B211" s="4" t="s">
        <v>829</v>
      </c>
      <c r="J211" s="9" t="e">
        <f t="shared" si="3"/>
        <v>#DIV/0!</v>
      </c>
    </row>
    <row r="212" spans="2:10" ht="28.05" customHeight="1" x14ac:dyDescent="0.3">
      <c r="B212" s="4" t="s">
        <v>5339</v>
      </c>
      <c r="C212" s="6">
        <v>184058</v>
      </c>
      <c r="D212" s="6">
        <v>25248</v>
      </c>
      <c r="F212" s="1">
        <v>18</v>
      </c>
      <c r="G212" s="6">
        <v>4161959</v>
      </c>
      <c r="H212" s="6">
        <v>37909</v>
      </c>
      <c r="I212" s="6">
        <v>4409192</v>
      </c>
      <c r="J212" s="9">
        <f t="shared" si="3"/>
        <v>0.94392782169612932</v>
      </c>
    </row>
    <row r="213" spans="2:10" ht="28.05" customHeight="1" x14ac:dyDescent="0.3">
      <c r="B213" s="4" t="s">
        <v>1221</v>
      </c>
      <c r="C213" s="6">
        <v>17344</v>
      </c>
      <c r="D213" s="6">
        <v>435</v>
      </c>
      <c r="G213" s="6">
        <v>379257</v>
      </c>
      <c r="H213" s="6">
        <v>2071</v>
      </c>
      <c r="I213" s="6">
        <v>399107</v>
      </c>
      <c r="J213" s="9">
        <f t="shared" si="3"/>
        <v>0.95026396430030047</v>
      </c>
    </row>
    <row r="214" spans="2:10" ht="28.05" customHeight="1" x14ac:dyDescent="0.3">
      <c r="B214" s="4" t="s">
        <v>5340</v>
      </c>
      <c r="C214" s="6">
        <v>146789</v>
      </c>
      <c r="D214" s="6">
        <v>4640</v>
      </c>
      <c r="G214" s="6">
        <v>1635557</v>
      </c>
      <c r="H214" s="6">
        <v>102234</v>
      </c>
      <c r="I214" s="6">
        <v>1889220</v>
      </c>
      <c r="J214" s="9">
        <f t="shared" si="3"/>
        <v>0.86573136003218254</v>
      </c>
    </row>
    <row r="215" spans="2:10" ht="28.05" customHeight="1" x14ac:dyDescent="0.3">
      <c r="B215" s="4" t="s">
        <v>5337</v>
      </c>
      <c r="C215" s="6">
        <v>348191</v>
      </c>
      <c r="D215" s="6">
        <v>30323</v>
      </c>
      <c r="F215" s="1">
        <v>18</v>
      </c>
      <c r="G215" s="6">
        <v>6176773</v>
      </c>
      <c r="H215" s="6">
        <v>142214</v>
      </c>
      <c r="I215" s="6">
        <v>6697519</v>
      </c>
      <c r="J215" s="9">
        <f t="shared" si="3"/>
        <v>0.92224792494056385</v>
      </c>
    </row>
    <row r="216" spans="2:10" ht="28.05" customHeight="1" x14ac:dyDescent="0.3">
      <c r="B216" s="4" t="s">
        <v>5345</v>
      </c>
      <c r="J216" s="9" t="e">
        <f t="shared" si="3"/>
        <v>#DIV/0!</v>
      </c>
    </row>
    <row r="217" spans="2:10" ht="28.05" customHeight="1" x14ac:dyDescent="0.3">
      <c r="B217" s="4" t="s">
        <v>5339</v>
      </c>
      <c r="C217" s="6">
        <v>6312</v>
      </c>
      <c r="D217" s="6">
        <v>1556</v>
      </c>
      <c r="G217" s="6">
        <v>249229</v>
      </c>
      <c r="H217" s="6">
        <v>1986</v>
      </c>
      <c r="I217" s="6">
        <v>259083</v>
      </c>
      <c r="J217" s="9">
        <f t="shared" si="3"/>
        <v>0.96196585650158439</v>
      </c>
    </row>
    <row r="218" spans="2:10" ht="28.05" customHeight="1" x14ac:dyDescent="0.3">
      <c r="B218" s="4" t="s">
        <v>1221</v>
      </c>
      <c r="C218" s="6">
        <v>1983</v>
      </c>
      <c r="D218" s="6">
        <v>410</v>
      </c>
      <c r="G218" s="6">
        <v>192402</v>
      </c>
      <c r="H218" s="6">
        <v>683</v>
      </c>
      <c r="I218" s="6">
        <v>195478</v>
      </c>
      <c r="J218" s="9">
        <f t="shared" si="3"/>
        <v>0.98426421387573027</v>
      </c>
    </row>
    <row r="219" spans="2:10" ht="28.05" customHeight="1" x14ac:dyDescent="0.3">
      <c r="B219" s="4" t="s">
        <v>5340</v>
      </c>
      <c r="C219" s="6">
        <v>14056</v>
      </c>
      <c r="D219" s="6">
        <v>576</v>
      </c>
      <c r="G219" s="6">
        <v>306669</v>
      </c>
      <c r="H219" s="6">
        <v>4688</v>
      </c>
      <c r="I219" s="6">
        <v>325989</v>
      </c>
      <c r="J219" s="9">
        <f t="shared" si="3"/>
        <v>0.94073419655264445</v>
      </c>
    </row>
    <row r="220" spans="2:10" ht="28.05" customHeight="1" x14ac:dyDescent="0.3">
      <c r="B220" s="4" t="s">
        <v>5337</v>
      </c>
      <c r="C220" s="6">
        <v>22351</v>
      </c>
      <c r="D220" s="6">
        <v>2542</v>
      </c>
      <c r="G220" s="6">
        <v>748300</v>
      </c>
      <c r="H220" s="6">
        <v>7357</v>
      </c>
      <c r="I220" s="6">
        <v>780550</v>
      </c>
      <c r="J220" s="9">
        <f t="shared" si="3"/>
        <v>0.95868297995003526</v>
      </c>
    </row>
    <row r="221" spans="2:10" ht="28.05" customHeight="1" x14ac:dyDescent="0.3">
      <c r="B221" s="4" t="s">
        <v>844</v>
      </c>
      <c r="J221" s="9" t="e">
        <f t="shared" si="3"/>
        <v>#DIV/0!</v>
      </c>
    </row>
    <row r="222" spans="2:10" ht="28.05" customHeight="1" x14ac:dyDescent="0.3">
      <c r="B222" s="4" t="s">
        <v>5339</v>
      </c>
      <c r="C222" s="6">
        <v>54137</v>
      </c>
      <c r="D222" s="6">
        <v>10697</v>
      </c>
      <c r="G222" s="6">
        <v>1940213</v>
      </c>
      <c r="H222" s="6">
        <v>36160</v>
      </c>
      <c r="I222" s="6">
        <v>2041207</v>
      </c>
      <c r="J222" s="9">
        <f t="shared" si="3"/>
        <v>0.95052241149476757</v>
      </c>
    </row>
    <row r="223" spans="2:10" ht="28.05" customHeight="1" x14ac:dyDescent="0.3">
      <c r="B223" s="4" t="s">
        <v>1221</v>
      </c>
      <c r="C223" s="6">
        <v>38648</v>
      </c>
      <c r="D223" s="6">
        <v>4198</v>
      </c>
      <c r="G223" s="6">
        <v>435283</v>
      </c>
      <c r="H223" s="6">
        <v>24827</v>
      </c>
      <c r="I223" s="6">
        <v>502956</v>
      </c>
      <c r="J223" s="9">
        <f t="shared" si="3"/>
        <v>0.86544946277606793</v>
      </c>
    </row>
    <row r="224" spans="2:10" ht="28.05" customHeight="1" x14ac:dyDescent="0.3">
      <c r="B224" s="4" t="s">
        <v>5340</v>
      </c>
      <c r="C224" s="6">
        <v>45050</v>
      </c>
      <c r="D224" s="6">
        <v>5373</v>
      </c>
      <c r="G224" s="6">
        <v>1230474</v>
      </c>
      <c r="H224" s="6">
        <v>414714</v>
      </c>
      <c r="I224" s="6">
        <v>1695611</v>
      </c>
      <c r="J224" s="9">
        <f t="shared" si="3"/>
        <v>0.72568177488822616</v>
      </c>
    </row>
    <row r="225" spans="2:10" ht="28.05" customHeight="1" x14ac:dyDescent="0.3">
      <c r="B225" s="4" t="s">
        <v>5337</v>
      </c>
      <c r="C225" s="6">
        <v>137835</v>
      </c>
      <c r="D225" s="6">
        <v>20268</v>
      </c>
      <c r="G225" s="6">
        <v>3605970</v>
      </c>
      <c r="H225" s="6">
        <v>475701</v>
      </c>
      <c r="I225" s="6">
        <v>4239774</v>
      </c>
      <c r="J225" s="9">
        <f t="shared" si="3"/>
        <v>0.85050995642692273</v>
      </c>
    </row>
    <row r="226" spans="2:10" ht="28.05" customHeight="1" x14ac:dyDescent="0.3">
      <c r="B226" s="4" t="s">
        <v>858</v>
      </c>
      <c r="J226" s="9" t="e">
        <f t="shared" si="3"/>
        <v>#DIV/0!</v>
      </c>
    </row>
    <row r="227" spans="2:10" ht="28.05" customHeight="1" x14ac:dyDescent="0.3">
      <c r="B227" s="4" t="s">
        <v>5339</v>
      </c>
      <c r="C227" s="6">
        <v>223410</v>
      </c>
      <c r="D227" s="6">
        <v>11878</v>
      </c>
      <c r="G227" s="6">
        <v>1987954</v>
      </c>
      <c r="H227" s="6">
        <v>17636</v>
      </c>
      <c r="I227" s="6">
        <v>2240878</v>
      </c>
      <c r="J227" s="9">
        <f t="shared" si="3"/>
        <v>0.88713174032678266</v>
      </c>
    </row>
    <row r="228" spans="2:10" ht="28.05" customHeight="1" x14ac:dyDescent="0.3">
      <c r="B228" s="4" t="s">
        <v>1221</v>
      </c>
      <c r="C228" s="6">
        <v>63475</v>
      </c>
      <c r="D228" s="6">
        <v>6735</v>
      </c>
      <c r="G228" s="6">
        <v>1001189</v>
      </c>
      <c r="H228" s="6">
        <v>31758</v>
      </c>
      <c r="I228" s="6">
        <v>1103157</v>
      </c>
      <c r="J228" s="9">
        <f t="shared" si="3"/>
        <v>0.90756710060308732</v>
      </c>
    </row>
    <row r="229" spans="2:10" ht="28.05" customHeight="1" x14ac:dyDescent="0.3">
      <c r="B229" s="4" t="s">
        <v>5340</v>
      </c>
      <c r="C229" s="6">
        <v>36645</v>
      </c>
      <c r="D229" s="6">
        <v>7362</v>
      </c>
      <c r="G229" s="6">
        <v>1043744</v>
      </c>
      <c r="H229" s="6">
        <v>81994</v>
      </c>
      <c r="I229" s="6">
        <v>1169745</v>
      </c>
      <c r="J229" s="9">
        <f>G229/I229</f>
        <v>0.89228336090344473</v>
      </c>
    </row>
    <row r="230" spans="2:10" ht="28.05" customHeight="1" x14ac:dyDescent="0.3">
      <c r="B230" s="4" t="s">
        <v>5337</v>
      </c>
      <c r="C230" s="6">
        <v>323530</v>
      </c>
      <c r="D230" s="6">
        <v>25975</v>
      </c>
      <c r="G230" s="6">
        <v>4032887</v>
      </c>
      <c r="H230" s="6">
        <v>131388</v>
      </c>
      <c r="I230" s="6">
        <v>4513780</v>
      </c>
      <c r="J230" s="9">
        <f t="shared" si="3"/>
        <v>0.89346113457013854</v>
      </c>
    </row>
    <row r="231" spans="2:10" ht="28.05" customHeight="1" x14ac:dyDescent="0.3">
      <c r="B231" s="4" t="s">
        <v>870</v>
      </c>
      <c r="J231" s="9" t="e">
        <f t="shared" si="3"/>
        <v>#DIV/0!</v>
      </c>
    </row>
    <row r="232" spans="2:10" ht="28.05" customHeight="1" x14ac:dyDescent="0.3">
      <c r="B232" s="4" t="s">
        <v>5339</v>
      </c>
      <c r="C232" s="6">
        <v>15892</v>
      </c>
      <c r="D232" s="6">
        <v>1418</v>
      </c>
      <c r="E232" s="1">
        <v>53</v>
      </c>
      <c r="G232" s="6">
        <v>599797</v>
      </c>
      <c r="H232" s="6">
        <v>5432</v>
      </c>
      <c r="I232" s="6">
        <v>622592</v>
      </c>
      <c r="J232" s="9">
        <f t="shared" si="3"/>
        <v>0.96338693719161184</v>
      </c>
    </row>
    <row r="233" spans="2:10" ht="28.05" customHeight="1" x14ac:dyDescent="0.3">
      <c r="B233" s="4" t="s">
        <v>1221</v>
      </c>
      <c r="C233" s="6">
        <v>9334</v>
      </c>
      <c r="D233" s="6">
        <v>1983</v>
      </c>
      <c r="G233" s="6">
        <v>769727</v>
      </c>
      <c r="H233" s="6">
        <v>12300</v>
      </c>
      <c r="I233" s="6">
        <v>793344</v>
      </c>
      <c r="J233" s="9">
        <f t="shared" si="3"/>
        <v>0.97023107252339469</v>
      </c>
    </row>
    <row r="234" spans="2:10" ht="28.05" customHeight="1" x14ac:dyDescent="0.3">
      <c r="B234" s="4" t="s">
        <v>5340</v>
      </c>
      <c r="C234" s="6">
        <v>70681</v>
      </c>
      <c r="D234" s="6">
        <v>1653</v>
      </c>
      <c r="E234" s="6">
        <v>2031</v>
      </c>
      <c r="G234" s="6">
        <v>782284</v>
      </c>
      <c r="H234" s="6">
        <v>54723</v>
      </c>
      <c r="I234" s="6">
        <v>911372</v>
      </c>
      <c r="J234" s="9">
        <f t="shared" si="3"/>
        <v>0.85835860658435847</v>
      </c>
    </row>
    <row r="235" spans="2:10" ht="28.05" customHeight="1" x14ac:dyDescent="0.3">
      <c r="B235" s="4" t="s">
        <v>5337</v>
      </c>
      <c r="C235" s="6">
        <v>95907</v>
      </c>
      <c r="D235" s="6">
        <v>5054</v>
      </c>
      <c r="E235" s="6">
        <v>2084</v>
      </c>
      <c r="G235" s="6">
        <v>2151808</v>
      </c>
      <c r="H235" s="6">
        <v>72455</v>
      </c>
      <c r="I235" s="6">
        <v>2327308</v>
      </c>
      <c r="J235" s="9">
        <f t="shared" si="3"/>
        <v>0.92459098666785833</v>
      </c>
    </row>
    <row r="236" spans="2:10" ht="28.05" customHeight="1" x14ac:dyDescent="0.3">
      <c r="B236" s="4" t="s">
        <v>5346</v>
      </c>
      <c r="J236" s="9" t="e">
        <f t="shared" si="3"/>
        <v>#DIV/0!</v>
      </c>
    </row>
    <row r="237" spans="2:10" ht="28.05" customHeight="1" x14ac:dyDescent="0.3">
      <c r="B237" s="4" t="s">
        <v>5339</v>
      </c>
      <c r="C237" s="6">
        <v>93882</v>
      </c>
      <c r="D237" s="6">
        <v>2483</v>
      </c>
      <c r="E237" s="1">
        <v>28</v>
      </c>
      <c r="F237" s="1">
        <v>20</v>
      </c>
      <c r="G237" s="6">
        <v>1394412</v>
      </c>
      <c r="H237" s="6">
        <v>19909</v>
      </c>
      <c r="I237" s="6">
        <v>1510734</v>
      </c>
      <c r="J237" s="9">
        <f t="shared" si="3"/>
        <v>0.9230029905992716</v>
      </c>
    </row>
    <row r="238" spans="2:10" ht="28.05" customHeight="1" x14ac:dyDescent="0.3">
      <c r="B238" s="4" t="s">
        <v>1221</v>
      </c>
      <c r="C238" s="6">
        <v>267066</v>
      </c>
      <c r="D238" s="6">
        <v>1450</v>
      </c>
      <c r="E238" s="1">
        <v>811</v>
      </c>
      <c r="G238" s="6">
        <v>893612</v>
      </c>
      <c r="H238" s="6">
        <v>11611</v>
      </c>
      <c r="I238" s="6">
        <v>1174550</v>
      </c>
      <c r="J238" s="9">
        <f t="shared" si="3"/>
        <v>0.76081222595887787</v>
      </c>
    </row>
    <row r="239" spans="2:10" ht="28.05" customHeight="1" x14ac:dyDescent="0.3">
      <c r="B239" s="4" t="s">
        <v>5340</v>
      </c>
      <c r="C239" s="6">
        <v>22505</v>
      </c>
      <c r="D239" s="6">
        <v>2219</v>
      </c>
      <c r="E239" s="1">
        <v>84</v>
      </c>
      <c r="G239" s="6">
        <v>1188108</v>
      </c>
      <c r="H239" s="6">
        <v>193357</v>
      </c>
      <c r="I239" s="6">
        <v>1406273</v>
      </c>
      <c r="J239" s="9">
        <f t="shared" si="3"/>
        <v>0.84486298179656438</v>
      </c>
    </row>
    <row r="240" spans="2:10" ht="28.05" customHeight="1" x14ac:dyDescent="0.3">
      <c r="B240" s="4" t="s">
        <v>5337</v>
      </c>
      <c r="C240" s="6">
        <v>383453</v>
      </c>
      <c r="D240" s="6">
        <v>6152</v>
      </c>
      <c r="E240" s="1">
        <v>923</v>
      </c>
      <c r="F240" s="1">
        <v>20</v>
      </c>
      <c r="G240" s="6">
        <v>3476132</v>
      </c>
      <c r="H240" s="6">
        <v>224877</v>
      </c>
      <c r="I240" s="6">
        <v>4091557</v>
      </c>
      <c r="J240" s="9">
        <f t="shared" si="3"/>
        <v>0.84958659991783081</v>
      </c>
    </row>
    <row r="241" spans="2:10" ht="28.05" customHeight="1" x14ac:dyDescent="0.3">
      <c r="B241" s="4" t="s">
        <v>894</v>
      </c>
      <c r="J241" s="9" t="e">
        <f t="shared" si="3"/>
        <v>#DIV/0!</v>
      </c>
    </row>
    <row r="242" spans="2:10" ht="28.05" customHeight="1" x14ac:dyDescent="0.3">
      <c r="B242" s="4" t="s">
        <v>5339</v>
      </c>
      <c r="C242" s="6">
        <v>301018</v>
      </c>
      <c r="D242" s="6">
        <v>11717</v>
      </c>
      <c r="E242" s="6">
        <v>19184</v>
      </c>
      <c r="F242" s="6">
        <v>1175</v>
      </c>
      <c r="G242" s="6">
        <v>3659037</v>
      </c>
      <c r="H242" s="6">
        <v>39972</v>
      </c>
      <c r="I242" s="6">
        <v>4032103</v>
      </c>
      <c r="J242" s="9">
        <f t="shared" si="3"/>
        <v>0.90747607389989793</v>
      </c>
    </row>
    <row r="243" spans="2:10" ht="28.05" customHeight="1" x14ac:dyDescent="0.3">
      <c r="B243" s="4" t="s">
        <v>1221</v>
      </c>
      <c r="C243" s="6">
        <v>607261</v>
      </c>
      <c r="D243" s="6">
        <v>15823</v>
      </c>
      <c r="E243" s="6">
        <v>1825</v>
      </c>
      <c r="F243" s="6">
        <v>2234</v>
      </c>
      <c r="G243" s="6">
        <v>5340351</v>
      </c>
      <c r="H243" s="6">
        <v>70875</v>
      </c>
      <c r="I243" s="6">
        <v>6038369</v>
      </c>
      <c r="J243" s="9">
        <f t="shared" si="3"/>
        <v>0.88440289091309254</v>
      </c>
    </row>
    <row r="244" spans="2:10" ht="28.05" customHeight="1" x14ac:dyDescent="0.3">
      <c r="B244" s="4" t="s">
        <v>5340</v>
      </c>
      <c r="C244" s="6">
        <v>452940</v>
      </c>
      <c r="D244" s="6">
        <v>14735</v>
      </c>
      <c r="E244" s="1">
        <v>216</v>
      </c>
      <c r="G244" s="6">
        <v>3220453</v>
      </c>
      <c r="H244" s="6">
        <v>123173</v>
      </c>
      <c r="I244" s="6">
        <v>3811517</v>
      </c>
      <c r="J244" s="9">
        <f t="shared" si="3"/>
        <v>0.84492683621770548</v>
      </c>
    </row>
    <row r="245" spans="2:10" ht="28.05" customHeight="1" x14ac:dyDescent="0.3">
      <c r="B245" s="4" t="s">
        <v>5337</v>
      </c>
      <c r="C245" s="6">
        <v>1361219</v>
      </c>
      <c r="D245" s="6">
        <v>42275</v>
      </c>
      <c r="E245" s="6">
        <v>21225</v>
      </c>
      <c r="F245" s="6">
        <v>3409</v>
      </c>
      <c r="G245" s="6">
        <v>12219841</v>
      </c>
      <c r="H245" s="6">
        <v>234020</v>
      </c>
      <c r="I245" s="6">
        <v>13881989</v>
      </c>
      <c r="J245" s="9">
        <f t="shared" si="3"/>
        <v>0.8802658610376366</v>
      </c>
    </row>
    <row r="246" spans="2:10" ht="28.05" customHeight="1" x14ac:dyDescent="0.3">
      <c r="B246" s="4" t="s">
        <v>5347</v>
      </c>
      <c r="J246" s="9" t="e">
        <f t="shared" si="3"/>
        <v>#DIV/0!</v>
      </c>
    </row>
    <row r="247" spans="2:10" ht="28.05" customHeight="1" x14ac:dyDescent="0.3">
      <c r="B247" s="4" t="s">
        <v>5348</v>
      </c>
      <c r="J247" s="9" t="e">
        <f t="shared" si="3"/>
        <v>#DIV/0!</v>
      </c>
    </row>
    <row r="248" spans="2:10" ht="28.05" customHeight="1" x14ac:dyDescent="0.3">
      <c r="B248" s="4" t="s">
        <v>5339</v>
      </c>
      <c r="C248" s="6">
        <v>3548</v>
      </c>
      <c r="D248" s="6">
        <v>14</v>
      </c>
      <c r="G248" s="6">
        <v>20773</v>
      </c>
      <c r="H248" s="6">
        <v>86</v>
      </c>
      <c r="I248" s="6">
        <v>24421</v>
      </c>
      <c r="J248" s="9">
        <f t="shared" si="3"/>
        <v>0.85062036771630978</v>
      </c>
    </row>
    <row r="249" spans="2:10" ht="28.05" customHeight="1" x14ac:dyDescent="0.3">
      <c r="B249" s="4" t="s">
        <v>1221</v>
      </c>
      <c r="C249" s="6">
        <v>20040</v>
      </c>
      <c r="D249" s="6">
        <v>88</v>
      </c>
      <c r="E249" s="1">
        <v>126</v>
      </c>
      <c r="F249" s="1">
        <v>4</v>
      </c>
      <c r="G249" s="6">
        <v>183049</v>
      </c>
      <c r="H249" s="6">
        <v>2263</v>
      </c>
      <c r="I249" s="6">
        <v>205570</v>
      </c>
      <c r="J249" s="9">
        <f t="shared" si="3"/>
        <v>0.89044607676217347</v>
      </c>
    </row>
    <row r="250" spans="2:10" ht="28.05" customHeight="1" x14ac:dyDescent="0.3">
      <c r="B250" s="4" t="s">
        <v>5340</v>
      </c>
      <c r="C250" s="6">
        <v>2574</v>
      </c>
      <c r="D250" s="6">
        <v>238</v>
      </c>
      <c r="G250" s="6">
        <v>177822</v>
      </c>
      <c r="H250" s="6">
        <v>10309</v>
      </c>
      <c r="I250" s="6">
        <v>190943</v>
      </c>
      <c r="J250" s="9">
        <f t="shared" si="3"/>
        <v>0.93128315780101911</v>
      </c>
    </row>
    <row r="251" spans="2:10" ht="28.05" customHeight="1" x14ac:dyDescent="0.3">
      <c r="B251" s="4" t="s">
        <v>5337</v>
      </c>
      <c r="C251" s="6">
        <v>26162</v>
      </c>
      <c r="D251" s="6">
        <v>340</v>
      </c>
      <c r="E251" s="1">
        <v>126</v>
      </c>
      <c r="F251" s="1">
        <v>4</v>
      </c>
      <c r="G251" s="6">
        <v>381644</v>
      </c>
      <c r="H251" s="6">
        <v>12658</v>
      </c>
      <c r="I251" s="6">
        <v>420934</v>
      </c>
      <c r="J251" s="9">
        <f t="shared" si="3"/>
        <v>0.90665995144131861</v>
      </c>
    </row>
    <row r="252" spans="2:10" ht="28.05" customHeight="1" x14ac:dyDescent="0.3">
      <c r="B252" s="4" t="s">
        <v>5349</v>
      </c>
      <c r="J252" s="9" t="e">
        <f t="shared" si="3"/>
        <v>#DIV/0!</v>
      </c>
    </row>
    <row r="253" spans="2:10" ht="28.05" customHeight="1" x14ac:dyDescent="0.3">
      <c r="B253" s="4" t="s">
        <v>5339</v>
      </c>
      <c r="C253" s="6">
        <v>168</v>
      </c>
      <c r="G253" s="6">
        <v>66026</v>
      </c>
      <c r="H253" s="6">
        <v>5119</v>
      </c>
      <c r="I253" s="6">
        <v>71313</v>
      </c>
      <c r="J253" s="9">
        <f t="shared" si="3"/>
        <v>0.92586204478846779</v>
      </c>
    </row>
    <row r="254" spans="2:10" ht="28.05" customHeight="1" x14ac:dyDescent="0.3">
      <c r="B254" s="4" t="s">
        <v>1221</v>
      </c>
      <c r="C254" s="6">
        <v>1415</v>
      </c>
      <c r="D254" s="6">
        <v>102</v>
      </c>
      <c r="G254" s="6">
        <v>83225</v>
      </c>
      <c r="H254" s="6">
        <v>397</v>
      </c>
      <c r="I254" s="6">
        <v>85139</v>
      </c>
      <c r="J254" s="9">
        <f t="shared" si="3"/>
        <v>0.97751911579887008</v>
      </c>
    </row>
    <row r="255" spans="2:10" ht="28.05" customHeight="1" x14ac:dyDescent="0.3">
      <c r="B255" s="4" t="s">
        <v>5340</v>
      </c>
      <c r="C255" s="6">
        <v>15753</v>
      </c>
      <c r="D255" s="6">
        <v>1120</v>
      </c>
      <c r="G255" s="6">
        <v>329627</v>
      </c>
      <c r="H255" s="6">
        <v>13953</v>
      </c>
      <c r="I255" s="6">
        <v>360523</v>
      </c>
      <c r="J255" s="9">
        <f t="shared" si="3"/>
        <v>0.91430227752459625</v>
      </c>
    </row>
    <row r="256" spans="2:10" ht="28.05" customHeight="1" x14ac:dyDescent="0.3">
      <c r="B256" s="4" t="s">
        <v>5337</v>
      </c>
      <c r="C256" s="6">
        <v>17336</v>
      </c>
      <c r="D256" s="6">
        <v>1222</v>
      </c>
      <c r="G256" s="6">
        <v>478948</v>
      </c>
      <c r="H256" s="6">
        <v>19469</v>
      </c>
      <c r="I256" s="6">
        <v>516975</v>
      </c>
      <c r="J256" s="9">
        <f t="shared" si="3"/>
        <v>0.92644325160791141</v>
      </c>
    </row>
    <row r="257" spans="2:10" ht="28.05" customHeight="1" x14ac:dyDescent="0.3">
      <c r="B257" s="4" t="s">
        <v>5350</v>
      </c>
      <c r="J257" s="9" t="e">
        <f t="shared" si="3"/>
        <v>#DIV/0!</v>
      </c>
    </row>
    <row r="258" spans="2:10" ht="28.05" customHeight="1" x14ac:dyDescent="0.3">
      <c r="B258" s="4" t="s">
        <v>5339</v>
      </c>
      <c r="C258" s="6">
        <v>7457</v>
      </c>
      <c r="D258" s="6">
        <v>1051</v>
      </c>
      <c r="E258" s="1">
        <v>68</v>
      </c>
      <c r="F258" s="1">
        <v>20</v>
      </c>
      <c r="G258" s="6">
        <v>520381</v>
      </c>
      <c r="H258" s="6">
        <v>6941</v>
      </c>
      <c r="I258" s="6">
        <v>535918</v>
      </c>
      <c r="J258" s="9">
        <f t="shared" si="3"/>
        <v>0.97100862445374103</v>
      </c>
    </row>
    <row r="259" spans="2:10" ht="28.05" customHeight="1" x14ac:dyDescent="0.3">
      <c r="B259" s="4" t="s">
        <v>1221</v>
      </c>
      <c r="C259" s="6">
        <v>5620</v>
      </c>
      <c r="D259" s="6">
        <v>900</v>
      </c>
      <c r="E259" s="1">
        <v>15</v>
      </c>
      <c r="G259" s="6">
        <v>596684</v>
      </c>
      <c r="H259" s="6">
        <v>2769</v>
      </c>
      <c r="I259" s="6">
        <v>605988</v>
      </c>
      <c r="J259" s="9">
        <f t="shared" si="3"/>
        <v>0.98464656065796685</v>
      </c>
    </row>
    <row r="260" spans="2:10" ht="28.05" customHeight="1" x14ac:dyDescent="0.3">
      <c r="B260" s="4" t="s">
        <v>5340</v>
      </c>
      <c r="C260" s="6">
        <v>16272</v>
      </c>
      <c r="D260" s="6">
        <v>224</v>
      </c>
      <c r="G260" s="6">
        <v>321293</v>
      </c>
      <c r="H260" s="6">
        <v>3343</v>
      </c>
      <c r="I260" s="6">
        <v>341132</v>
      </c>
      <c r="J260" s="9">
        <f t="shared" si="3"/>
        <v>0.94184362651407671</v>
      </c>
    </row>
    <row r="261" spans="2:10" ht="28.05" customHeight="1" x14ac:dyDescent="0.3">
      <c r="B261" s="4" t="s">
        <v>5337</v>
      </c>
      <c r="C261" s="6">
        <v>29349</v>
      </c>
      <c r="D261" s="6">
        <v>2175</v>
      </c>
      <c r="E261" s="1">
        <v>83</v>
      </c>
      <c r="F261" s="1">
        <v>20</v>
      </c>
      <c r="G261" s="6">
        <v>1438358</v>
      </c>
      <c r="H261" s="6">
        <v>13053</v>
      </c>
      <c r="I261" s="6">
        <v>1483038</v>
      </c>
      <c r="J261" s="9">
        <f t="shared" si="3"/>
        <v>0.96987265329681371</v>
      </c>
    </row>
    <row r="262" spans="2:10" ht="28.05" customHeight="1" x14ac:dyDescent="0.3">
      <c r="B262" s="4" t="s">
        <v>5351</v>
      </c>
      <c r="J262" s="9" t="e">
        <f t="shared" si="3"/>
        <v>#DIV/0!</v>
      </c>
    </row>
    <row r="263" spans="2:10" ht="28.05" customHeight="1" x14ac:dyDescent="0.3">
      <c r="B263" s="4" t="s">
        <v>5339</v>
      </c>
      <c r="C263" s="6">
        <v>699</v>
      </c>
      <c r="D263" s="6">
        <v>241</v>
      </c>
      <c r="G263" s="6">
        <v>262633</v>
      </c>
      <c r="H263" s="6">
        <v>2757</v>
      </c>
      <c r="I263" s="6">
        <v>266330</v>
      </c>
      <c r="J263" s="9">
        <f t="shared" si="3"/>
        <v>0.98611872489017383</v>
      </c>
    </row>
    <row r="264" spans="2:10" ht="28.05" customHeight="1" x14ac:dyDescent="0.3">
      <c r="B264" s="4" t="s">
        <v>1221</v>
      </c>
      <c r="C264" s="6">
        <v>61</v>
      </c>
      <c r="D264" s="6">
        <v>4</v>
      </c>
      <c r="G264" s="6">
        <v>31002</v>
      </c>
      <c r="H264" s="6">
        <v>60</v>
      </c>
      <c r="I264" s="6">
        <v>31127</v>
      </c>
      <c r="J264" s="9">
        <f t="shared" si="3"/>
        <v>0.99598419378674463</v>
      </c>
    </row>
    <row r="265" spans="2:10" ht="28.05" customHeight="1" x14ac:dyDescent="0.3">
      <c r="B265" s="4" t="s">
        <v>5340</v>
      </c>
      <c r="C265" s="6">
        <v>1890</v>
      </c>
      <c r="D265" s="6">
        <v>366</v>
      </c>
      <c r="G265" s="6">
        <v>187629</v>
      </c>
      <c r="H265" s="6">
        <v>6600</v>
      </c>
      <c r="I265" s="6">
        <v>196485</v>
      </c>
      <c r="J265" s="9">
        <f t="shared" si="3"/>
        <v>0.95492785708832739</v>
      </c>
    </row>
    <row r="266" spans="2:10" ht="28.05" customHeight="1" x14ac:dyDescent="0.3">
      <c r="B266" s="4" t="s">
        <v>5337</v>
      </c>
      <c r="C266" s="6">
        <v>2650</v>
      </c>
      <c r="D266" s="6">
        <v>611</v>
      </c>
      <c r="G266" s="6">
        <v>481264</v>
      </c>
      <c r="H266" s="6">
        <v>9417</v>
      </c>
      <c r="I266" s="6">
        <v>493942</v>
      </c>
      <c r="J266" s="9">
        <f t="shared" ref="J266:J329" si="4">G266/I266</f>
        <v>0.97433301885646495</v>
      </c>
    </row>
    <row r="267" spans="2:10" ht="28.05" customHeight="1" x14ac:dyDescent="0.3">
      <c r="B267" s="4" t="s">
        <v>5352</v>
      </c>
      <c r="J267" s="9" t="e">
        <f t="shared" si="4"/>
        <v>#DIV/0!</v>
      </c>
    </row>
    <row r="268" spans="2:10" ht="28.05" customHeight="1" x14ac:dyDescent="0.3">
      <c r="B268" s="4" t="s">
        <v>5339</v>
      </c>
      <c r="C268" s="6">
        <v>61643</v>
      </c>
      <c r="D268" s="6">
        <v>653</v>
      </c>
      <c r="E268" s="1">
        <v>441</v>
      </c>
      <c r="F268" s="1">
        <v>52</v>
      </c>
      <c r="G268" s="6">
        <v>559513</v>
      </c>
      <c r="H268" s="6">
        <v>10320</v>
      </c>
      <c r="I268" s="6">
        <v>632622</v>
      </c>
      <c r="J268" s="9">
        <f t="shared" si="4"/>
        <v>0.88443493903152282</v>
      </c>
    </row>
    <row r="269" spans="2:10" ht="28.05" customHeight="1" x14ac:dyDescent="0.3">
      <c r="B269" s="4" t="s">
        <v>1221</v>
      </c>
      <c r="C269" s="6">
        <v>6431</v>
      </c>
      <c r="D269" s="6">
        <v>76</v>
      </c>
      <c r="E269" s="1">
        <v>20</v>
      </c>
      <c r="G269" s="6">
        <v>168263</v>
      </c>
      <c r="H269" s="6">
        <v>663</v>
      </c>
      <c r="I269" s="6">
        <v>175453</v>
      </c>
      <c r="J269" s="9">
        <f t="shared" si="4"/>
        <v>0.95902036442808047</v>
      </c>
    </row>
    <row r="270" spans="2:10" ht="28.05" customHeight="1" x14ac:dyDescent="0.3">
      <c r="B270" s="4" t="s">
        <v>5340</v>
      </c>
      <c r="C270" s="6">
        <v>95701</v>
      </c>
      <c r="D270" s="6">
        <v>432</v>
      </c>
      <c r="G270" s="6">
        <v>531379</v>
      </c>
      <c r="H270" s="6">
        <v>21748</v>
      </c>
      <c r="I270" s="6">
        <v>649260</v>
      </c>
      <c r="J270" s="9">
        <f t="shared" si="4"/>
        <v>0.81843791393278498</v>
      </c>
    </row>
    <row r="271" spans="2:10" ht="28.05" customHeight="1" x14ac:dyDescent="0.3">
      <c r="B271" s="4" t="s">
        <v>5337</v>
      </c>
      <c r="C271" s="6">
        <v>163775</v>
      </c>
      <c r="D271" s="6">
        <v>1161</v>
      </c>
      <c r="E271" s="1">
        <v>461</v>
      </c>
      <c r="F271" s="1">
        <v>52</v>
      </c>
      <c r="G271" s="6">
        <v>1259155</v>
      </c>
      <c r="H271" s="6">
        <v>32731</v>
      </c>
      <c r="I271" s="6">
        <v>1457335</v>
      </c>
      <c r="J271" s="9">
        <f t="shared" si="4"/>
        <v>0.86401204939152632</v>
      </c>
    </row>
    <row r="272" spans="2:10" ht="28.05" customHeight="1" x14ac:dyDescent="0.3">
      <c r="B272" s="4" t="s">
        <v>5353</v>
      </c>
    </row>
    <row r="273" spans="2:10" ht="28.05" customHeight="1" x14ac:dyDescent="0.3">
      <c r="B273" s="4" t="s">
        <v>5339</v>
      </c>
      <c r="C273" s="6">
        <v>15878</v>
      </c>
      <c r="D273" s="6">
        <v>1480</v>
      </c>
      <c r="G273" s="6">
        <v>908093</v>
      </c>
      <c r="H273" s="6">
        <v>17058</v>
      </c>
      <c r="I273" s="6">
        <v>942509</v>
      </c>
      <c r="J273" s="9">
        <f t="shared" si="4"/>
        <v>0.9634846988198521</v>
      </c>
    </row>
    <row r="274" spans="2:10" ht="28.05" customHeight="1" x14ac:dyDescent="0.3">
      <c r="B274" s="4" t="s">
        <v>1221</v>
      </c>
      <c r="C274" s="6">
        <v>3223</v>
      </c>
      <c r="D274" s="6">
        <v>597</v>
      </c>
      <c r="E274" s="1">
        <v>4</v>
      </c>
      <c r="G274" s="6">
        <v>159512</v>
      </c>
      <c r="H274" s="6">
        <v>702</v>
      </c>
      <c r="I274" s="6">
        <v>164038</v>
      </c>
      <c r="J274" s="9">
        <f t="shared" si="4"/>
        <v>0.97240883209987927</v>
      </c>
    </row>
    <row r="275" spans="2:10" ht="28.05" customHeight="1" x14ac:dyDescent="0.3">
      <c r="B275" s="4" t="s">
        <v>5340</v>
      </c>
      <c r="C275" s="6">
        <v>64755</v>
      </c>
      <c r="D275" s="6">
        <v>1761</v>
      </c>
      <c r="G275" s="6">
        <v>549738</v>
      </c>
      <c r="H275" s="6">
        <v>12377</v>
      </c>
      <c r="I275" s="6">
        <v>628631</v>
      </c>
      <c r="J275" s="9">
        <f t="shared" si="4"/>
        <v>0.87450030303946191</v>
      </c>
    </row>
    <row r="276" spans="2:10" ht="28.05" customHeight="1" x14ac:dyDescent="0.3">
      <c r="B276" s="4" t="s">
        <v>5337</v>
      </c>
      <c r="C276" s="6">
        <v>83856</v>
      </c>
      <c r="D276" s="6">
        <v>3838</v>
      </c>
      <c r="E276" s="1">
        <v>4</v>
      </c>
      <c r="G276" s="6">
        <v>1617343</v>
      </c>
      <c r="H276" s="6">
        <v>30137</v>
      </c>
      <c r="I276" s="6">
        <v>1735178</v>
      </c>
      <c r="J276" s="9">
        <f t="shared" si="4"/>
        <v>0.93209054056701968</v>
      </c>
    </row>
    <row r="277" spans="2:10" ht="28.05" customHeight="1" x14ac:dyDescent="0.3">
      <c r="B277" s="4" t="s">
        <v>5354</v>
      </c>
    </row>
    <row r="278" spans="2:10" ht="28.05" customHeight="1" x14ac:dyDescent="0.3">
      <c r="B278" s="4" t="s">
        <v>5339</v>
      </c>
      <c r="C278" s="6">
        <v>46894</v>
      </c>
      <c r="G278" s="6">
        <v>97549</v>
      </c>
      <c r="H278" s="6">
        <v>553</v>
      </c>
      <c r="I278" s="6">
        <v>144996</v>
      </c>
      <c r="J278" s="9">
        <f t="shared" si="4"/>
        <v>0.67277028331816047</v>
      </c>
    </row>
    <row r="279" spans="2:10" ht="28.05" customHeight="1" x14ac:dyDescent="0.3">
      <c r="B279" s="4" t="s">
        <v>1221</v>
      </c>
      <c r="C279" s="6">
        <v>244948</v>
      </c>
      <c r="D279" s="6">
        <v>633</v>
      </c>
      <c r="E279" s="1">
        <v>10</v>
      </c>
      <c r="F279" s="1">
        <v>25</v>
      </c>
      <c r="G279" s="6">
        <v>774632</v>
      </c>
      <c r="H279" s="6">
        <v>5250</v>
      </c>
      <c r="I279" s="6">
        <v>1025498</v>
      </c>
      <c r="J279" s="9">
        <f t="shared" si="4"/>
        <v>0.75537153656077338</v>
      </c>
    </row>
    <row r="280" spans="2:10" ht="28.05" customHeight="1" x14ac:dyDescent="0.3">
      <c r="B280" s="4" t="s">
        <v>5340</v>
      </c>
      <c r="C280" s="6">
        <v>62305</v>
      </c>
      <c r="D280" s="6">
        <v>1585</v>
      </c>
      <c r="G280" s="6">
        <v>512262</v>
      </c>
      <c r="H280" s="6">
        <v>55314</v>
      </c>
      <c r="I280" s="6">
        <v>631466</v>
      </c>
      <c r="J280" s="9">
        <f t="shared" si="4"/>
        <v>0.81122657435237999</v>
      </c>
    </row>
    <row r="281" spans="2:10" ht="28.05" customHeight="1" x14ac:dyDescent="0.3">
      <c r="B281" s="4" t="s">
        <v>5337</v>
      </c>
      <c r="C281" s="6">
        <v>354147</v>
      </c>
      <c r="D281" s="6">
        <v>2218</v>
      </c>
      <c r="E281" s="1">
        <v>10</v>
      </c>
      <c r="F281" s="1">
        <v>25</v>
      </c>
      <c r="G281" s="6">
        <v>1384443</v>
      </c>
      <c r="H281" s="6">
        <v>61117</v>
      </c>
      <c r="I281" s="6">
        <v>1801960</v>
      </c>
      <c r="J281" s="9">
        <f t="shared" si="4"/>
        <v>0.76829840839974251</v>
      </c>
    </row>
    <row r="282" spans="2:10" ht="28.05" customHeight="1" x14ac:dyDescent="0.3">
      <c r="B282" s="4" t="s">
        <v>5355</v>
      </c>
    </row>
    <row r="283" spans="2:10" ht="28.05" customHeight="1" x14ac:dyDescent="0.3">
      <c r="B283" s="4" t="s">
        <v>5339</v>
      </c>
      <c r="C283" s="6">
        <v>674393</v>
      </c>
      <c r="D283" s="6">
        <v>3325</v>
      </c>
      <c r="E283" s="6">
        <v>7502</v>
      </c>
      <c r="F283" s="6">
        <v>5000</v>
      </c>
      <c r="G283" s="6">
        <v>1672534</v>
      </c>
      <c r="H283" s="6">
        <v>25266</v>
      </c>
      <c r="I283" s="6">
        <v>2388020</v>
      </c>
      <c r="J283" s="9">
        <f t="shared" si="4"/>
        <v>0.70038525640488769</v>
      </c>
    </row>
    <row r="284" spans="2:10" ht="28.05" customHeight="1" x14ac:dyDescent="0.3">
      <c r="B284" s="4" t="s">
        <v>1221</v>
      </c>
      <c r="C284" s="6">
        <v>226333</v>
      </c>
      <c r="D284" s="6">
        <v>5554</v>
      </c>
      <c r="E284" s="1">
        <v>426</v>
      </c>
      <c r="G284" s="6">
        <v>2081808</v>
      </c>
      <c r="H284" s="6">
        <v>24351</v>
      </c>
      <c r="I284" s="6">
        <v>2338472</v>
      </c>
      <c r="J284" s="9">
        <f t="shared" si="4"/>
        <v>0.89024285943983938</v>
      </c>
    </row>
    <row r="285" spans="2:10" ht="28.05" customHeight="1" x14ac:dyDescent="0.3">
      <c r="B285" s="4" t="s">
        <v>5340</v>
      </c>
      <c r="C285" s="6">
        <v>414040</v>
      </c>
      <c r="D285" s="6">
        <v>2539</v>
      </c>
      <c r="G285" s="6">
        <v>1416059</v>
      </c>
      <c r="H285" s="6">
        <v>98686</v>
      </c>
      <c r="I285" s="6">
        <v>1931324</v>
      </c>
      <c r="J285" s="9">
        <f t="shared" si="4"/>
        <v>0.7332063392781325</v>
      </c>
    </row>
    <row r="286" spans="2:10" ht="28.05" customHeight="1" x14ac:dyDescent="0.3">
      <c r="B286" s="4" t="s">
        <v>5337</v>
      </c>
      <c r="C286" s="6">
        <v>1314766</v>
      </c>
      <c r="D286" s="6">
        <v>11418</v>
      </c>
      <c r="E286" s="6">
        <v>7928</v>
      </c>
      <c r="F286" s="6">
        <v>5000</v>
      </c>
      <c r="G286" s="6">
        <v>5170401</v>
      </c>
      <c r="H286" s="6">
        <v>148303</v>
      </c>
      <c r="I286" s="6">
        <v>6657816</v>
      </c>
      <c r="J286" s="9">
        <f t="shared" si="4"/>
        <v>0.77659115241394472</v>
      </c>
    </row>
    <row r="287" spans="2:10" ht="28.05" customHeight="1" x14ac:dyDescent="0.3">
      <c r="B287" s="4" t="s">
        <v>5356</v>
      </c>
    </row>
    <row r="288" spans="2:10" ht="28.05" customHeight="1" x14ac:dyDescent="0.3">
      <c r="B288" s="4" t="s">
        <v>1221</v>
      </c>
      <c r="C288" s="6">
        <v>3131</v>
      </c>
      <c r="D288" s="6">
        <v>17</v>
      </c>
      <c r="E288" s="1">
        <v>4</v>
      </c>
      <c r="G288" s="6">
        <v>175023</v>
      </c>
      <c r="H288" s="6">
        <v>3706</v>
      </c>
      <c r="I288" s="6">
        <v>181881</v>
      </c>
      <c r="J288" s="9">
        <f t="shared" si="4"/>
        <v>0.96229402741352865</v>
      </c>
    </row>
    <row r="289" spans="2:10" ht="28.05" customHeight="1" x14ac:dyDescent="0.3">
      <c r="B289" s="4" t="s">
        <v>5340</v>
      </c>
      <c r="C289" s="6">
        <v>3252</v>
      </c>
      <c r="D289" s="6">
        <v>177</v>
      </c>
      <c r="G289" s="6">
        <v>150897</v>
      </c>
      <c r="H289" s="6">
        <v>8151</v>
      </c>
      <c r="I289" s="6">
        <v>162477</v>
      </c>
      <c r="J289" s="9">
        <f t="shared" si="4"/>
        <v>0.92872837386214668</v>
      </c>
    </row>
    <row r="290" spans="2:10" ht="28.05" customHeight="1" x14ac:dyDescent="0.3">
      <c r="B290" s="4" t="s">
        <v>5337</v>
      </c>
      <c r="C290" s="6">
        <v>6383</v>
      </c>
      <c r="D290" s="6">
        <v>194</v>
      </c>
      <c r="E290" s="1">
        <v>4</v>
      </c>
      <c r="G290" s="6">
        <v>325920</v>
      </c>
      <c r="H290" s="6">
        <v>11857</v>
      </c>
      <c r="I290" s="6">
        <v>344358</v>
      </c>
      <c r="J290" s="9">
        <f t="shared" si="4"/>
        <v>0.94645688498597391</v>
      </c>
    </row>
    <row r="291" spans="2:10" ht="28.05" customHeight="1" x14ac:dyDescent="0.3">
      <c r="B291" s="4" t="s">
        <v>5357</v>
      </c>
    </row>
    <row r="292" spans="2:10" ht="28.05" customHeight="1" x14ac:dyDescent="0.3">
      <c r="B292" s="4" t="s">
        <v>5339</v>
      </c>
      <c r="C292" s="6">
        <v>2640</v>
      </c>
      <c r="D292" s="6">
        <v>869</v>
      </c>
      <c r="G292" s="6">
        <v>149192</v>
      </c>
      <c r="H292" s="6">
        <v>2353</v>
      </c>
      <c r="I292" s="6">
        <v>155054</v>
      </c>
      <c r="J292" s="9">
        <f t="shared" si="4"/>
        <v>0.96219381634785306</v>
      </c>
    </row>
    <row r="293" spans="2:10" ht="28.05" customHeight="1" x14ac:dyDescent="0.3">
      <c r="B293" s="4" t="s">
        <v>1221</v>
      </c>
      <c r="C293" s="6">
        <v>392923</v>
      </c>
      <c r="D293" s="6">
        <v>7114</v>
      </c>
      <c r="G293" s="6">
        <v>1473334</v>
      </c>
      <c r="H293" s="6">
        <v>17656</v>
      </c>
      <c r="I293" s="6">
        <v>1891027</v>
      </c>
      <c r="J293" s="9">
        <f t="shared" si="4"/>
        <v>0.77911843670132686</v>
      </c>
    </row>
    <row r="294" spans="2:10" ht="28.05" customHeight="1" x14ac:dyDescent="0.3">
      <c r="B294" s="4" t="s">
        <v>5340</v>
      </c>
      <c r="C294" s="6">
        <v>43999</v>
      </c>
      <c r="D294" s="6">
        <v>293</v>
      </c>
      <c r="E294" s="1">
        <v>4</v>
      </c>
      <c r="G294" s="6">
        <v>334753</v>
      </c>
      <c r="H294" s="6">
        <v>20766</v>
      </c>
      <c r="I294" s="6">
        <v>399815</v>
      </c>
      <c r="J294" s="9">
        <f t="shared" si="4"/>
        <v>0.83726973725347975</v>
      </c>
    </row>
    <row r="295" spans="2:10" ht="28.05" customHeight="1" x14ac:dyDescent="0.3">
      <c r="B295" s="4" t="s">
        <v>5337</v>
      </c>
      <c r="C295" s="6">
        <v>439562</v>
      </c>
      <c r="D295" s="6">
        <v>8276</v>
      </c>
      <c r="E295" s="1">
        <v>4</v>
      </c>
      <c r="G295" s="6">
        <v>1957279</v>
      </c>
      <c r="H295" s="6">
        <v>40775</v>
      </c>
      <c r="I295" s="6">
        <v>2445896</v>
      </c>
      <c r="J295" s="9">
        <f t="shared" si="4"/>
        <v>0.80022985441735872</v>
      </c>
    </row>
    <row r="296" spans="2:10" ht="28.05" customHeight="1" x14ac:dyDescent="0.3">
      <c r="B296" s="4" t="s">
        <v>5358</v>
      </c>
    </row>
    <row r="297" spans="2:10" ht="28.05" customHeight="1" x14ac:dyDescent="0.3">
      <c r="B297" s="4" t="s">
        <v>5339</v>
      </c>
      <c r="C297" s="6">
        <v>2666</v>
      </c>
      <c r="D297" s="6">
        <v>196</v>
      </c>
      <c r="G297" s="6">
        <v>95183</v>
      </c>
      <c r="H297" s="6">
        <v>611</v>
      </c>
      <c r="I297" s="6">
        <v>98656</v>
      </c>
      <c r="J297" s="9">
        <f t="shared" si="4"/>
        <v>0.96479686993188452</v>
      </c>
    </row>
    <row r="298" spans="2:10" ht="28.05" customHeight="1" x14ac:dyDescent="0.3">
      <c r="B298" s="4" t="s">
        <v>1221</v>
      </c>
      <c r="C298" s="6">
        <v>3358</v>
      </c>
      <c r="D298" s="6">
        <v>394</v>
      </c>
      <c r="G298" s="6">
        <v>74327</v>
      </c>
      <c r="H298" s="6">
        <v>1853</v>
      </c>
      <c r="I298" s="6">
        <v>79932</v>
      </c>
      <c r="J298" s="9">
        <f t="shared" si="4"/>
        <v>0.92987789621177996</v>
      </c>
    </row>
    <row r="299" spans="2:10" ht="28.05" customHeight="1" x14ac:dyDescent="0.3">
      <c r="B299" s="4" t="s">
        <v>5340</v>
      </c>
      <c r="C299" s="6">
        <v>1901</v>
      </c>
      <c r="D299" s="6">
        <v>181</v>
      </c>
      <c r="G299" s="6">
        <v>162250</v>
      </c>
      <c r="H299" s="6">
        <v>3647</v>
      </c>
      <c r="I299" s="6">
        <v>167979</v>
      </c>
      <c r="J299" s="9">
        <f t="shared" si="4"/>
        <v>0.96589454634210226</v>
      </c>
    </row>
    <row r="300" spans="2:10" ht="28.05" customHeight="1" x14ac:dyDescent="0.3">
      <c r="B300" s="4" t="s">
        <v>5337</v>
      </c>
      <c r="C300" s="6">
        <v>7925</v>
      </c>
      <c r="D300" s="6">
        <v>771</v>
      </c>
      <c r="G300" s="6">
        <v>331760</v>
      </c>
      <c r="H300" s="6">
        <v>6111</v>
      </c>
      <c r="I300" s="6">
        <v>346567</v>
      </c>
      <c r="J300" s="9">
        <f t="shared" si="4"/>
        <v>0.95727521662477966</v>
      </c>
    </row>
    <row r="301" spans="2:10" ht="28.05" customHeight="1" x14ac:dyDescent="0.3">
      <c r="B301" s="4" t="s">
        <v>5359</v>
      </c>
    </row>
    <row r="302" spans="2:10" ht="28.05" customHeight="1" x14ac:dyDescent="0.3">
      <c r="B302" s="4" t="s">
        <v>5339</v>
      </c>
      <c r="C302" s="6">
        <v>2541</v>
      </c>
      <c r="D302" s="6">
        <v>307</v>
      </c>
      <c r="G302" s="6">
        <v>251428</v>
      </c>
      <c r="H302" s="6">
        <v>23468</v>
      </c>
      <c r="I302" s="6">
        <v>277744</v>
      </c>
      <c r="J302" s="9">
        <f t="shared" si="4"/>
        <v>0.9052508785068264</v>
      </c>
    </row>
    <row r="303" spans="2:10" ht="28.05" customHeight="1" x14ac:dyDescent="0.3">
      <c r="B303" s="4" t="s">
        <v>1221</v>
      </c>
      <c r="C303" s="6">
        <v>5217</v>
      </c>
      <c r="D303" s="6">
        <v>83</v>
      </c>
      <c r="E303" s="6">
        <v>5618</v>
      </c>
      <c r="G303" s="6">
        <v>177300</v>
      </c>
      <c r="H303" s="6">
        <v>3625</v>
      </c>
      <c r="I303" s="6">
        <v>191843</v>
      </c>
      <c r="J303" s="9">
        <f t="shared" si="4"/>
        <v>0.92419322049801145</v>
      </c>
    </row>
    <row r="304" spans="2:10" ht="28.05" customHeight="1" x14ac:dyDescent="0.3">
      <c r="B304" s="4" t="s">
        <v>5340</v>
      </c>
      <c r="C304" s="6">
        <v>2207</v>
      </c>
      <c r="D304" s="6">
        <v>39</v>
      </c>
      <c r="E304" s="1">
        <v>12</v>
      </c>
      <c r="G304" s="6">
        <v>214284</v>
      </c>
      <c r="H304" s="6">
        <v>25177</v>
      </c>
      <c r="I304" s="6">
        <v>241719</v>
      </c>
      <c r="J304" s="9">
        <f t="shared" si="4"/>
        <v>0.88650044059424371</v>
      </c>
    </row>
    <row r="305" spans="1:10" ht="28.05" customHeight="1" x14ac:dyDescent="0.3">
      <c r="B305" s="4" t="s">
        <v>5337</v>
      </c>
      <c r="C305" s="6">
        <v>9965</v>
      </c>
      <c r="D305" s="6">
        <v>429</v>
      </c>
      <c r="E305" s="6">
        <v>5630</v>
      </c>
      <c r="G305" s="6">
        <v>643012</v>
      </c>
      <c r="H305" s="6">
        <v>52270</v>
      </c>
      <c r="I305" s="6">
        <v>711306</v>
      </c>
      <c r="J305" s="9">
        <f t="shared" si="4"/>
        <v>0.90398787582278228</v>
      </c>
    </row>
    <row r="306" spans="1:10" ht="28.05" customHeight="1" x14ac:dyDescent="0.3">
      <c r="B306" s="4" t="s">
        <v>5360</v>
      </c>
    </row>
    <row r="307" spans="1:10" ht="28.05" customHeight="1" x14ac:dyDescent="0.3">
      <c r="B307" s="4" t="s">
        <v>1221</v>
      </c>
      <c r="C307" s="6">
        <v>564</v>
      </c>
      <c r="D307" s="6">
        <v>231</v>
      </c>
      <c r="G307" s="6">
        <v>83473</v>
      </c>
      <c r="H307" s="6">
        <v>1201</v>
      </c>
      <c r="I307" s="6">
        <v>85469</v>
      </c>
      <c r="J307" s="9">
        <f t="shared" si="4"/>
        <v>0.97664650341059334</v>
      </c>
    </row>
    <row r="308" spans="1:10" ht="28.05" customHeight="1" x14ac:dyDescent="0.3">
      <c r="B308" s="4" t="s">
        <v>5340</v>
      </c>
      <c r="C308" s="6">
        <v>1461</v>
      </c>
      <c r="D308" s="6">
        <v>512</v>
      </c>
      <c r="G308" s="6">
        <v>149117</v>
      </c>
      <c r="H308" s="6">
        <v>390</v>
      </c>
      <c r="I308" s="6">
        <v>151480</v>
      </c>
      <c r="J308" s="9">
        <f t="shared" si="4"/>
        <v>0.98440058093477689</v>
      </c>
    </row>
    <row r="309" spans="1:10" ht="28.05" customHeight="1" x14ac:dyDescent="0.3">
      <c r="B309" s="4" t="s">
        <v>5337</v>
      </c>
      <c r="C309" s="6">
        <v>2025</v>
      </c>
      <c r="D309" s="6">
        <v>743</v>
      </c>
      <c r="G309" s="6">
        <v>232590</v>
      </c>
      <c r="H309" s="6">
        <v>1591</v>
      </c>
      <c r="I309" s="6">
        <v>236949</v>
      </c>
      <c r="J309" s="9">
        <f t="shared" si="4"/>
        <v>0.98160363622551683</v>
      </c>
    </row>
    <row r="310" spans="1:10" ht="28.05" customHeight="1" x14ac:dyDescent="0.3">
      <c r="A310" s="9">
        <v>59</v>
      </c>
      <c r="B310" s="4" t="s">
        <v>5338</v>
      </c>
    </row>
    <row r="311" spans="1:10" ht="28.05" customHeight="1" x14ac:dyDescent="0.3">
      <c r="B311" s="4" t="s">
        <v>66</v>
      </c>
      <c r="C311" s="6">
        <v>42987</v>
      </c>
      <c r="D311" s="6">
        <v>2239</v>
      </c>
      <c r="G311" s="6">
        <v>653181</v>
      </c>
      <c r="H311" s="6">
        <v>7563</v>
      </c>
      <c r="I311" s="6">
        <v>705970</v>
      </c>
      <c r="J311" s="9">
        <f t="shared" si="4"/>
        <v>0.92522486791223424</v>
      </c>
    </row>
    <row r="312" spans="1:10" ht="28.05" customHeight="1" x14ac:dyDescent="0.3">
      <c r="B312" s="4" t="s">
        <v>67</v>
      </c>
      <c r="C312" s="6">
        <v>72297</v>
      </c>
      <c r="D312" s="6">
        <v>1001</v>
      </c>
      <c r="E312" s="6">
        <v>8207</v>
      </c>
      <c r="F312" s="1">
        <v>380</v>
      </c>
      <c r="G312" s="6">
        <v>643862</v>
      </c>
      <c r="H312" s="6">
        <v>8627</v>
      </c>
      <c r="I312" s="6">
        <v>734374</v>
      </c>
      <c r="J312" s="9">
        <f t="shared" si="4"/>
        <v>0.87674944919073927</v>
      </c>
    </row>
    <row r="313" spans="1:10" ht="28.05" customHeight="1" x14ac:dyDescent="0.3">
      <c r="B313" s="4" t="s">
        <v>68</v>
      </c>
      <c r="C313" s="6">
        <v>22850</v>
      </c>
      <c r="D313" s="6">
        <v>4393</v>
      </c>
      <c r="G313" s="6">
        <v>1098419</v>
      </c>
      <c r="H313" s="6">
        <v>20116</v>
      </c>
      <c r="I313" s="6">
        <v>1145778</v>
      </c>
      <c r="J313" s="9">
        <f t="shared" si="4"/>
        <v>0.95866651305924877</v>
      </c>
    </row>
    <row r="314" spans="1:10" ht="28.05" customHeight="1" x14ac:dyDescent="0.3">
      <c r="B314" s="4" t="s">
        <v>1222</v>
      </c>
      <c r="C314" s="6">
        <v>90160</v>
      </c>
      <c r="D314" s="6">
        <v>3810</v>
      </c>
      <c r="E314" s="6">
        <v>18176</v>
      </c>
      <c r="F314" s="1">
        <v>40</v>
      </c>
      <c r="G314" s="6">
        <v>1437155</v>
      </c>
      <c r="H314" s="6">
        <v>10643</v>
      </c>
      <c r="I314" s="6">
        <v>1559984</v>
      </c>
      <c r="J314" s="9">
        <f t="shared" si="4"/>
        <v>0.92126265397593821</v>
      </c>
    </row>
    <row r="315" spans="1:10" ht="28.05" customHeight="1" x14ac:dyDescent="0.3">
      <c r="B315" s="4" t="s">
        <v>70</v>
      </c>
      <c r="C315" s="6">
        <v>1280053</v>
      </c>
      <c r="D315" s="6">
        <v>198339</v>
      </c>
      <c r="F315" s="6">
        <v>3950</v>
      </c>
      <c r="G315" s="6">
        <v>14344661</v>
      </c>
      <c r="H315" s="6">
        <v>179664</v>
      </c>
      <c r="I315" s="6">
        <v>16006667</v>
      </c>
      <c r="J315" s="9">
        <f t="shared" si="4"/>
        <v>0.89616789054210977</v>
      </c>
    </row>
    <row r="316" spans="1:10" ht="28.05" customHeight="1" x14ac:dyDescent="0.3">
      <c r="B316" s="4" t="s">
        <v>71</v>
      </c>
      <c r="C316" s="6">
        <v>82259</v>
      </c>
      <c r="D316" s="6">
        <v>8585</v>
      </c>
      <c r="F316" s="1">
        <v>100</v>
      </c>
      <c r="G316" s="6">
        <v>1014678</v>
      </c>
      <c r="H316" s="6">
        <v>16734</v>
      </c>
      <c r="I316" s="6">
        <v>1122356</v>
      </c>
      <c r="J316" s="9">
        <f t="shared" si="4"/>
        <v>0.90406074364996492</v>
      </c>
    </row>
    <row r="317" spans="1:10" ht="28.05" customHeight="1" x14ac:dyDescent="0.3">
      <c r="B317" s="4" t="s">
        <v>72</v>
      </c>
      <c r="C317" s="6">
        <v>49854</v>
      </c>
      <c r="D317" s="6">
        <v>5142</v>
      </c>
      <c r="G317" s="6">
        <v>3446314</v>
      </c>
      <c r="H317" s="6">
        <v>17099</v>
      </c>
      <c r="I317" s="6">
        <v>3518409</v>
      </c>
      <c r="J317" s="9">
        <f t="shared" si="4"/>
        <v>0.9795092043022855</v>
      </c>
    </row>
    <row r="318" spans="1:10" ht="28.05" customHeight="1" x14ac:dyDescent="0.3">
      <c r="B318" s="4" t="s">
        <v>73</v>
      </c>
      <c r="C318" s="6">
        <v>176770</v>
      </c>
      <c r="D318" s="6">
        <v>9630</v>
      </c>
      <c r="F318" s="6">
        <v>8600</v>
      </c>
      <c r="G318" s="6">
        <v>1611964</v>
      </c>
      <c r="H318" s="6">
        <v>17341</v>
      </c>
      <c r="I318" s="6">
        <v>1824305</v>
      </c>
      <c r="J318" s="9">
        <f t="shared" si="4"/>
        <v>0.88360444114333947</v>
      </c>
    </row>
    <row r="319" spans="1:10" ht="28.05" customHeight="1" x14ac:dyDescent="0.3">
      <c r="B319" s="4" t="s">
        <v>74</v>
      </c>
      <c r="C319" s="6">
        <v>62542</v>
      </c>
      <c r="D319" s="6">
        <v>5488</v>
      </c>
      <c r="E319" s="6">
        <v>51146</v>
      </c>
      <c r="F319" s="6">
        <v>1220</v>
      </c>
      <c r="G319" s="6">
        <v>740219</v>
      </c>
      <c r="H319" s="6">
        <v>10855</v>
      </c>
      <c r="I319" s="6">
        <v>871470</v>
      </c>
      <c r="J319" s="9">
        <f t="shared" si="4"/>
        <v>0.84939125844836882</v>
      </c>
    </row>
    <row r="320" spans="1:10" ht="28.05" customHeight="1" x14ac:dyDescent="0.3">
      <c r="B320" s="4" t="s">
        <v>75</v>
      </c>
      <c r="C320" s="6">
        <v>18027</v>
      </c>
      <c r="D320" s="6">
        <v>5120</v>
      </c>
      <c r="G320" s="6">
        <v>3863216</v>
      </c>
      <c r="H320" s="6">
        <v>19655</v>
      </c>
      <c r="I320" s="6">
        <v>3906018</v>
      </c>
      <c r="J320" s="9">
        <f t="shared" si="4"/>
        <v>0.98904203718467243</v>
      </c>
    </row>
    <row r="321" spans="2:10" ht="28.05" customHeight="1" x14ac:dyDescent="0.3">
      <c r="B321" s="4" t="s">
        <v>76</v>
      </c>
      <c r="C321" s="6">
        <v>256164</v>
      </c>
      <c r="D321" s="6">
        <v>43672</v>
      </c>
      <c r="G321" s="6">
        <v>2944859</v>
      </c>
      <c r="H321" s="6">
        <v>39139</v>
      </c>
      <c r="I321" s="6">
        <v>3283834</v>
      </c>
      <c r="J321" s="9">
        <f t="shared" si="4"/>
        <v>0.89677462380863349</v>
      </c>
    </row>
    <row r="322" spans="2:10" ht="28.05" customHeight="1" x14ac:dyDescent="0.3">
      <c r="B322" s="4" t="s">
        <v>77</v>
      </c>
      <c r="C322" s="6">
        <v>47575</v>
      </c>
      <c r="D322" s="6">
        <v>10934</v>
      </c>
      <c r="G322" s="6">
        <v>3615667</v>
      </c>
      <c r="H322" s="6">
        <v>37959</v>
      </c>
      <c r="I322" s="6">
        <v>3712135</v>
      </c>
      <c r="J322" s="9">
        <f t="shared" si="4"/>
        <v>0.97401279856470735</v>
      </c>
    </row>
    <row r="323" spans="2:10" ht="28.05" customHeight="1" x14ac:dyDescent="0.3">
      <c r="B323" s="4" t="s">
        <v>78</v>
      </c>
      <c r="C323" s="6">
        <v>327328</v>
      </c>
      <c r="D323" s="6">
        <v>44591</v>
      </c>
      <c r="E323" s="6">
        <v>35613</v>
      </c>
      <c r="F323" s="6">
        <v>6200</v>
      </c>
      <c r="G323" s="6">
        <v>6184574</v>
      </c>
      <c r="H323" s="6">
        <v>96062</v>
      </c>
      <c r="I323" s="6">
        <v>6694368</v>
      </c>
      <c r="J323" s="9">
        <f t="shared" si="4"/>
        <v>0.92384732957614524</v>
      </c>
    </row>
    <row r="324" spans="2:10" ht="28.05" customHeight="1" x14ac:dyDescent="0.3">
      <c r="B324" s="4" t="s">
        <v>79</v>
      </c>
      <c r="C324" s="6">
        <v>69514</v>
      </c>
      <c r="D324" s="6">
        <v>4273</v>
      </c>
      <c r="G324" s="6">
        <v>746923</v>
      </c>
      <c r="H324" s="6">
        <v>9567</v>
      </c>
      <c r="I324" s="6">
        <v>830277</v>
      </c>
      <c r="J324" s="9">
        <f t="shared" si="4"/>
        <v>0.89960699862816862</v>
      </c>
    </row>
    <row r="325" spans="2:10" ht="28.05" customHeight="1" x14ac:dyDescent="0.3">
      <c r="B325" s="4" t="s">
        <v>80</v>
      </c>
      <c r="C325" s="6">
        <v>84899</v>
      </c>
      <c r="D325" s="6">
        <v>5683</v>
      </c>
      <c r="G325" s="6">
        <v>537159</v>
      </c>
      <c r="H325" s="6">
        <v>4512</v>
      </c>
      <c r="I325" s="6">
        <v>632253</v>
      </c>
      <c r="J325" s="9">
        <f t="shared" si="4"/>
        <v>0.8495950197152089</v>
      </c>
    </row>
    <row r="326" spans="2:10" ht="28.05" customHeight="1" x14ac:dyDescent="0.3">
      <c r="B326" s="4" t="s">
        <v>81</v>
      </c>
      <c r="C326" s="6">
        <v>59916</v>
      </c>
      <c r="D326" s="6">
        <v>3497</v>
      </c>
      <c r="G326" s="6">
        <v>589217</v>
      </c>
      <c r="H326" s="6">
        <v>11266</v>
      </c>
      <c r="I326" s="6">
        <v>663896</v>
      </c>
      <c r="J326" s="9">
        <f t="shared" si="4"/>
        <v>0.88751400821815463</v>
      </c>
    </row>
    <row r="327" spans="2:10" ht="28.05" customHeight="1" x14ac:dyDescent="0.3">
      <c r="B327" s="4" t="s">
        <v>82</v>
      </c>
      <c r="C327" s="6">
        <v>6425</v>
      </c>
      <c r="D327" s="6">
        <v>654</v>
      </c>
      <c r="G327" s="6">
        <v>472889</v>
      </c>
      <c r="H327" s="6">
        <v>29503</v>
      </c>
      <c r="I327" s="6">
        <v>509471</v>
      </c>
      <c r="J327" s="9">
        <f t="shared" si="4"/>
        <v>0.92819610929768326</v>
      </c>
    </row>
    <row r="328" spans="2:10" ht="28.05" customHeight="1" x14ac:dyDescent="0.3">
      <c r="B328" s="4" t="s">
        <v>83</v>
      </c>
      <c r="C328" s="6">
        <v>18659</v>
      </c>
      <c r="D328" s="6">
        <v>4145</v>
      </c>
      <c r="G328" s="6">
        <v>716630</v>
      </c>
      <c r="H328" s="6">
        <v>22866</v>
      </c>
      <c r="I328" s="6">
        <v>762300</v>
      </c>
      <c r="J328" s="9">
        <f t="shared" si="4"/>
        <v>0.94008920372556737</v>
      </c>
    </row>
    <row r="329" spans="2:10" ht="28.05" customHeight="1" x14ac:dyDescent="0.3">
      <c r="B329" s="4" t="s">
        <v>84</v>
      </c>
      <c r="C329" s="6">
        <v>19111</v>
      </c>
      <c r="D329" s="6">
        <v>5635</v>
      </c>
      <c r="G329" s="6">
        <v>842912</v>
      </c>
      <c r="H329" s="6">
        <v>14331</v>
      </c>
      <c r="I329" s="6">
        <v>881989</v>
      </c>
      <c r="J329" s="9">
        <f t="shared" si="4"/>
        <v>0.95569445877442916</v>
      </c>
    </row>
    <row r="330" spans="2:10" ht="28.05" customHeight="1" x14ac:dyDescent="0.3">
      <c r="B330" s="4" t="s">
        <v>85</v>
      </c>
      <c r="C330" s="6">
        <v>359747</v>
      </c>
      <c r="D330" s="6">
        <v>62578</v>
      </c>
      <c r="E330" s="1">
        <v>375</v>
      </c>
      <c r="G330" s="6">
        <v>3476897</v>
      </c>
      <c r="H330" s="6">
        <v>56916</v>
      </c>
      <c r="I330" s="6">
        <v>3956513</v>
      </c>
      <c r="J330" s="9">
        <f t="shared" ref="J330:J393" si="5">G330/I330</f>
        <v>0.87877810587251959</v>
      </c>
    </row>
    <row r="331" spans="2:10" ht="28.05" customHeight="1" x14ac:dyDescent="0.3">
      <c r="B331" s="4" t="s">
        <v>86</v>
      </c>
      <c r="C331" s="6">
        <v>127081</v>
      </c>
      <c r="D331" s="6">
        <v>27895</v>
      </c>
      <c r="G331" s="6">
        <v>4376575</v>
      </c>
      <c r="H331" s="6">
        <v>44267</v>
      </c>
      <c r="I331" s="6">
        <v>4575818</v>
      </c>
      <c r="J331" s="9">
        <f t="shared" si="5"/>
        <v>0.95645740280754177</v>
      </c>
    </row>
    <row r="332" spans="2:10" ht="28.05" customHeight="1" x14ac:dyDescent="0.3">
      <c r="B332" s="4" t="s">
        <v>87</v>
      </c>
      <c r="C332" s="6">
        <v>116064</v>
      </c>
      <c r="D332" s="6">
        <v>9265</v>
      </c>
      <c r="G332" s="6">
        <v>1057638</v>
      </c>
      <c r="H332" s="6">
        <v>8853</v>
      </c>
      <c r="I332" s="6">
        <v>1191820</v>
      </c>
      <c r="J332" s="9">
        <f t="shared" si="5"/>
        <v>0.88741420684331529</v>
      </c>
    </row>
    <row r="333" spans="2:10" ht="28.05" customHeight="1" x14ac:dyDescent="0.3">
      <c r="B333" s="4" t="s">
        <v>88</v>
      </c>
      <c r="C333" s="6">
        <v>159655</v>
      </c>
      <c r="D333" s="6">
        <v>11837</v>
      </c>
      <c r="G333" s="6">
        <v>1759500</v>
      </c>
      <c r="H333" s="6">
        <v>37032</v>
      </c>
      <c r="I333" s="6">
        <v>1968024</v>
      </c>
      <c r="J333" s="9">
        <f t="shared" si="5"/>
        <v>0.89404397507347466</v>
      </c>
    </row>
    <row r="334" spans="2:10" ht="28.05" customHeight="1" x14ac:dyDescent="0.3">
      <c r="B334" s="4" t="s">
        <v>89</v>
      </c>
      <c r="C334" s="6">
        <v>39935</v>
      </c>
      <c r="D334" s="6">
        <v>2435</v>
      </c>
      <c r="F334" s="6">
        <v>1144</v>
      </c>
      <c r="G334" s="6">
        <v>451372</v>
      </c>
      <c r="H334" s="6">
        <v>9667</v>
      </c>
      <c r="I334" s="6">
        <v>504553</v>
      </c>
      <c r="J334" s="9">
        <f t="shared" si="5"/>
        <v>0.89459779250148153</v>
      </c>
    </row>
    <row r="335" spans="2:10" ht="28.05" customHeight="1" x14ac:dyDescent="0.3">
      <c r="B335" s="4" t="s">
        <v>90</v>
      </c>
      <c r="C335" s="6">
        <v>45623</v>
      </c>
      <c r="D335" s="6">
        <v>3451</v>
      </c>
      <c r="G335" s="6">
        <v>1062052</v>
      </c>
      <c r="H335" s="6">
        <v>17392</v>
      </c>
      <c r="I335" s="6">
        <v>1128518</v>
      </c>
      <c r="J335" s="9">
        <f t="shared" si="5"/>
        <v>0.94110328767463169</v>
      </c>
    </row>
    <row r="336" spans="2:10" ht="28.05" customHeight="1" x14ac:dyDescent="0.3">
      <c r="B336" s="4" t="s">
        <v>91</v>
      </c>
      <c r="C336" s="6">
        <v>57511</v>
      </c>
      <c r="D336" s="6">
        <v>5540</v>
      </c>
      <c r="G336" s="6">
        <v>675961</v>
      </c>
      <c r="H336" s="6">
        <v>3543</v>
      </c>
      <c r="I336" s="6">
        <v>742555</v>
      </c>
      <c r="J336" s="9">
        <f t="shared" si="5"/>
        <v>0.9103177542404266</v>
      </c>
    </row>
    <row r="337" spans="2:10" ht="28.05" customHeight="1" x14ac:dyDescent="0.3">
      <c r="B337" s="4" t="s">
        <v>92</v>
      </c>
      <c r="C337" s="6">
        <v>11277</v>
      </c>
      <c r="D337" s="6">
        <v>2921</v>
      </c>
      <c r="G337" s="6">
        <v>1382530</v>
      </c>
      <c r="H337" s="6">
        <v>18789</v>
      </c>
      <c r="I337" s="6">
        <v>1415517</v>
      </c>
      <c r="J337" s="9">
        <f t="shared" si="5"/>
        <v>0.97669614706146235</v>
      </c>
    </row>
    <row r="338" spans="2:10" ht="28.05" customHeight="1" x14ac:dyDescent="0.3">
      <c r="B338" s="4" t="s">
        <v>93</v>
      </c>
      <c r="C338" s="6">
        <v>31092</v>
      </c>
      <c r="D338" s="6">
        <v>7281</v>
      </c>
      <c r="E338" s="6">
        <v>21493</v>
      </c>
      <c r="G338" s="6">
        <v>1455243</v>
      </c>
      <c r="H338" s="6">
        <v>4703</v>
      </c>
      <c r="I338" s="6">
        <v>1519812</v>
      </c>
      <c r="J338" s="9">
        <f t="shared" si="5"/>
        <v>0.95751514003047744</v>
      </c>
    </row>
    <row r="339" spans="2:10" ht="28.05" customHeight="1" x14ac:dyDescent="0.3">
      <c r="B339" s="4" t="s">
        <v>94</v>
      </c>
      <c r="C339" s="6">
        <v>30496</v>
      </c>
      <c r="D339" s="6">
        <v>7791</v>
      </c>
      <c r="E339" s="1">
        <v>51</v>
      </c>
      <c r="G339" s="6">
        <v>1590098</v>
      </c>
      <c r="H339" s="6">
        <v>36260</v>
      </c>
      <c r="I339" s="6">
        <v>1664696</v>
      </c>
      <c r="J339" s="9">
        <f t="shared" si="5"/>
        <v>0.9551882145448779</v>
      </c>
    </row>
    <row r="340" spans="2:10" ht="28.05" customHeight="1" x14ac:dyDescent="0.3">
      <c r="B340" s="4" t="s">
        <v>95</v>
      </c>
      <c r="C340" s="6">
        <v>118864</v>
      </c>
      <c r="D340" s="6">
        <v>10131</v>
      </c>
      <c r="E340" s="6">
        <v>13691</v>
      </c>
      <c r="G340" s="6">
        <v>897840</v>
      </c>
      <c r="H340" s="6">
        <v>8743</v>
      </c>
      <c r="I340" s="6">
        <v>1049269</v>
      </c>
      <c r="J340" s="9">
        <f t="shared" si="5"/>
        <v>0.85568143154901177</v>
      </c>
    </row>
    <row r="341" spans="2:10" ht="28.05" customHeight="1" x14ac:dyDescent="0.3">
      <c r="B341" s="4" t="s">
        <v>96</v>
      </c>
      <c r="C341" s="6">
        <v>49775</v>
      </c>
      <c r="D341" s="6">
        <v>6378</v>
      </c>
      <c r="E341" s="6">
        <v>1267</v>
      </c>
      <c r="G341" s="6">
        <v>866970</v>
      </c>
      <c r="H341" s="6">
        <v>22766</v>
      </c>
      <c r="I341" s="6">
        <v>947156</v>
      </c>
      <c r="J341" s="9">
        <f t="shared" si="5"/>
        <v>0.91534023962261757</v>
      </c>
    </row>
    <row r="342" spans="2:10" ht="28.05" customHeight="1" x14ac:dyDescent="0.3">
      <c r="B342" s="4" t="s">
        <v>97</v>
      </c>
      <c r="C342" s="6">
        <v>26354</v>
      </c>
      <c r="D342" s="6">
        <v>3025</v>
      </c>
      <c r="E342" s="6">
        <v>1887</v>
      </c>
      <c r="F342" s="1">
        <v>410</v>
      </c>
      <c r="G342" s="6">
        <v>812559</v>
      </c>
      <c r="H342" s="6">
        <v>6196</v>
      </c>
      <c r="I342" s="6">
        <v>850431</v>
      </c>
      <c r="J342" s="9">
        <f t="shared" si="5"/>
        <v>0.95546728658762436</v>
      </c>
    </row>
    <row r="343" spans="2:10" ht="28.05" customHeight="1" x14ac:dyDescent="0.3">
      <c r="B343" s="4" t="s">
        <v>98</v>
      </c>
      <c r="C343" s="6">
        <v>44248</v>
      </c>
      <c r="D343" s="6">
        <v>5024</v>
      </c>
      <c r="E343" s="6">
        <v>1696</v>
      </c>
      <c r="F343" s="6">
        <v>4717</v>
      </c>
      <c r="G343" s="6">
        <v>1037131</v>
      </c>
      <c r="H343" s="6">
        <v>10439</v>
      </c>
      <c r="I343" s="6">
        <v>1103255</v>
      </c>
      <c r="J343" s="9">
        <f t="shared" si="5"/>
        <v>0.9400646269448133</v>
      </c>
    </row>
    <row r="344" spans="2:10" ht="28.05" customHeight="1" x14ac:dyDescent="0.3">
      <c r="B344" s="4" t="s">
        <v>99</v>
      </c>
      <c r="C344" s="6">
        <v>72886</v>
      </c>
      <c r="D344" s="6">
        <v>6244</v>
      </c>
      <c r="F344" s="6">
        <v>1112</v>
      </c>
      <c r="G344" s="6">
        <v>919119</v>
      </c>
      <c r="H344" s="6">
        <v>14381</v>
      </c>
      <c r="I344" s="6">
        <v>1013742</v>
      </c>
      <c r="J344" s="9">
        <f t="shared" si="5"/>
        <v>0.90665968264114538</v>
      </c>
    </row>
    <row r="345" spans="2:10" ht="28.05" customHeight="1" x14ac:dyDescent="0.3">
      <c r="B345" s="4" t="s">
        <v>100</v>
      </c>
      <c r="C345" s="6">
        <v>7252</v>
      </c>
      <c r="D345" s="6">
        <v>1241</v>
      </c>
      <c r="G345" s="6">
        <v>1097077</v>
      </c>
      <c r="H345" s="6">
        <v>11178</v>
      </c>
      <c r="I345" s="6">
        <v>1116748</v>
      </c>
      <c r="J345" s="9">
        <f t="shared" si="5"/>
        <v>0.98238546207380717</v>
      </c>
    </row>
    <row r="346" spans="2:10" ht="28.05" customHeight="1" x14ac:dyDescent="0.3">
      <c r="B346" s="4" t="s">
        <v>101</v>
      </c>
      <c r="C346" s="6">
        <v>133245</v>
      </c>
      <c r="D346" s="6">
        <v>5964</v>
      </c>
      <c r="F346" s="6">
        <v>3100</v>
      </c>
      <c r="G346" s="6">
        <v>1325149</v>
      </c>
      <c r="H346" s="6">
        <v>14001</v>
      </c>
      <c r="I346" s="6">
        <v>1481459</v>
      </c>
      <c r="J346" s="9">
        <f t="shared" si="5"/>
        <v>0.89448914887283415</v>
      </c>
    </row>
    <row r="347" spans="2:10" ht="28.05" customHeight="1" x14ac:dyDescent="0.3">
      <c r="B347" s="4" t="s">
        <v>102</v>
      </c>
      <c r="C347" s="6">
        <v>67010</v>
      </c>
      <c r="D347" s="6">
        <v>10665</v>
      </c>
      <c r="E347" s="6">
        <v>5900</v>
      </c>
      <c r="F347" s="6">
        <v>1000</v>
      </c>
      <c r="G347" s="6">
        <v>1592000</v>
      </c>
      <c r="H347" s="6">
        <v>13627</v>
      </c>
      <c r="I347" s="6">
        <v>1690202</v>
      </c>
      <c r="J347" s="9">
        <f t="shared" si="5"/>
        <v>0.94189925227872173</v>
      </c>
    </row>
    <row r="348" spans="2:10" ht="28.05" customHeight="1" x14ac:dyDescent="0.3">
      <c r="B348" s="4" t="s">
        <v>103</v>
      </c>
      <c r="C348" s="6">
        <v>259306</v>
      </c>
      <c r="D348" s="6">
        <v>46657</v>
      </c>
      <c r="E348" s="6">
        <v>23809</v>
      </c>
      <c r="F348" s="6">
        <v>14798</v>
      </c>
      <c r="G348" s="6">
        <v>2957056</v>
      </c>
      <c r="H348" s="6">
        <v>27840</v>
      </c>
      <c r="I348" s="6">
        <v>3329466</v>
      </c>
      <c r="J348" s="9">
        <f t="shared" si="5"/>
        <v>0.88814722841440641</v>
      </c>
    </row>
    <row r="349" spans="2:10" ht="28.05" customHeight="1" x14ac:dyDescent="0.3">
      <c r="B349" s="4" t="s">
        <v>104</v>
      </c>
      <c r="C349" s="6">
        <v>301839</v>
      </c>
      <c r="D349" s="6">
        <v>39291</v>
      </c>
      <c r="E349" s="1">
        <v>592</v>
      </c>
      <c r="F349" s="6">
        <v>655</v>
      </c>
      <c r="G349" s="6">
        <v>5960547</v>
      </c>
      <c r="H349" s="6">
        <v>108855</v>
      </c>
      <c r="I349" s="6">
        <v>6411779</v>
      </c>
      <c r="J349" s="9">
        <f t="shared" si="5"/>
        <v>0.9296245238645936</v>
      </c>
    </row>
    <row r="350" spans="2:10" ht="28.05" customHeight="1" x14ac:dyDescent="0.3">
      <c r="B350" s="4" t="s">
        <v>105</v>
      </c>
      <c r="C350" s="6">
        <v>239356</v>
      </c>
      <c r="D350" s="6">
        <v>32272</v>
      </c>
      <c r="G350" s="6">
        <v>4128944</v>
      </c>
      <c r="H350" s="6">
        <v>43060</v>
      </c>
      <c r="I350" s="6">
        <v>4443632</v>
      </c>
      <c r="J350" s="9">
        <f t="shared" si="5"/>
        <v>0.92918225451612557</v>
      </c>
    </row>
    <row r="351" spans="2:10" ht="28.05" customHeight="1" x14ac:dyDescent="0.3">
      <c r="B351" s="4" t="s">
        <v>106</v>
      </c>
      <c r="C351" s="6">
        <v>47900</v>
      </c>
      <c r="D351" s="6">
        <v>4056</v>
      </c>
      <c r="G351" s="6">
        <v>750567</v>
      </c>
      <c r="H351" s="6">
        <v>19945</v>
      </c>
      <c r="I351" s="6">
        <v>822468</v>
      </c>
      <c r="J351" s="9">
        <f t="shared" si="5"/>
        <v>0.91257896963772456</v>
      </c>
    </row>
    <row r="352" spans="2:10" ht="28.05" customHeight="1" x14ac:dyDescent="0.3">
      <c r="B352" s="4" t="s">
        <v>107</v>
      </c>
      <c r="C352" s="6">
        <v>388162</v>
      </c>
      <c r="D352" s="6">
        <v>40660</v>
      </c>
      <c r="E352" s="6">
        <v>81025</v>
      </c>
      <c r="F352" s="6">
        <v>2197</v>
      </c>
      <c r="G352" s="6">
        <v>9066682</v>
      </c>
      <c r="H352" s="6">
        <v>223452</v>
      </c>
      <c r="I352" s="6">
        <v>9802178</v>
      </c>
      <c r="J352" s="9">
        <f t="shared" si="5"/>
        <v>0.92496606366462641</v>
      </c>
    </row>
    <row r="353" spans="2:10" ht="28.05" customHeight="1" x14ac:dyDescent="0.3">
      <c r="B353" s="4" t="s">
        <v>108</v>
      </c>
      <c r="C353" s="6">
        <v>503295</v>
      </c>
      <c r="D353" s="6">
        <v>119183</v>
      </c>
      <c r="E353" s="1">
        <v>704</v>
      </c>
      <c r="F353" s="6">
        <v>21090</v>
      </c>
      <c r="G353" s="6">
        <v>10541413</v>
      </c>
      <c r="H353" s="6">
        <v>170872</v>
      </c>
      <c r="I353" s="6">
        <v>11356557</v>
      </c>
      <c r="J353" s="9">
        <f t="shared" si="5"/>
        <v>0.92822261183561183</v>
      </c>
    </row>
    <row r="354" spans="2:10" ht="28.05" customHeight="1" x14ac:dyDescent="0.3">
      <c r="B354" s="4" t="s">
        <v>109</v>
      </c>
      <c r="C354" s="6">
        <v>119205</v>
      </c>
      <c r="D354" s="6">
        <v>4196</v>
      </c>
      <c r="E354" s="6">
        <v>13772</v>
      </c>
      <c r="F354" s="6">
        <v>118</v>
      </c>
      <c r="G354" s="6">
        <v>1379962</v>
      </c>
      <c r="H354" s="6">
        <v>17920</v>
      </c>
      <c r="I354" s="6">
        <v>1535173</v>
      </c>
      <c r="J354" s="9">
        <f t="shared" si="5"/>
        <v>0.89889673671957493</v>
      </c>
    </row>
    <row r="355" spans="2:10" ht="28.05" customHeight="1" x14ac:dyDescent="0.3">
      <c r="B355" s="4" t="s">
        <v>110</v>
      </c>
      <c r="C355" s="6">
        <v>223403</v>
      </c>
      <c r="D355" s="6">
        <v>47057</v>
      </c>
      <c r="E355" s="6">
        <v>8952</v>
      </c>
      <c r="G355" s="6">
        <v>4485758</v>
      </c>
      <c r="H355" s="6">
        <v>96140</v>
      </c>
      <c r="I355" s="6">
        <v>4861310</v>
      </c>
      <c r="J355" s="9">
        <f t="shared" si="5"/>
        <v>0.92274674933299872</v>
      </c>
    </row>
    <row r="356" spans="2:10" ht="28.05" customHeight="1" x14ac:dyDescent="0.3">
      <c r="B356" s="4" t="s">
        <v>111</v>
      </c>
      <c r="C356" s="6">
        <v>66088</v>
      </c>
      <c r="D356" s="6">
        <v>12522</v>
      </c>
      <c r="G356" s="6">
        <v>1369223</v>
      </c>
      <c r="H356" s="6">
        <v>18681</v>
      </c>
      <c r="I356" s="6">
        <v>1466514</v>
      </c>
      <c r="J356" s="9">
        <f t="shared" si="5"/>
        <v>0.93365832170712315</v>
      </c>
    </row>
    <row r="357" spans="2:10" ht="28.05" customHeight="1" x14ac:dyDescent="0.3">
      <c r="B357" s="4" t="s">
        <v>112</v>
      </c>
      <c r="C357" s="6">
        <v>70567</v>
      </c>
      <c r="D357" s="6">
        <v>8533</v>
      </c>
      <c r="G357" s="6">
        <v>1597442</v>
      </c>
      <c r="H357" s="6">
        <v>25964</v>
      </c>
      <c r="I357" s="6">
        <v>1702506</v>
      </c>
      <c r="J357" s="9">
        <f t="shared" si="5"/>
        <v>0.93828861689767906</v>
      </c>
    </row>
    <row r="358" spans="2:10" ht="28.05" customHeight="1" x14ac:dyDescent="0.3">
      <c r="B358" s="4" t="s">
        <v>113</v>
      </c>
      <c r="C358" s="6">
        <v>221643</v>
      </c>
      <c r="D358" s="6">
        <v>37806</v>
      </c>
      <c r="E358" s="1">
        <v>300</v>
      </c>
      <c r="F358" s="6">
        <v>4470</v>
      </c>
      <c r="G358" s="6">
        <v>3999470</v>
      </c>
      <c r="H358" s="6">
        <v>66821</v>
      </c>
      <c r="I358" s="6">
        <v>4330510</v>
      </c>
      <c r="J358" s="9">
        <f t="shared" si="5"/>
        <v>0.92355634786664853</v>
      </c>
    </row>
    <row r="359" spans="2:10" ht="28.05" customHeight="1" x14ac:dyDescent="0.3">
      <c r="B359" s="4" t="s">
        <v>114</v>
      </c>
      <c r="C359" s="6">
        <v>139364</v>
      </c>
      <c r="D359" s="6">
        <v>5475</v>
      </c>
      <c r="G359" s="6">
        <v>1083646</v>
      </c>
      <c r="H359" s="6">
        <v>10510</v>
      </c>
      <c r="I359" s="6">
        <v>1238995</v>
      </c>
      <c r="J359" s="9">
        <f t="shared" si="5"/>
        <v>0.8746169274290857</v>
      </c>
    </row>
    <row r="360" spans="2:10" ht="28.05" customHeight="1" x14ac:dyDescent="0.3">
      <c r="B360" s="4" t="s">
        <v>115</v>
      </c>
      <c r="C360" s="6">
        <v>70118</v>
      </c>
      <c r="D360" s="6">
        <v>37650</v>
      </c>
      <c r="G360" s="6">
        <v>1991727</v>
      </c>
      <c r="H360" s="6">
        <v>26891</v>
      </c>
      <c r="I360" s="6">
        <v>2126386</v>
      </c>
      <c r="J360" s="9">
        <f t="shared" si="5"/>
        <v>0.93667236334324999</v>
      </c>
    </row>
    <row r="361" spans="2:10" ht="28.05" customHeight="1" x14ac:dyDescent="0.3">
      <c r="B361" s="4" t="s">
        <v>116</v>
      </c>
      <c r="C361" s="6">
        <v>49147</v>
      </c>
      <c r="D361" s="6">
        <v>15503</v>
      </c>
      <c r="E361" s="6">
        <v>5343</v>
      </c>
      <c r="F361" s="1">
        <v>326</v>
      </c>
      <c r="G361" s="6">
        <v>2914261</v>
      </c>
      <c r="H361" s="6">
        <v>159481</v>
      </c>
      <c r="I361" s="6">
        <v>3144061</v>
      </c>
      <c r="J361" s="9">
        <f t="shared" si="5"/>
        <v>0.92690981504493708</v>
      </c>
    </row>
    <row r="362" spans="2:10" ht="28.05" customHeight="1" x14ac:dyDescent="0.3">
      <c r="B362" s="4" t="s">
        <v>117</v>
      </c>
      <c r="C362" s="6">
        <v>55253</v>
      </c>
      <c r="D362" s="6">
        <v>14101</v>
      </c>
      <c r="E362" s="6">
        <v>1249</v>
      </c>
      <c r="G362" s="6">
        <v>3653340</v>
      </c>
      <c r="H362" s="6">
        <v>149005</v>
      </c>
      <c r="I362" s="6">
        <v>3872948</v>
      </c>
      <c r="J362" s="9">
        <f t="shared" si="5"/>
        <v>0.94329694072835468</v>
      </c>
    </row>
    <row r="363" spans="2:10" ht="28.05" customHeight="1" x14ac:dyDescent="0.3">
      <c r="B363" s="4" t="s">
        <v>118</v>
      </c>
      <c r="C363" s="6">
        <v>102185</v>
      </c>
      <c r="D363" s="6">
        <v>6820</v>
      </c>
      <c r="E363" s="6">
        <v>2392</v>
      </c>
      <c r="F363" s="6">
        <v>8000</v>
      </c>
      <c r="G363" s="6">
        <v>1190658</v>
      </c>
      <c r="H363" s="6">
        <v>16092</v>
      </c>
      <c r="I363" s="6">
        <v>1326147</v>
      </c>
      <c r="J363" s="9">
        <f t="shared" si="5"/>
        <v>0.89783259321930375</v>
      </c>
    </row>
    <row r="364" spans="2:10" ht="28.05" customHeight="1" x14ac:dyDescent="0.3">
      <c r="B364" s="4" t="s">
        <v>119</v>
      </c>
      <c r="C364" s="6">
        <v>93882</v>
      </c>
      <c r="D364" s="6">
        <v>24696</v>
      </c>
      <c r="G364" s="6">
        <v>1815991</v>
      </c>
      <c r="H364" s="6">
        <v>25250</v>
      </c>
      <c r="I364" s="6">
        <v>1959819</v>
      </c>
      <c r="J364" s="9">
        <f t="shared" si="5"/>
        <v>0.92661159015194772</v>
      </c>
    </row>
    <row r="365" spans="2:10" ht="28.05" customHeight="1" x14ac:dyDescent="0.3">
      <c r="B365" s="4" t="s">
        <v>120</v>
      </c>
      <c r="C365" s="6">
        <v>113056</v>
      </c>
      <c r="D365" s="6">
        <v>6853</v>
      </c>
      <c r="F365" s="6">
        <v>2500</v>
      </c>
      <c r="G365" s="6">
        <v>826835</v>
      </c>
      <c r="H365" s="6">
        <v>7271</v>
      </c>
      <c r="I365" s="6">
        <v>956515</v>
      </c>
      <c r="J365" s="9">
        <f t="shared" si="5"/>
        <v>0.86442449935442722</v>
      </c>
    </row>
    <row r="366" spans="2:10" ht="28.05" customHeight="1" x14ac:dyDescent="0.3">
      <c r="B366" s="4" t="s">
        <v>121</v>
      </c>
      <c r="C366" s="6">
        <v>117995</v>
      </c>
      <c r="D366" s="6">
        <v>4021</v>
      </c>
      <c r="G366" s="6">
        <v>765123</v>
      </c>
      <c r="H366" s="6">
        <v>7086</v>
      </c>
      <c r="I366" s="6">
        <v>894225</v>
      </c>
      <c r="J366" s="9">
        <f t="shared" si="5"/>
        <v>0.85562693952864211</v>
      </c>
    </row>
    <row r="367" spans="2:10" ht="28.05" customHeight="1" x14ac:dyDescent="0.3">
      <c r="B367" s="4" t="s">
        <v>122</v>
      </c>
      <c r="C367" s="6">
        <v>96076</v>
      </c>
      <c r="D367" s="6">
        <v>9577</v>
      </c>
      <c r="G367" s="6">
        <v>775212</v>
      </c>
      <c r="H367" s="6">
        <v>13868</v>
      </c>
      <c r="I367" s="6">
        <v>894733</v>
      </c>
      <c r="J367" s="9">
        <f t="shared" si="5"/>
        <v>0.86641713226180328</v>
      </c>
    </row>
    <row r="368" spans="2:10" ht="28.05" customHeight="1" x14ac:dyDescent="0.3">
      <c r="B368" s="4" t="s">
        <v>123</v>
      </c>
      <c r="C368" s="6">
        <v>128947</v>
      </c>
      <c r="D368" s="6">
        <v>13346</v>
      </c>
      <c r="E368" s="6">
        <v>12148</v>
      </c>
      <c r="F368" s="6">
        <v>3500</v>
      </c>
      <c r="G368" s="6">
        <v>1426756</v>
      </c>
      <c r="H368" s="6">
        <v>33729</v>
      </c>
      <c r="I368" s="6">
        <v>1618426</v>
      </c>
      <c r="J368" s="9">
        <f t="shared" si="5"/>
        <v>0.88157011812711861</v>
      </c>
    </row>
    <row r="369" spans="2:10" ht="28.05" customHeight="1" x14ac:dyDescent="0.3">
      <c r="B369" s="4" t="s">
        <v>124</v>
      </c>
      <c r="C369" s="6">
        <v>632513</v>
      </c>
      <c r="D369" s="6">
        <v>60747</v>
      </c>
      <c r="G369" s="6">
        <v>4891804</v>
      </c>
      <c r="H369" s="6">
        <v>70628</v>
      </c>
      <c r="I369" s="6">
        <v>5655692</v>
      </c>
      <c r="J369" s="9">
        <f t="shared" si="5"/>
        <v>0.86493465344293852</v>
      </c>
    </row>
    <row r="370" spans="2:10" ht="28.05" customHeight="1" x14ac:dyDescent="0.3">
      <c r="B370" s="4" t="s">
        <v>125</v>
      </c>
      <c r="C370" s="6">
        <v>108345</v>
      </c>
      <c r="D370" s="6">
        <v>13429</v>
      </c>
      <c r="G370" s="6">
        <v>610685</v>
      </c>
      <c r="H370" s="6">
        <v>2244</v>
      </c>
      <c r="I370" s="6">
        <v>734703</v>
      </c>
      <c r="J370" s="9">
        <f t="shared" si="5"/>
        <v>0.83119981815781341</v>
      </c>
    </row>
    <row r="371" spans="2:10" ht="28.05" customHeight="1" x14ac:dyDescent="0.3">
      <c r="B371" s="4" t="s">
        <v>126</v>
      </c>
      <c r="C371" s="6">
        <v>98318</v>
      </c>
      <c r="D371" s="6">
        <v>24727</v>
      </c>
      <c r="E371" s="6">
        <v>1483</v>
      </c>
      <c r="F371" s="1">
        <v>330</v>
      </c>
      <c r="G371" s="6">
        <v>3529478</v>
      </c>
      <c r="H371" s="6">
        <v>46443</v>
      </c>
      <c r="I371" s="6">
        <v>3700779</v>
      </c>
      <c r="J371" s="9">
        <f t="shared" si="5"/>
        <v>0.95371217789551876</v>
      </c>
    </row>
    <row r="372" spans="2:10" ht="28.05" customHeight="1" x14ac:dyDescent="0.3">
      <c r="B372" s="4" t="s">
        <v>127</v>
      </c>
      <c r="C372" s="6">
        <v>33437</v>
      </c>
      <c r="D372" s="6">
        <v>8654</v>
      </c>
      <c r="G372" s="6">
        <v>2857118</v>
      </c>
      <c r="H372" s="6">
        <v>20169</v>
      </c>
      <c r="I372" s="6">
        <v>2919378</v>
      </c>
      <c r="J372" s="9">
        <f t="shared" si="5"/>
        <v>0.97867353936352197</v>
      </c>
    </row>
    <row r="373" spans="2:10" ht="28.05" customHeight="1" x14ac:dyDescent="0.3">
      <c r="B373" s="4" t="s">
        <v>128</v>
      </c>
      <c r="C373" s="6">
        <v>12982</v>
      </c>
      <c r="D373" s="6">
        <v>2702</v>
      </c>
      <c r="G373" s="6">
        <v>1549079</v>
      </c>
      <c r="H373" s="6">
        <v>8175</v>
      </c>
      <c r="I373" s="6">
        <v>1572938</v>
      </c>
      <c r="J373" s="9">
        <f t="shared" si="5"/>
        <v>0.98483156996652121</v>
      </c>
    </row>
    <row r="374" spans="2:10" ht="28.05" customHeight="1" x14ac:dyDescent="0.3">
      <c r="B374" s="4" t="s">
        <v>129</v>
      </c>
      <c r="C374" s="6">
        <v>53555</v>
      </c>
      <c r="D374" s="6">
        <v>2979</v>
      </c>
      <c r="E374" s="6">
        <v>4059</v>
      </c>
      <c r="G374" s="6">
        <v>953624</v>
      </c>
      <c r="H374" s="6">
        <v>7490</v>
      </c>
      <c r="I374" s="6">
        <v>1021707</v>
      </c>
      <c r="J374" s="9">
        <f t="shared" si="5"/>
        <v>0.9333634789621682</v>
      </c>
    </row>
    <row r="375" spans="2:10" ht="28.05" customHeight="1" x14ac:dyDescent="0.3">
      <c r="B375" s="4" t="s">
        <v>130</v>
      </c>
      <c r="C375" s="6">
        <v>105640</v>
      </c>
      <c r="D375" s="6">
        <v>9767</v>
      </c>
      <c r="G375" s="6">
        <v>1382707</v>
      </c>
      <c r="H375" s="6">
        <v>10353</v>
      </c>
      <c r="I375" s="6">
        <v>1508467</v>
      </c>
      <c r="J375" s="9">
        <f t="shared" si="5"/>
        <v>0.91663059251544776</v>
      </c>
    </row>
    <row r="376" spans="2:10" ht="28.05" customHeight="1" x14ac:dyDescent="0.3">
      <c r="B376" s="4" t="s">
        <v>131</v>
      </c>
      <c r="C376" s="6">
        <v>295189</v>
      </c>
      <c r="D376" s="6">
        <v>11879</v>
      </c>
      <c r="E376" s="1">
        <v>545</v>
      </c>
      <c r="G376" s="6">
        <v>2140123</v>
      </c>
      <c r="H376" s="6">
        <v>29318</v>
      </c>
      <c r="I376" s="6">
        <v>2477054</v>
      </c>
      <c r="J376" s="9">
        <f t="shared" si="5"/>
        <v>0.86397914619544025</v>
      </c>
    </row>
    <row r="377" spans="2:10" ht="28.05" customHeight="1" x14ac:dyDescent="0.3">
      <c r="B377" s="4" t="s">
        <v>132</v>
      </c>
      <c r="C377" s="6">
        <v>153812</v>
      </c>
      <c r="D377" s="6">
        <v>12144</v>
      </c>
      <c r="E377" s="6">
        <v>14068</v>
      </c>
      <c r="F377" s="6">
        <v>1159</v>
      </c>
      <c r="G377" s="6">
        <v>1876573</v>
      </c>
      <c r="H377" s="6">
        <v>11480</v>
      </c>
      <c r="I377" s="6">
        <v>2069236</v>
      </c>
      <c r="J377" s="9">
        <f t="shared" si="5"/>
        <v>0.90689172235549742</v>
      </c>
    </row>
    <row r="378" spans="2:10" ht="28.05" customHeight="1" x14ac:dyDescent="0.3">
      <c r="B378" s="4" t="s">
        <v>133</v>
      </c>
      <c r="C378" s="6">
        <v>65440</v>
      </c>
      <c r="D378" s="6">
        <v>4387</v>
      </c>
      <c r="E378" s="6">
        <v>3731</v>
      </c>
      <c r="G378" s="6">
        <v>632304</v>
      </c>
      <c r="H378" s="6">
        <v>6793</v>
      </c>
      <c r="I378" s="6">
        <v>712655</v>
      </c>
      <c r="J378" s="9">
        <f t="shared" si="5"/>
        <v>0.88725119447699097</v>
      </c>
    </row>
    <row r="379" spans="2:10" ht="28.05" customHeight="1" x14ac:dyDescent="0.3">
      <c r="B379" s="4" t="s">
        <v>134</v>
      </c>
      <c r="C379" s="6">
        <v>30790</v>
      </c>
      <c r="D379" s="6">
        <v>3529</v>
      </c>
      <c r="G379" s="6">
        <v>607786</v>
      </c>
      <c r="H379" s="6">
        <v>21246</v>
      </c>
      <c r="I379" s="6">
        <v>663351</v>
      </c>
      <c r="J379" s="9">
        <f t="shared" si="5"/>
        <v>0.91623589924489446</v>
      </c>
    </row>
    <row r="380" spans="2:10" ht="28.05" customHeight="1" x14ac:dyDescent="0.3">
      <c r="B380" s="4" t="s">
        <v>135</v>
      </c>
      <c r="C380" s="6">
        <v>26066</v>
      </c>
      <c r="D380" s="6">
        <v>553</v>
      </c>
      <c r="E380" s="6">
        <v>12083</v>
      </c>
      <c r="F380" s="1">
        <v>91</v>
      </c>
      <c r="G380" s="6">
        <v>1282641</v>
      </c>
      <c r="H380" s="6">
        <v>6944</v>
      </c>
      <c r="I380" s="6">
        <v>1328378</v>
      </c>
      <c r="J380" s="9">
        <f t="shared" si="5"/>
        <v>0.96556928825981758</v>
      </c>
    </row>
    <row r="381" spans="2:10" ht="28.05" customHeight="1" x14ac:dyDescent="0.3">
      <c r="B381" s="4" t="s">
        <v>136</v>
      </c>
      <c r="C381" s="6">
        <v>84461</v>
      </c>
      <c r="D381" s="6">
        <v>6577</v>
      </c>
      <c r="G381" s="6">
        <v>1011769</v>
      </c>
      <c r="H381" s="6">
        <v>8354</v>
      </c>
      <c r="I381" s="6">
        <v>1111161</v>
      </c>
      <c r="J381" s="9">
        <f t="shared" si="5"/>
        <v>0.91055121625039037</v>
      </c>
    </row>
    <row r="382" spans="2:10" ht="28.05" customHeight="1" x14ac:dyDescent="0.3">
      <c r="B382" s="4" t="s">
        <v>137</v>
      </c>
      <c r="C382" s="6">
        <v>107765</v>
      </c>
      <c r="D382" s="6">
        <v>4835</v>
      </c>
      <c r="E382" s="1">
        <v>751</v>
      </c>
      <c r="F382" s="1">
        <v>111</v>
      </c>
      <c r="G382" s="6">
        <v>649356</v>
      </c>
      <c r="H382" s="6">
        <v>17561</v>
      </c>
      <c r="I382" s="6">
        <v>780379</v>
      </c>
      <c r="J382" s="9">
        <f t="shared" si="5"/>
        <v>0.8321033754111784</v>
      </c>
    </row>
    <row r="383" spans="2:10" ht="28.05" customHeight="1" x14ac:dyDescent="0.3">
      <c r="B383" s="4" t="s">
        <v>138</v>
      </c>
      <c r="C383" s="6">
        <v>112473</v>
      </c>
      <c r="D383" s="6">
        <v>12875</v>
      </c>
      <c r="G383" s="6">
        <v>819074</v>
      </c>
      <c r="H383" s="6">
        <v>6751</v>
      </c>
      <c r="I383" s="6">
        <v>951173</v>
      </c>
      <c r="J383" s="9">
        <f t="shared" si="5"/>
        <v>0.86111990142697492</v>
      </c>
    </row>
    <row r="384" spans="2:10" ht="28.05" customHeight="1" x14ac:dyDescent="0.3">
      <c r="B384" s="4" t="s">
        <v>139</v>
      </c>
      <c r="C384" s="6">
        <v>227452</v>
      </c>
      <c r="D384" s="6">
        <v>28456</v>
      </c>
      <c r="E384" s="6">
        <v>24813</v>
      </c>
      <c r="F384" s="6">
        <v>18295</v>
      </c>
      <c r="G384" s="6">
        <v>2060608</v>
      </c>
      <c r="H384" s="6">
        <v>16244</v>
      </c>
      <c r="I384" s="6">
        <v>2375868</v>
      </c>
      <c r="J384" s="9">
        <f t="shared" si="5"/>
        <v>0.86730744300609297</v>
      </c>
    </row>
    <row r="385" spans="2:10" ht="28.05" customHeight="1" x14ac:dyDescent="0.3">
      <c r="B385" s="4" t="s">
        <v>140</v>
      </c>
      <c r="C385" s="6">
        <v>73603</v>
      </c>
      <c r="D385" s="6">
        <v>4121</v>
      </c>
      <c r="E385" s="6">
        <v>8687</v>
      </c>
      <c r="F385" s="6">
        <v>8000</v>
      </c>
      <c r="G385" s="6">
        <v>671972</v>
      </c>
      <c r="H385" s="6">
        <v>6475</v>
      </c>
      <c r="I385" s="6">
        <v>772858</v>
      </c>
      <c r="J385" s="9">
        <f t="shared" si="5"/>
        <v>0.8694637307241434</v>
      </c>
    </row>
    <row r="386" spans="2:10" ht="28.05" customHeight="1" x14ac:dyDescent="0.3">
      <c r="B386" s="4" t="s">
        <v>141</v>
      </c>
      <c r="C386" s="6">
        <v>45112</v>
      </c>
      <c r="D386" s="6">
        <v>1633</v>
      </c>
      <c r="G386" s="6">
        <v>763783</v>
      </c>
      <c r="H386" s="6">
        <v>6281</v>
      </c>
      <c r="I386" s="6">
        <v>816809</v>
      </c>
      <c r="J386" s="9">
        <f t="shared" si="5"/>
        <v>0.93508151844556076</v>
      </c>
    </row>
    <row r="387" spans="2:10" ht="28.05" customHeight="1" x14ac:dyDescent="0.3">
      <c r="B387" s="4" t="s">
        <v>142</v>
      </c>
      <c r="C387" s="6">
        <v>181316</v>
      </c>
      <c r="D387" s="6">
        <v>20963</v>
      </c>
      <c r="F387" s="1">
        <v>320</v>
      </c>
      <c r="G387" s="6">
        <v>1939191</v>
      </c>
      <c r="H387" s="6">
        <v>18806</v>
      </c>
      <c r="I387" s="6">
        <v>2160596</v>
      </c>
      <c r="J387" s="9">
        <f t="shared" si="5"/>
        <v>0.89752596042943711</v>
      </c>
    </row>
    <row r="388" spans="2:10" ht="28.05" customHeight="1" x14ac:dyDescent="0.3">
      <c r="B388" s="4" t="s">
        <v>143</v>
      </c>
      <c r="C388" s="6">
        <v>43363</v>
      </c>
      <c r="D388" s="6">
        <v>6350</v>
      </c>
      <c r="E388" s="1">
        <v>277</v>
      </c>
      <c r="G388" s="6">
        <v>869557</v>
      </c>
      <c r="H388" s="6">
        <v>11456</v>
      </c>
      <c r="I388" s="6">
        <v>931003</v>
      </c>
      <c r="J388" s="9">
        <f t="shared" si="5"/>
        <v>0.93400021267385824</v>
      </c>
    </row>
    <row r="389" spans="2:10" ht="28.05" customHeight="1" x14ac:dyDescent="0.3">
      <c r="B389" s="4" t="s">
        <v>144</v>
      </c>
      <c r="C389" s="6">
        <v>40919</v>
      </c>
      <c r="D389" s="6">
        <v>5774</v>
      </c>
      <c r="E389" s="1">
        <v>371</v>
      </c>
      <c r="F389" s="1">
        <v>20</v>
      </c>
      <c r="G389" s="6">
        <v>1190788</v>
      </c>
      <c r="H389" s="6">
        <v>27675</v>
      </c>
      <c r="I389" s="6">
        <v>1265547</v>
      </c>
      <c r="J389" s="9">
        <f t="shared" si="5"/>
        <v>0.940927519878756</v>
      </c>
    </row>
    <row r="390" spans="2:10" ht="28.05" customHeight="1" x14ac:dyDescent="0.3">
      <c r="B390" s="4" t="s">
        <v>5347</v>
      </c>
    </row>
    <row r="391" spans="2:10" ht="28.05" customHeight="1" x14ac:dyDescent="0.3">
      <c r="B391" s="4" t="s">
        <v>5361</v>
      </c>
      <c r="C391" s="6">
        <v>242841</v>
      </c>
      <c r="D391" s="6">
        <v>9219</v>
      </c>
      <c r="E391" s="6">
        <v>5326</v>
      </c>
      <c r="F391" s="6">
        <v>2341</v>
      </c>
      <c r="G391" s="6">
        <v>3706835</v>
      </c>
      <c r="H391" s="6">
        <v>85479</v>
      </c>
      <c r="I391" s="6">
        <v>4052041</v>
      </c>
      <c r="J391" s="9">
        <f t="shared" si="5"/>
        <v>0.91480688374081109</v>
      </c>
    </row>
    <row r="392" spans="2:10" ht="28.05" customHeight="1" x14ac:dyDescent="0.3">
      <c r="B392" s="4" t="s">
        <v>5362</v>
      </c>
      <c r="C392" s="6">
        <v>43855</v>
      </c>
      <c r="D392" s="6">
        <v>1136</v>
      </c>
      <c r="G392" s="6">
        <v>353752</v>
      </c>
      <c r="H392" s="6">
        <v>4935</v>
      </c>
      <c r="I392" s="6">
        <v>403678</v>
      </c>
      <c r="J392" s="9">
        <f t="shared" si="5"/>
        <v>0.87632221721272896</v>
      </c>
    </row>
    <row r="393" spans="2:10" ht="28.05" customHeight="1" x14ac:dyDescent="0.3">
      <c r="B393" s="4" t="s">
        <v>417</v>
      </c>
      <c r="C393" s="6">
        <v>131472</v>
      </c>
      <c r="D393" s="6">
        <v>5260</v>
      </c>
      <c r="E393" s="6">
        <v>3175</v>
      </c>
      <c r="F393" s="1">
        <v>200</v>
      </c>
      <c r="G393" s="6">
        <v>1189203</v>
      </c>
      <c r="H393" s="6">
        <v>14691</v>
      </c>
      <c r="I393" s="6">
        <v>1344001</v>
      </c>
      <c r="J393" s="9">
        <f t="shared" si="5"/>
        <v>0.88482300236383749</v>
      </c>
    </row>
    <row r="394" spans="2:10" ht="28.05" customHeight="1" x14ac:dyDescent="0.3">
      <c r="B394" s="4" t="s">
        <v>5363</v>
      </c>
      <c r="C394" s="6">
        <v>106706</v>
      </c>
      <c r="D394" s="6">
        <v>5876</v>
      </c>
      <c r="E394" s="6">
        <v>27129</v>
      </c>
      <c r="F394" s="6">
        <v>7000</v>
      </c>
      <c r="G394" s="6">
        <v>1883237</v>
      </c>
      <c r="H394" s="6">
        <v>49303</v>
      </c>
      <c r="I394" s="6">
        <v>2079251</v>
      </c>
      <c r="J394" s="9">
        <f t="shared" ref="J394:J400" si="6">G394/I394</f>
        <v>0.90572855321459511</v>
      </c>
    </row>
    <row r="395" spans="2:10" ht="28.05" customHeight="1" x14ac:dyDescent="0.3">
      <c r="B395" s="4" t="s">
        <v>5369</v>
      </c>
      <c r="C395" s="6"/>
      <c r="D395" s="6"/>
      <c r="E395" s="6"/>
      <c r="F395" s="6"/>
      <c r="G395" s="6"/>
      <c r="H395" s="6"/>
      <c r="I395" s="6"/>
    </row>
    <row r="396" spans="2:10" x14ac:dyDescent="0.3">
      <c r="B396" s="4" t="s">
        <v>5370</v>
      </c>
      <c r="C396" s="6">
        <v>10749717</v>
      </c>
      <c r="D396" s="6">
        <v>1355344</v>
      </c>
      <c r="E396" s="6">
        <v>416286</v>
      </c>
      <c r="F396" s="6">
        <v>127494</v>
      </c>
      <c r="G396" s="6">
        <v>173443870</v>
      </c>
      <c r="H396" s="6">
        <v>2696282</v>
      </c>
      <c r="I396" s="6">
        <v>188788993</v>
      </c>
      <c r="J396" s="9">
        <f t="shared" si="6"/>
        <v>0.918718126750112</v>
      </c>
    </row>
    <row r="397" spans="2:10" x14ac:dyDescent="0.3">
      <c r="B397" s="4" t="s">
        <v>5339</v>
      </c>
      <c r="C397" s="6">
        <v>8938573</v>
      </c>
      <c r="D397" s="6">
        <v>900695</v>
      </c>
      <c r="E397" s="6">
        <v>123003</v>
      </c>
      <c r="F397" s="6">
        <v>14854</v>
      </c>
      <c r="G397" s="6">
        <v>145169893</v>
      </c>
      <c r="H397" s="6">
        <v>2506993</v>
      </c>
      <c r="I397" s="6">
        <v>157654011</v>
      </c>
      <c r="J397" s="9">
        <f t="shared" si="6"/>
        <v>0.92081319136244499</v>
      </c>
    </row>
    <row r="398" spans="2:10" x14ac:dyDescent="0.3">
      <c r="B398" s="4" t="s">
        <v>1221</v>
      </c>
      <c r="C398" s="6">
        <v>7250228</v>
      </c>
      <c r="D398" s="6">
        <v>491111</v>
      </c>
      <c r="E398" s="6">
        <v>54746</v>
      </c>
      <c r="F398" s="6">
        <v>8585</v>
      </c>
      <c r="G398" s="6">
        <v>87917050</v>
      </c>
      <c r="H398" s="6">
        <v>1648190</v>
      </c>
      <c r="I398" s="6">
        <v>97369910</v>
      </c>
      <c r="J398" s="9">
        <f t="shared" si="6"/>
        <v>0.90291805753954169</v>
      </c>
    </row>
    <row r="399" spans="2:10" x14ac:dyDescent="0.3">
      <c r="B399" s="4" t="s">
        <v>5340</v>
      </c>
      <c r="C399" s="6">
        <v>5750617</v>
      </c>
      <c r="D399" s="6">
        <v>244780</v>
      </c>
      <c r="E399" s="6">
        <v>51396</v>
      </c>
      <c r="F399" s="6">
        <v>13579</v>
      </c>
      <c r="G399" s="6">
        <v>69173892</v>
      </c>
      <c r="H399" s="6">
        <v>5053443</v>
      </c>
      <c r="I399" s="6">
        <v>80287707</v>
      </c>
      <c r="J399" s="9">
        <f t="shared" si="6"/>
        <v>0.86157513503281391</v>
      </c>
    </row>
    <row r="400" spans="2:10" x14ac:dyDescent="0.3">
      <c r="B400" s="4" t="s">
        <v>5341</v>
      </c>
      <c r="C400" s="6">
        <v>2982652</v>
      </c>
      <c r="D400" s="6">
        <v>893332</v>
      </c>
      <c r="E400" s="6">
        <v>204265</v>
      </c>
      <c r="F400" s="6">
        <v>503895</v>
      </c>
      <c r="G400" s="6">
        <v>96952353</v>
      </c>
      <c r="H400" s="6">
        <v>3806833</v>
      </c>
      <c r="I400" s="6">
        <v>105343330</v>
      </c>
      <c r="J400" s="9">
        <f t="shared" si="6"/>
        <v>0.92034638548069436</v>
      </c>
    </row>
  </sheetData>
  <mergeCells count="3">
    <mergeCell ref="C3:G3"/>
    <mergeCell ref="C4:D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B395-803C-4209-A3BF-450CDBE02F98}">
  <dimension ref="A1:I1349"/>
  <sheetViews>
    <sheetView topLeftCell="A1260" workbookViewId="0">
      <selection activeCell="H787" sqref="H787"/>
    </sheetView>
  </sheetViews>
  <sheetFormatPr defaultRowHeight="14.4" x14ac:dyDescent="0.3"/>
  <cols>
    <col min="1" max="1" width="16.44140625" customWidth="1"/>
    <col min="2" max="2" width="42.5546875" customWidth="1"/>
    <col min="5" max="5" width="21.5546875" customWidth="1"/>
    <col min="6" max="6" width="15.77734375" customWidth="1"/>
    <col min="8" max="8" width="23.77734375" customWidth="1"/>
  </cols>
  <sheetData>
    <row r="1" spans="1:9" x14ac:dyDescent="0.3">
      <c r="A1" t="s">
        <v>1223</v>
      </c>
      <c r="B1" t="s">
        <v>1224</v>
      </c>
      <c r="C1" t="s">
        <v>1225</v>
      </c>
      <c r="D1" t="s">
        <v>1226</v>
      </c>
      <c r="E1" t="s">
        <v>1227</v>
      </c>
      <c r="F1" t="s">
        <v>1228</v>
      </c>
      <c r="G1" t="s">
        <v>1229</v>
      </c>
      <c r="H1" t="s">
        <v>1230</v>
      </c>
      <c r="I1" t="s">
        <v>1231</v>
      </c>
    </row>
    <row r="2" spans="1:9" x14ac:dyDescent="0.3">
      <c r="A2" t="s">
        <v>1232</v>
      </c>
      <c r="B2" t="s">
        <v>1233</v>
      </c>
      <c r="C2" t="s">
        <v>1234</v>
      </c>
      <c r="D2" t="s">
        <v>1235</v>
      </c>
      <c r="E2" t="s">
        <v>1236</v>
      </c>
      <c r="F2" t="s">
        <v>1237</v>
      </c>
      <c r="G2" t="s">
        <v>5390</v>
      </c>
      <c r="H2">
        <v>0</v>
      </c>
      <c r="I2">
        <v>0</v>
      </c>
    </row>
    <row r="3" spans="1:9" x14ac:dyDescent="0.3">
      <c r="A3" t="s">
        <v>1238</v>
      </c>
      <c r="B3" t="s">
        <v>1239</v>
      </c>
      <c r="C3" t="s">
        <v>1234</v>
      </c>
      <c r="D3" t="s">
        <v>1235</v>
      </c>
      <c r="E3" t="s">
        <v>1236</v>
      </c>
      <c r="F3" t="s">
        <v>1240</v>
      </c>
      <c r="G3" t="s">
        <v>5391</v>
      </c>
      <c r="H3">
        <v>0</v>
      </c>
      <c r="I3">
        <v>0</v>
      </c>
    </row>
    <row r="4" spans="1:9" x14ac:dyDescent="0.3">
      <c r="A4" t="s">
        <v>1241</v>
      </c>
      <c r="B4" t="s">
        <v>1242</v>
      </c>
      <c r="C4" t="s">
        <v>1234</v>
      </c>
      <c r="D4" t="s">
        <v>1235</v>
      </c>
      <c r="E4" t="s">
        <v>1236</v>
      </c>
      <c r="F4" t="s">
        <v>1243</v>
      </c>
      <c r="G4" t="s">
        <v>5392</v>
      </c>
      <c r="H4">
        <v>0</v>
      </c>
      <c r="I4">
        <v>0</v>
      </c>
    </row>
    <row r="5" spans="1:9" x14ac:dyDescent="0.3">
      <c r="A5" t="s">
        <v>1244</v>
      </c>
      <c r="B5" t="s">
        <v>1245</v>
      </c>
      <c r="C5" t="s">
        <v>1234</v>
      </c>
      <c r="D5" t="s">
        <v>1235</v>
      </c>
      <c r="E5" t="s">
        <v>1236</v>
      </c>
      <c r="F5" t="s">
        <v>1246</v>
      </c>
      <c r="G5" t="s">
        <v>5393</v>
      </c>
      <c r="H5">
        <v>0</v>
      </c>
      <c r="I5">
        <v>0</v>
      </c>
    </row>
    <row r="6" spans="1:9" x14ac:dyDescent="0.3">
      <c r="A6" t="s">
        <v>1247</v>
      </c>
      <c r="B6" t="s">
        <v>1248</v>
      </c>
      <c r="C6" t="s">
        <v>1234</v>
      </c>
      <c r="D6" t="s">
        <v>1235</v>
      </c>
      <c r="E6" t="s">
        <v>1236</v>
      </c>
      <c r="F6" t="s">
        <v>1249</v>
      </c>
      <c r="G6" t="s">
        <v>5394</v>
      </c>
      <c r="H6">
        <v>0</v>
      </c>
      <c r="I6">
        <v>0</v>
      </c>
    </row>
    <row r="7" spans="1:9" x14ac:dyDescent="0.3">
      <c r="A7" t="s">
        <v>1250</v>
      </c>
      <c r="B7" t="s">
        <v>1251</v>
      </c>
      <c r="C7" t="s">
        <v>1234</v>
      </c>
      <c r="D7" t="s">
        <v>1235</v>
      </c>
      <c r="E7" t="s">
        <v>1236</v>
      </c>
      <c r="F7" t="s">
        <v>1252</v>
      </c>
      <c r="G7" t="s">
        <v>5395</v>
      </c>
      <c r="H7">
        <v>0</v>
      </c>
      <c r="I7">
        <v>0</v>
      </c>
    </row>
    <row r="8" spans="1:9" x14ac:dyDescent="0.3">
      <c r="A8" t="s">
        <v>1253</v>
      </c>
      <c r="B8" t="s">
        <v>1254</v>
      </c>
      <c r="C8" t="s">
        <v>1234</v>
      </c>
      <c r="D8" t="s">
        <v>1235</v>
      </c>
      <c r="E8" t="s">
        <v>1236</v>
      </c>
      <c r="F8" t="s">
        <v>1255</v>
      </c>
      <c r="G8" t="s">
        <v>5396</v>
      </c>
      <c r="H8">
        <v>0</v>
      </c>
      <c r="I8">
        <v>0</v>
      </c>
    </row>
    <row r="9" spans="1:9" x14ac:dyDescent="0.3">
      <c r="A9" t="s">
        <v>1256</v>
      </c>
      <c r="B9" t="s">
        <v>1257</v>
      </c>
      <c r="C9" t="s">
        <v>1234</v>
      </c>
      <c r="D9" t="s">
        <v>1235</v>
      </c>
      <c r="E9" t="s">
        <v>1236</v>
      </c>
      <c r="F9" t="s">
        <v>1258</v>
      </c>
      <c r="G9" t="s">
        <v>5397</v>
      </c>
      <c r="H9">
        <v>0</v>
      </c>
      <c r="I9">
        <v>0</v>
      </c>
    </row>
    <row r="10" spans="1:9" x14ac:dyDescent="0.3">
      <c r="A10" t="s">
        <v>1259</v>
      </c>
      <c r="B10" t="s">
        <v>1260</v>
      </c>
      <c r="C10" t="s">
        <v>1234</v>
      </c>
      <c r="D10" t="s">
        <v>1235</v>
      </c>
      <c r="E10" t="s">
        <v>1236</v>
      </c>
      <c r="F10" t="s">
        <v>1261</v>
      </c>
      <c r="G10" t="s">
        <v>5398</v>
      </c>
      <c r="H10">
        <v>0</v>
      </c>
      <c r="I10">
        <v>0</v>
      </c>
    </row>
    <row r="11" spans="1:9" x14ac:dyDescent="0.3">
      <c r="A11" t="s">
        <v>1262</v>
      </c>
      <c r="B11" t="s">
        <v>1263</v>
      </c>
      <c r="C11" t="s">
        <v>1234</v>
      </c>
      <c r="D11" t="s">
        <v>1235</v>
      </c>
      <c r="E11" t="s">
        <v>1236</v>
      </c>
      <c r="F11" t="s">
        <v>1264</v>
      </c>
      <c r="G11" t="s">
        <v>5399</v>
      </c>
      <c r="H11">
        <v>0</v>
      </c>
      <c r="I11">
        <v>0</v>
      </c>
    </row>
    <row r="12" spans="1:9" x14ac:dyDescent="0.3">
      <c r="A12" t="s">
        <v>1265</v>
      </c>
      <c r="B12" t="s">
        <v>1266</v>
      </c>
      <c r="C12" t="s">
        <v>1234</v>
      </c>
      <c r="D12" t="s">
        <v>1235</v>
      </c>
      <c r="E12" t="s">
        <v>1236</v>
      </c>
      <c r="F12" t="s">
        <v>1267</v>
      </c>
      <c r="G12" t="s">
        <v>5400</v>
      </c>
      <c r="H12">
        <v>0</v>
      </c>
      <c r="I12">
        <v>0</v>
      </c>
    </row>
    <row r="13" spans="1:9" x14ac:dyDescent="0.3">
      <c r="A13" t="s">
        <v>1268</v>
      </c>
      <c r="B13" t="s">
        <v>1269</v>
      </c>
      <c r="C13" t="s">
        <v>1234</v>
      </c>
      <c r="D13" t="s">
        <v>1235</v>
      </c>
      <c r="E13" t="s">
        <v>1236</v>
      </c>
      <c r="F13" t="s">
        <v>1270</v>
      </c>
      <c r="G13" t="s">
        <v>5401</v>
      </c>
      <c r="H13">
        <v>0</v>
      </c>
      <c r="I13">
        <v>0</v>
      </c>
    </row>
    <row r="14" spans="1:9" x14ac:dyDescent="0.3">
      <c r="A14" t="s">
        <v>1271</v>
      </c>
      <c r="B14" t="s">
        <v>1272</v>
      </c>
      <c r="C14" t="s">
        <v>1234</v>
      </c>
      <c r="D14" t="s">
        <v>1235</v>
      </c>
      <c r="E14" t="s">
        <v>1236</v>
      </c>
      <c r="F14" t="s">
        <v>1273</v>
      </c>
      <c r="G14" t="s">
        <v>5402</v>
      </c>
      <c r="H14">
        <v>0</v>
      </c>
      <c r="I14">
        <v>0</v>
      </c>
    </row>
    <row r="15" spans="1:9" x14ac:dyDescent="0.3">
      <c r="A15" t="s">
        <v>1274</v>
      </c>
      <c r="B15" t="s">
        <v>1275</v>
      </c>
      <c r="C15" t="s">
        <v>1234</v>
      </c>
      <c r="D15" t="s">
        <v>1235</v>
      </c>
      <c r="E15" t="s">
        <v>1236</v>
      </c>
      <c r="F15" t="s">
        <v>1276</v>
      </c>
      <c r="G15" t="s">
        <v>5403</v>
      </c>
      <c r="H15">
        <v>0</v>
      </c>
      <c r="I15">
        <v>0</v>
      </c>
    </row>
    <row r="16" spans="1:9" x14ac:dyDescent="0.3">
      <c r="A16" t="s">
        <v>1277</v>
      </c>
      <c r="B16" t="s">
        <v>1278</v>
      </c>
      <c r="C16" t="s">
        <v>1234</v>
      </c>
      <c r="D16" t="s">
        <v>1235</v>
      </c>
      <c r="E16" t="s">
        <v>1236</v>
      </c>
      <c r="F16" t="s">
        <v>1279</v>
      </c>
      <c r="G16" t="s">
        <v>5404</v>
      </c>
      <c r="H16">
        <v>0</v>
      </c>
      <c r="I16">
        <v>0</v>
      </c>
    </row>
    <row r="17" spans="1:9" x14ac:dyDescent="0.3">
      <c r="A17" t="s">
        <v>1280</v>
      </c>
      <c r="B17" t="s">
        <v>1281</v>
      </c>
      <c r="C17" t="s">
        <v>1234</v>
      </c>
      <c r="D17" t="s">
        <v>1235</v>
      </c>
      <c r="E17" t="s">
        <v>1236</v>
      </c>
      <c r="F17" t="s">
        <v>1282</v>
      </c>
      <c r="G17" t="s">
        <v>5405</v>
      </c>
      <c r="H17">
        <v>0</v>
      </c>
      <c r="I17">
        <v>0</v>
      </c>
    </row>
    <row r="18" spans="1:9" x14ac:dyDescent="0.3">
      <c r="A18" t="s">
        <v>1283</v>
      </c>
      <c r="B18" t="s">
        <v>1284</v>
      </c>
      <c r="C18" t="s">
        <v>1285</v>
      </c>
      <c r="D18" t="s">
        <v>1286</v>
      </c>
      <c r="E18" t="s">
        <v>1287</v>
      </c>
      <c r="F18" t="s">
        <v>1288</v>
      </c>
      <c r="G18" t="s">
        <v>5406</v>
      </c>
      <c r="H18">
        <v>0</v>
      </c>
      <c r="I18">
        <v>0</v>
      </c>
    </row>
    <row r="19" spans="1:9" x14ac:dyDescent="0.3">
      <c r="A19" t="s">
        <v>1289</v>
      </c>
      <c r="B19" t="s">
        <v>1290</v>
      </c>
      <c r="C19" t="s">
        <v>1285</v>
      </c>
      <c r="D19" t="s">
        <v>1286</v>
      </c>
      <c r="E19" t="s">
        <v>1287</v>
      </c>
      <c r="F19" t="s">
        <v>1291</v>
      </c>
      <c r="G19" t="s">
        <v>5407</v>
      </c>
      <c r="H19">
        <v>0</v>
      </c>
      <c r="I19">
        <v>0</v>
      </c>
    </row>
    <row r="20" spans="1:9" x14ac:dyDescent="0.3">
      <c r="A20" t="s">
        <v>1292</v>
      </c>
      <c r="B20" t="s">
        <v>1293</v>
      </c>
      <c r="C20" t="s">
        <v>1285</v>
      </c>
      <c r="D20" t="s">
        <v>1286</v>
      </c>
      <c r="E20" t="s">
        <v>1287</v>
      </c>
      <c r="F20" t="s">
        <v>1294</v>
      </c>
      <c r="G20" t="s">
        <v>5408</v>
      </c>
      <c r="H20">
        <v>0</v>
      </c>
      <c r="I20">
        <v>0</v>
      </c>
    </row>
    <row r="21" spans="1:9" x14ac:dyDescent="0.3">
      <c r="A21" t="s">
        <v>1295</v>
      </c>
      <c r="B21" t="s">
        <v>1296</v>
      </c>
      <c r="C21" t="s">
        <v>1285</v>
      </c>
      <c r="D21" t="s">
        <v>1286</v>
      </c>
      <c r="E21" t="s">
        <v>1287</v>
      </c>
      <c r="F21" t="s">
        <v>1297</v>
      </c>
      <c r="G21" t="s">
        <v>5409</v>
      </c>
      <c r="H21">
        <v>0</v>
      </c>
      <c r="I21">
        <v>0</v>
      </c>
    </row>
    <row r="22" spans="1:9" x14ac:dyDescent="0.3">
      <c r="A22" t="s">
        <v>1298</v>
      </c>
      <c r="B22" t="s">
        <v>1299</v>
      </c>
      <c r="C22" t="s">
        <v>1285</v>
      </c>
      <c r="D22" t="s">
        <v>1286</v>
      </c>
      <c r="E22" t="s">
        <v>1287</v>
      </c>
      <c r="F22" t="s">
        <v>1300</v>
      </c>
      <c r="G22" t="s">
        <v>5410</v>
      </c>
      <c r="H22">
        <v>0</v>
      </c>
      <c r="I22">
        <v>0</v>
      </c>
    </row>
    <row r="23" spans="1:9" x14ac:dyDescent="0.3">
      <c r="A23" t="s">
        <v>1301</v>
      </c>
      <c r="B23" t="s">
        <v>1302</v>
      </c>
      <c r="C23" t="s">
        <v>1285</v>
      </c>
      <c r="D23" t="s">
        <v>1286</v>
      </c>
      <c r="E23" t="s">
        <v>1287</v>
      </c>
      <c r="F23" t="s">
        <v>1303</v>
      </c>
      <c r="G23" t="s">
        <v>5411</v>
      </c>
      <c r="H23">
        <v>0</v>
      </c>
      <c r="I23">
        <v>0</v>
      </c>
    </row>
    <row r="24" spans="1:9" x14ac:dyDescent="0.3">
      <c r="A24" t="s">
        <v>1304</v>
      </c>
      <c r="B24" t="s">
        <v>1305</v>
      </c>
      <c r="C24" t="s">
        <v>1285</v>
      </c>
      <c r="D24" t="s">
        <v>1286</v>
      </c>
      <c r="E24" t="s">
        <v>1287</v>
      </c>
      <c r="F24" t="s">
        <v>1317</v>
      </c>
      <c r="G24" t="s">
        <v>5412</v>
      </c>
      <c r="H24">
        <v>0</v>
      </c>
      <c r="I24">
        <v>0</v>
      </c>
    </row>
    <row r="25" spans="1:9" x14ac:dyDescent="0.3">
      <c r="A25" t="s">
        <v>1306</v>
      </c>
      <c r="B25" t="s">
        <v>1307</v>
      </c>
      <c r="C25" t="s">
        <v>1285</v>
      </c>
      <c r="D25" t="s">
        <v>1286</v>
      </c>
      <c r="E25" t="s">
        <v>1287</v>
      </c>
      <c r="F25" t="s">
        <v>1308</v>
      </c>
      <c r="G25" t="s">
        <v>5413</v>
      </c>
      <c r="H25">
        <v>0</v>
      </c>
      <c r="I25">
        <v>0</v>
      </c>
    </row>
    <row r="26" spans="1:9" x14ac:dyDescent="0.3">
      <c r="A26" t="s">
        <v>1309</v>
      </c>
      <c r="B26" t="s">
        <v>1310</v>
      </c>
      <c r="C26" t="s">
        <v>1285</v>
      </c>
      <c r="D26" t="s">
        <v>1286</v>
      </c>
      <c r="E26" t="s">
        <v>1287</v>
      </c>
      <c r="F26" t="s">
        <v>1311</v>
      </c>
      <c r="G26" t="s">
        <v>5414</v>
      </c>
      <c r="H26">
        <v>0</v>
      </c>
      <c r="I26" t="s">
        <v>1312</v>
      </c>
    </row>
    <row r="27" spans="1:9" x14ac:dyDescent="0.3">
      <c r="A27" t="s">
        <v>1313</v>
      </c>
      <c r="B27" t="s">
        <v>1314</v>
      </c>
      <c r="C27" t="s">
        <v>1285</v>
      </c>
      <c r="D27" t="s">
        <v>1286</v>
      </c>
      <c r="E27" t="s">
        <v>1287</v>
      </c>
      <c r="F27" t="s">
        <v>1311</v>
      </c>
      <c r="G27" t="s">
        <v>5414</v>
      </c>
      <c r="H27">
        <v>0</v>
      </c>
      <c r="I27" t="s">
        <v>1312</v>
      </c>
    </row>
    <row r="28" spans="1:9" x14ac:dyDescent="0.3">
      <c r="A28" t="s">
        <v>1315</v>
      </c>
      <c r="B28" t="s">
        <v>1316</v>
      </c>
      <c r="C28" t="s">
        <v>1285</v>
      </c>
      <c r="D28" t="s">
        <v>1286</v>
      </c>
      <c r="E28" t="s">
        <v>1287</v>
      </c>
      <c r="F28" t="s">
        <v>1317</v>
      </c>
      <c r="G28" t="s">
        <v>5412</v>
      </c>
      <c r="H28">
        <v>0</v>
      </c>
      <c r="I28">
        <v>0</v>
      </c>
    </row>
    <row r="29" spans="1:9" x14ac:dyDescent="0.3">
      <c r="A29" t="s">
        <v>1318</v>
      </c>
      <c r="B29" t="s">
        <v>1319</v>
      </c>
      <c r="C29" t="s">
        <v>1285</v>
      </c>
      <c r="D29" t="s">
        <v>1286</v>
      </c>
      <c r="E29" t="s">
        <v>1287</v>
      </c>
      <c r="F29" t="s">
        <v>1317</v>
      </c>
      <c r="G29" t="s">
        <v>5412</v>
      </c>
      <c r="H29">
        <v>0</v>
      </c>
      <c r="I29">
        <v>0</v>
      </c>
    </row>
    <row r="30" spans="1:9" x14ac:dyDescent="0.3">
      <c r="A30" t="s">
        <v>1320</v>
      </c>
      <c r="B30" t="s">
        <v>1321</v>
      </c>
      <c r="C30" t="s">
        <v>1285</v>
      </c>
      <c r="D30" t="s">
        <v>1286</v>
      </c>
      <c r="E30" t="s">
        <v>1287</v>
      </c>
      <c r="F30" t="s">
        <v>1322</v>
      </c>
      <c r="G30" t="s">
        <v>5415</v>
      </c>
      <c r="H30">
        <v>0</v>
      </c>
      <c r="I30">
        <v>0</v>
      </c>
    </row>
    <row r="31" spans="1:9" x14ac:dyDescent="0.3">
      <c r="A31" t="s">
        <v>1323</v>
      </c>
      <c r="B31" t="s">
        <v>1324</v>
      </c>
      <c r="C31" t="s">
        <v>1325</v>
      </c>
      <c r="D31" t="s">
        <v>1326</v>
      </c>
      <c r="E31" t="s">
        <v>1287</v>
      </c>
      <c r="F31" t="s">
        <v>1327</v>
      </c>
      <c r="G31" t="s">
        <v>5416</v>
      </c>
      <c r="H31">
        <v>0</v>
      </c>
      <c r="I31">
        <v>0</v>
      </c>
    </row>
    <row r="32" spans="1:9" x14ac:dyDescent="0.3">
      <c r="A32" t="s">
        <v>1328</v>
      </c>
      <c r="B32" t="s">
        <v>1329</v>
      </c>
      <c r="C32" t="s">
        <v>1325</v>
      </c>
      <c r="D32" t="s">
        <v>1326</v>
      </c>
      <c r="E32" t="s">
        <v>1287</v>
      </c>
      <c r="F32" t="s">
        <v>1330</v>
      </c>
      <c r="G32" t="s">
        <v>5417</v>
      </c>
      <c r="H32" t="s">
        <v>1331</v>
      </c>
      <c r="I32">
        <v>0</v>
      </c>
    </row>
    <row r="33" spans="1:9" x14ac:dyDescent="0.3">
      <c r="A33" t="s">
        <v>1332</v>
      </c>
      <c r="B33" t="s">
        <v>1333</v>
      </c>
      <c r="C33" t="s">
        <v>1325</v>
      </c>
      <c r="D33" t="s">
        <v>1326</v>
      </c>
      <c r="E33" t="s">
        <v>1287</v>
      </c>
      <c r="F33" t="s">
        <v>1334</v>
      </c>
      <c r="G33" t="s">
        <v>5418</v>
      </c>
      <c r="H33" t="s">
        <v>1335</v>
      </c>
      <c r="I33">
        <v>0</v>
      </c>
    </row>
    <row r="34" spans="1:9" x14ac:dyDescent="0.3">
      <c r="A34" t="s">
        <v>1336</v>
      </c>
      <c r="B34" t="s">
        <v>1337</v>
      </c>
      <c r="C34" t="s">
        <v>1325</v>
      </c>
      <c r="D34" t="s">
        <v>1326</v>
      </c>
      <c r="E34" t="s">
        <v>1287</v>
      </c>
      <c r="F34" t="s">
        <v>1338</v>
      </c>
      <c r="G34" t="s">
        <v>5419</v>
      </c>
      <c r="H34" t="s">
        <v>1331</v>
      </c>
      <c r="I34">
        <v>0</v>
      </c>
    </row>
    <row r="35" spans="1:9" x14ac:dyDescent="0.3">
      <c r="A35" t="s">
        <v>1339</v>
      </c>
      <c r="B35" t="s">
        <v>1340</v>
      </c>
      <c r="C35" t="s">
        <v>1325</v>
      </c>
      <c r="D35" t="s">
        <v>1326</v>
      </c>
      <c r="E35" t="s">
        <v>1287</v>
      </c>
      <c r="F35" t="s">
        <v>1341</v>
      </c>
      <c r="G35" t="s">
        <v>5420</v>
      </c>
      <c r="H35">
        <v>0</v>
      </c>
      <c r="I35">
        <v>0</v>
      </c>
    </row>
    <row r="36" spans="1:9" x14ac:dyDescent="0.3">
      <c r="A36" t="s">
        <v>1342</v>
      </c>
      <c r="B36" t="s">
        <v>1343</v>
      </c>
      <c r="C36" t="s">
        <v>1325</v>
      </c>
      <c r="D36" t="s">
        <v>1326</v>
      </c>
      <c r="E36" t="s">
        <v>1287</v>
      </c>
      <c r="F36" t="s">
        <v>1344</v>
      </c>
      <c r="G36" t="s">
        <v>5421</v>
      </c>
      <c r="H36" t="s">
        <v>1331</v>
      </c>
      <c r="I36">
        <v>0</v>
      </c>
    </row>
    <row r="37" spans="1:9" x14ac:dyDescent="0.3">
      <c r="A37" t="s">
        <v>1345</v>
      </c>
      <c r="B37" t="s">
        <v>1346</v>
      </c>
      <c r="C37" t="s">
        <v>1325</v>
      </c>
      <c r="D37" t="s">
        <v>1326</v>
      </c>
      <c r="E37" t="s">
        <v>1287</v>
      </c>
      <c r="F37" t="s">
        <v>1347</v>
      </c>
      <c r="G37" t="s">
        <v>5422</v>
      </c>
      <c r="H37" t="s">
        <v>1331</v>
      </c>
      <c r="I37">
        <v>0</v>
      </c>
    </row>
    <row r="38" spans="1:9" x14ac:dyDescent="0.3">
      <c r="A38" t="s">
        <v>1348</v>
      </c>
      <c r="B38" t="s">
        <v>1349</v>
      </c>
      <c r="C38" t="s">
        <v>1325</v>
      </c>
      <c r="D38" t="s">
        <v>1326</v>
      </c>
      <c r="E38" t="s">
        <v>1287</v>
      </c>
      <c r="F38" t="s">
        <v>1350</v>
      </c>
      <c r="G38" t="s">
        <v>5423</v>
      </c>
      <c r="H38">
        <v>0</v>
      </c>
      <c r="I38">
        <v>0</v>
      </c>
    </row>
    <row r="39" spans="1:9" x14ac:dyDescent="0.3">
      <c r="A39" t="s">
        <v>1351</v>
      </c>
      <c r="B39" t="s">
        <v>1352</v>
      </c>
      <c r="C39" t="s">
        <v>1325</v>
      </c>
      <c r="D39" t="s">
        <v>1326</v>
      </c>
      <c r="E39" t="s">
        <v>1287</v>
      </c>
      <c r="F39" t="s">
        <v>1353</v>
      </c>
      <c r="G39" t="s">
        <v>5424</v>
      </c>
      <c r="H39">
        <v>0</v>
      </c>
      <c r="I39">
        <v>0</v>
      </c>
    </row>
    <row r="40" spans="1:9" x14ac:dyDescent="0.3">
      <c r="A40" t="s">
        <v>1354</v>
      </c>
      <c r="B40" t="s">
        <v>1355</v>
      </c>
      <c r="C40" t="s">
        <v>1325</v>
      </c>
      <c r="D40" t="s">
        <v>1326</v>
      </c>
      <c r="E40" t="s">
        <v>1287</v>
      </c>
      <c r="F40" t="s">
        <v>1356</v>
      </c>
      <c r="G40" t="s">
        <v>5425</v>
      </c>
      <c r="H40" t="s">
        <v>1357</v>
      </c>
      <c r="I40">
        <v>0</v>
      </c>
    </row>
    <row r="41" spans="1:9" x14ac:dyDescent="0.3">
      <c r="A41" t="s">
        <v>1358</v>
      </c>
      <c r="B41" t="s">
        <v>1359</v>
      </c>
      <c r="C41" t="s">
        <v>1325</v>
      </c>
      <c r="D41" t="s">
        <v>1326</v>
      </c>
      <c r="E41" t="s">
        <v>1287</v>
      </c>
      <c r="F41" t="s">
        <v>1360</v>
      </c>
      <c r="G41" t="s">
        <v>5426</v>
      </c>
      <c r="H41" t="s">
        <v>1361</v>
      </c>
      <c r="I41">
        <v>0</v>
      </c>
    </row>
    <row r="42" spans="1:9" x14ac:dyDescent="0.3">
      <c r="A42" t="s">
        <v>1362</v>
      </c>
      <c r="B42" t="s">
        <v>1363</v>
      </c>
      <c r="C42" t="s">
        <v>1325</v>
      </c>
      <c r="D42" t="s">
        <v>1326</v>
      </c>
      <c r="E42" t="s">
        <v>1287</v>
      </c>
      <c r="F42" t="s">
        <v>1364</v>
      </c>
      <c r="G42" t="s">
        <v>5427</v>
      </c>
      <c r="H42" t="s">
        <v>1331</v>
      </c>
      <c r="I42">
        <v>0</v>
      </c>
    </row>
    <row r="43" spans="1:9" x14ac:dyDescent="0.3">
      <c r="A43" t="s">
        <v>1365</v>
      </c>
      <c r="B43" t="s">
        <v>1366</v>
      </c>
      <c r="C43" t="s">
        <v>1325</v>
      </c>
      <c r="D43" t="s">
        <v>1326</v>
      </c>
      <c r="E43" t="s">
        <v>1287</v>
      </c>
      <c r="F43" t="s">
        <v>1367</v>
      </c>
      <c r="G43" t="s">
        <v>5428</v>
      </c>
      <c r="H43" t="s">
        <v>161</v>
      </c>
      <c r="I43">
        <v>0</v>
      </c>
    </row>
    <row r="44" spans="1:9" x14ac:dyDescent="0.3">
      <c r="A44" t="s">
        <v>1368</v>
      </c>
      <c r="B44" t="s">
        <v>1369</v>
      </c>
      <c r="C44" t="s">
        <v>1325</v>
      </c>
      <c r="D44" t="s">
        <v>1326</v>
      </c>
      <c r="E44" t="s">
        <v>1287</v>
      </c>
      <c r="F44" t="s">
        <v>1370</v>
      </c>
      <c r="G44" t="s">
        <v>5429</v>
      </c>
      <c r="H44" t="s">
        <v>161</v>
      </c>
      <c r="I44">
        <v>0</v>
      </c>
    </row>
    <row r="45" spans="1:9" x14ac:dyDescent="0.3">
      <c r="A45" t="s">
        <v>1371</v>
      </c>
      <c r="B45" t="s">
        <v>1372</v>
      </c>
      <c r="C45" t="s">
        <v>1373</v>
      </c>
      <c r="D45" t="s">
        <v>1326</v>
      </c>
      <c r="E45" t="s">
        <v>1287</v>
      </c>
      <c r="F45" t="s">
        <v>1374</v>
      </c>
      <c r="G45" t="s">
        <v>5430</v>
      </c>
      <c r="H45" t="s">
        <v>1375</v>
      </c>
      <c r="I45">
        <v>0</v>
      </c>
    </row>
    <row r="46" spans="1:9" x14ac:dyDescent="0.3">
      <c r="A46" t="s">
        <v>1376</v>
      </c>
      <c r="B46" t="s">
        <v>1377</v>
      </c>
      <c r="C46" t="s">
        <v>1373</v>
      </c>
      <c r="D46" t="s">
        <v>1326</v>
      </c>
      <c r="E46" t="s">
        <v>1287</v>
      </c>
      <c r="F46" t="s">
        <v>1378</v>
      </c>
      <c r="G46" t="s">
        <v>5431</v>
      </c>
      <c r="H46">
        <v>0</v>
      </c>
      <c r="I46">
        <v>0</v>
      </c>
    </row>
    <row r="47" spans="1:9" x14ac:dyDescent="0.3">
      <c r="A47" t="s">
        <v>1379</v>
      </c>
      <c r="B47" t="s">
        <v>1380</v>
      </c>
      <c r="C47" t="s">
        <v>1373</v>
      </c>
      <c r="D47" t="s">
        <v>1326</v>
      </c>
      <c r="E47" t="s">
        <v>1287</v>
      </c>
      <c r="F47" t="s">
        <v>1381</v>
      </c>
      <c r="G47" t="s">
        <v>5432</v>
      </c>
      <c r="H47">
        <v>0</v>
      </c>
      <c r="I47">
        <v>0</v>
      </c>
    </row>
    <row r="48" spans="1:9" x14ac:dyDescent="0.3">
      <c r="A48" t="s">
        <v>1382</v>
      </c>
      <c r="B48" t="s">
        <v>1383</v>
      </c>
      <c r="C48" t="s">
        <v>1373</v>
      </c>
      <c r="D48" t="s">
        <v>1326</v>
      </c>
      <c r="E48" t="s">
        <v>1287</v>
      </c>
      <c r="F48" t="s">
        <v>1384</v>
      </c>
      <c r="G48" t="s">
        <v>5433</v>
      </c>
      <c r="H48" t="s">
        <v>1385</v>
      </c>
      <c r="I48">
        <v>0</v>
      </c>
    </row>
    <row r="49" spans="1:9" x14ac:dyDescent="0.3">
      <c r="A49" t="s">
        <v>1386</v>
      </c>
      <c r="B49" t="s">
        <v>1387</v>
      </c>
      <c r="C49" t="s">
        <v>1373</v>
      </c>
      <c r="D49" t="s">
        <v>1326</v>
      </c>
      <c r="E49" t="s">
        <v>1287</v>
      </c>
      <c r="F49" t="s">
        <v>1388</v>
      </c>
      <c r="G49" t="s">
        <v>5434</v>
      </c>
      <c r="H49">
        <v>0</v>
      </c>
      <c r="I49">
        <v>0</v>
      </c>
    </row>
    <row r="50" spans="1:9" x14ac:dyDescent="0.3">
      <c r="A50" t="s">
        <v>1389</v>
      </c>
      <c r="B50" t="s">
        <v>1390</v>
      </c>
      <c r="C50" t="s">
        <v>1373</v>
      </c>
      <c r="D50" t="s">
        <v>1326</v>
      </c>
      <c r="E50" t="s">
        <v>1287</v>
      </c>
      <c r="F50" t="s">
        <v>1391</v>
      </c>
      <c r="G50" t="s">
        <v>5435</v>
      </c>
      <c r="H50">
        <v>0</v>
      </c>
      <c r="I50">
        <v>0</v>
      </c>
    </row>
    <row r="51" spans="1:9" x14ac:dyDescent="0.3">
      <c r="A51" t="s">
        <v>1392</v>
      </c>
      <c r="B51" t="s">
        <v>1393</v>
      </c>
      <c r="C51" t="s">
        <v>1373</v>
      </c>
      <c r="D51" t="s">
        <v>1326</v>
      </c>
      <c r="E51" t="s">
        <v>1287</v>
      </c>
      <c r="F51" t="s">
        <v>1394</v>
      </c>
      <c r="G51" t="s">
        <v>5436</v>
      </c>
      <c r="H51">
        <v>0</v>
      </c>
      <c r="I51">
        <v>0</v>
      </c>
    </row>
    <row r="52" spans="1:9" x14ac:dyDescent="0.3">
      <c r="A52" t="s">
        <v>1395</v>
      </c>
      <c r="B52" t="s">
        <v>1396</v>
      </c>
      <c r="C52" t="s">
        <v>1373</v>
      </c>
      <c r="D52" t="s">
        <v>1326</v>
      </c>
      <c r="E52" t="s">
        <v>1287</v>
      </c>
      <c r="F52" t="s">
        <v>1397</v>
      </c>
      <c r="G52" t="s">
        <v>5437</v>
      </c>
      <c r="H52" t="s">
        <v>1375</v>
      </c>
      <c r="I52">
        <v>0</v>
      </c>
    </row>
    <row r="53" spans="1:9" x14ac:dyDescent="0.3">
      <c r="A53" t="s">
        <v>1398</v>
      </c>
      <c r="B53" t="s">
        <v>1399</v>
      </c>
      <c r="C53" t="s">
        <v>1373</v>
      </c>
      <c r="D53" t="s">
        <v>1326</v>
      </c>
      <c r="E53" t="s">
        <v>1287</v>
      </c>
      <c r="F53" t="s">
        <v>1400</v>
      </c>
      <c r="G53" t="s">
        <v>5438</v>
      </c>
      <c r="H53" t="s">
        <v>1385</v>
      </c>
      <c r="I53">
        <v>0</v>
      </c>
    </row>
    <row r="54" spans="1:9" x14ac:dyDescent="0.3">
      <c r="A54" t="s">
        <v>1401</v>
      </c>
      <c r="B54" t="s">
        <v>1402</v>
      </c>
      <c r="C54" t="s">
        <v>1373</v>
      </c>
      <c r="D54" t="s">
        <v>1326</v>
      </c>
      <c r="E54" t="s">
        <v>1287</v>
      </c>
      <c r="F54" t="s">
        <v>1403</v>
      </c>
      <c r="G54" t="s">
        <v>5439</v>
      </c>
      <c r="H54" t="s">
        <v>973</v>
      </c>
      <c r="I54">
        <v>0</v>
      </c>
    </row>
    <row r="55" spans="1:9" x14ac:dyDescent="0.3">
      <c r="A55" t="s">
        <v>1404</v>
      </c>
      <c r="B55" t="s">
        <v>1405</v>
      </c>
      <c r="C55" t="s">
        <v>1373</v>
      </c>
      <c r="D55" t="s">
        <v>1326</v>
      </c>
      <c r="E55" t="s">
        <v>1287</v>
      </c>
      <c r="F55" t="s">
        <v>1406</v>
      </c>
      <c r="G55" t="s">
        <v>5440</v>
      </c>
      <c r="H55" t="s">
        <v>973</v>
      </c>
      <c r="I55">
        <v>0</v>
      </c>
    </row>
    <row r="56" spans="1:9" x14ac:dyDescent="0.3">
      <c r="A56" t="s">
        <v>1407</v>
      </c>
      <c r="B56" t="s">
        <v>1408</v>
      </c>
      <c r="C56" t="s">
        <v>1373</v>
      </c>
      <c r="D56" t="s">
        <v>1326</v>
      </c>
      <c r="E56" t="s">
        <v>1287</v>
      </c>
      <c r="F56" t="s">
        <v>1409</v>
      </c>
      <c r="G56" t="s">
        <v>5441</v>
      </c>
      <c r="H56">
        <v>0</v>
      </c>
      <c r="I56">
        <v>0</v>
      </c>
    </row>
    <row r="57" spans="1:9" x14ac:dyDescent="0.3">
      <c r="A57" t="s">
        <v>1410</v>
      </c>
      <c r="B57" t="s">
        <v>1411</v>
      </c>
      <c r="C57" t="s">
        <v>1373</v>
      </c>
      <c r="D57" t="s">
        <v>1326</v>
      </c>
      <c r="E57" t="s">
        <v>1287</v>
      </c>
      <c r="F57" t="s">
        <v>1412</v>
      </c>
      <c r="G57" t="s">
        <v>5442</v>
      </c>
      <c r="H57">
        <v>0</v>
      </c>
      <c r="I57">
        <v>0</v>
      </c>
    </row>
    <row r="58" spans="1:9" x14ac:dyDescent="0.3">
      <c r="A58" t="s">
        <v>1413</v>
      </c>
      <c r="B58" t="s">
        <v>1414</v>
      </c>
      <c r="C58" t="s">
        <v>1373</v>
      </c>
      <c r="D58" t="s">
        <v>1326</v>
      </c>
      <c r="E58" t="s">
        <v>1287</v>
      </c>
      <c r="F58" t="s">
        <v>1415</v>
      </c>
      <c r="G58" t="s">
        <v>5443</v>
      </c>
      <c r="H58">
        <v>0</v>
      </c>
      <c r="I58">
        <v>0</v>
      </c>
    </row>
    <row r="59" spans="1:9" x14ac:dyDescent="0.3">
      <c r="A59" t="s">
        <v>1416</v>
      </c>
      <c r="B59" t="s">
        <v>1417</v>
      </c>
      <c r="C59" t="s">
        <v>1373</v>
      </c>
      <c r="D59" t="s">
        <v>1326</v>
      </c>
      <c r="E59" t="s">
        <v>1287</v>
      </c>
      <c r="F59" t="s">
        <v>1418</v>
      </c>
      <c r="G59" t="s">
        <v>5444</v>
      </c>
      <c r="H59">
        <v>0</v>
      </c>
      <c r="I59">
        <v>0</v>
      </c>
    </row>
    <row r="60" spans="1:9" x14ac:dyDescent="0.3">
      <c r="A60" t="s">
        <v>1419</v>
      </c>
      <c r="B60" t="s">
        <v>1420</v>
      </c>
      <c r="C60" t="s">
        <v>1373</v>
      </c>
      <c r="D60" t="s">
        <v>1326</v>
      </c>
      <c r="E60" t="s">
        <v>1287</v>
      </c>
      <c r="F60" t="s">
        <v>1421</v>
      </c>
      <c r="G60" t="s">
        <v>5445</v>
      </c>
      <c r="H60">
        <v>0</v>
      </c>
      <c r="I60">
        <v>0</v>
      </c>
    </row>
    <row r="61" spans="1:9" x14ac:dyDescent="0.3">
      <c r="A61" t="s">
        <v>1422</v>
      </c>
      <c r="B61" t="s">
        <v>1423</v>
      </c>
      <c r="C61" t="s">
        <v>1373</v>
      </c>
      <c r="D61" t="s">
        <v>1326</v>
      </c>
      <c r="E61" t="s">
        <v>1287</v>
      </c>
      <c r="F61" t="s">
        <v>1424</v>
      </c>
      <c r="G61" t="s">
        <v>5446</v>
      </c>
      <c r="H61" t="s">
        <v>973</v>
      </c>
      <c r="I61">
        <v>0</v>
      </c>
    </row>
    <row r="62" spans="1:9" x14ac:dyDescent="0.3">
      <c r="A62" t="s">
        <v>1425</v>
      </c>
      <c r="B62" t="s">
        <v>1426</v>
      </c>
      <c r="C62" t="s">
        <v>1427</v>
      </c>
      <c r="D62" t="s">
        <v>1286</v>
      </c>
      <c r="E62" t="s">
        <v>1287</v>
      </c>
      <c r="F62" t="s">
        <v>1428</v>
      </c>
      <c r="G62" t="s">
        <v>5447</v>
      </c>
      <c r="H62">
        <v>0</v>
      </c>
      <c r="I62">
        <v>0</v>
      </c>
    </row>
    <row r="63" spans="1:9" x14ac:dyDescent="0.3">
      <c r="A63" t="s">
        <v>1429</v>
      </c>
      <c r="B63" t="s">
        <v>1430</v>
      </c>
      <c r="C63" t="s">
        <v>1427</v>
      </c>
      <c r="D63" t="s">
        <v>1286</v>
      </c>
      <c r="E63" t="s">
        <v>1287</v>
      </c>
      <c r="F63" t="s">
        <v>1431</v>
      </c>
      <c r="G63" t="s">
        <v>5448</v>
      </c>
      <c r="H63" t="s">
        <v>177</v>
      </c>
      <c r="I63">
        <v>0</v>
      </c>
    </row>
    <row r="64" spans="1:9" x14ac:dyDescent="0.3">
      <c r="A64" t="s">
        <v>1432</v>
      </c>
      <c r="B64" t="s">
        <v>1433</v>
      </c>
      <c r="C64" t="s">
        <v>1427</v>
      </c>
      <c r="D64" t="s">
        <v>1286</v>
      </c>
      <c r="E64" t="s">
        <v>1287</v>
      </c>
      <c r="F64" t="s">
        <v>1434</v>
      </c>
      <c r="G64" t="s">
        <v>5449</v>
      </c>
      <c r="H64">
        <v>0</v>
      </c>
      <c r="I64">
        <v>0</v>
      </c>
    </row>
    <row r="65" spans="1:9" x14ac:dyDescent="0.3">
      <c r="A65" t="s">
        <v>1435</v>
      </c>
      <c r="B65" t="s">
        <v>1436</v>
      </c>
      <c r="C65" t="s">
        <v>1427</v>
      </c>
      <c r="D65" t="s">
        <v>1286</v>
      </c>
      <c r="E65" t="s">
        <v>1287</v>
      </c>
      <c r="F65" t="s">
        <v>1437</v>
      </c>
      <c r="G65" t="s">
        <v>5450</v>
      </c>
      <c r="H65" t="s">
        <v>975</v>
      </c>
      <c r="I65">
        <v>0</v>
      </c>
    </row>
    <row r="66" spans="1:9" x14ac:dyDescent="0.3">
      <c r="A66" t="s">
        <v>1438</v>
      </c>
      <c r="B66" t="s">
        <v>1439</v>
      </c>
      <c r="C66" t="s">
        <v>1427</v>
      </c>
      <c r="D66" t="s">
        <v>1286</v>
      </c>
      <c r="E66" t="s">
        <v>1287</v>
      </c>
      <c r="F66" t="s">
        <v>1440</v>
      </c>
      <c r="G66" t="s">
        <v>5451</v>
      </c>
      <c r="H66" t="s">
        <v>1441</v>
      </c>
      <c r="I66">
        <v>0</v>
      </c>
    </row>
    <row r="67" spans="1:9" x14ac:dyDescent="0.3">
      <c r="A67" t="s">
        <v>1442</v>
      </c>
      <c r="B67" t="s">
        <v>1443</v>
      </c>
      <c r="C67" t="s">
        <v>1427</v>
      </c>
      <c r="D67" t="s">
        <v>1286</v>
      </c>
      <c r="E67" t="s">
        <v>1287</v>
      </c>
      <c r="F67" t="s">
        <v>1444</v>
      </c>
      <c r="G67" t="s">
        <v>5452</v>
      </c>
      <c r="H67" t="s">
        <v>1441</v>
      </c>
      <c r="I67">
        <v>0</v>
      </c>
    </row>
    <row r="68" spans="1:9" x14ac:dyDescent="0.3">
      <c r="A68" t="s">
        <v>1445</v>
      </c>
      <c r="B68" t="s">
        <v>1446</v>
      </c>
      <c r="C68" t="s">
        <v>1427</v>
      </c>
      <c r="D68" t="s">
        <v>1286</v>
      </c>
      <c r="E68" t="s">
        <v>1287</v>
      </c>
      <c r="F68" t="s">
        <v>1447</v>
      </c>
      <c r="G68" t="s">
        <v>5453</v>
      </c>
      <c r="H68">
        <v>0</v>
      </c>
      <c r="I68">
        <v>0</v>
      </c>
    </row>
    <row r="69" spans="1:9" x14ac:dyDescent="0.3">
      <c r="A69" t="s">
        <v>1448</v>
      </c>
      <c r="B69" t="s">
        <v>1449</v>
      </c>
      <c r="C69" t="s">
        <v>1427</v>
      </c>
      <c r="D69" t="s">
        <v>1286</v>
      </c>
      <c r="E69" t="s">
        <v>1287</v>
      </c>
      <c r="F69" t="s">
        <v>1450</v>
      </c>
      <c r="G69" t="s">
        <v>5454</v>
      </c>
      <c r="H69">
        <v>0</v>
      </c>
      <c r="I69">
        <v>0</v>
      </c>
    </row>
    <row r="70" spans="1:9" x14ac:dyDescent="0.3">
      <c r="A70" t="s">
        <v>1451</v>
      </c>
      <c r="B70" t="s">
        <v>1452</v>
      </c>
      <c r="C70" t="s">
        <v>1427</v>
      </c>
      <c r="D70" t="s">
        <v>1286</v>
      </c>
      <c r="E70" t="s">
        <v>1287</v>
      </c>
      <c r="F70" t="s">
        <v>1453</v>
      </c>
      <c r="G70" t="s">
        <v>5455</v>
      </c>
      <c r="H70">
        <v>0</v>
      </c>
      <c r="I70">
        <v>0</v>
      </c>
    </row>
    <row r="71" spans="1:9" x14ac:dyDescent="0.3">
      <c r="A71" t="s">
        <v>1454</v>
      </c>
      <c r="B71" t="s">
        <v>1455</v>
      </c>
      <c r="C71" t="s">
        <v>1427</v>
      </c>
      <c r="D71" t="s">
        <v>1286</v>
      </c>
      <c r="E71" t="s">
        <v>1287</v>
      </c>
      <c r="F71" t="s">
        <v>1456</v>
      </c>
      <c r="G71" t="s">
        <v>5456</v>
      </c>
      <c r="H71" t="s">
        <v>1441</v>
      </c>
      <c r="I71">
        <v>0</v>
      </c>
    </row>
    <row r="72" spans="1:9" x14ac:dyDescent="0.3">
      <c r="A72" t="s">
        <v>1457</v>
      </c>
      <c r="B72" t="s">
        <v>1458</v>
      </c>
      <c r="C72" t="s">
        <v>1427</v>
      </c>
      <c r="D72" t="s">
        <v>1286</v>
      </c>
      <c r="E72" t="s">
        <v>1287</v>
      </c>
      <c r="F72" t="s">
        <v>1459</v>
      </c>
      <c r="G72" t="s">
        <v>5457</v>
      </c>
      <c r="H72">
        <v>0</v>
      </c>
      <c r="I72">
        <v>0</v>
      </c>
    </row>
    <row r="73" spans="1:9" x14ac:dyDescent="0.3">
      <c r="A73" t="s">
        <v>1460</v>
      </c>
      <c r="B73" t="s">
        <v>1461</v>
      </c>
      <c r="C73" t="s">
        <v>1427</v>
      </c>
      <c r="D73" t="s">
        <v>1286</v>
      </c>
      <c r="E73" t="s">
        <v>1287</v>
      </c>
      <c r="F73" t="s">
        <v>1462</v>
      </c>
      <c r="G73" t="s">
        <v>5458</v>
      </c>
      <c r="H73">
        <v>0</v>
      </c>
      <c r="I73">
        <v>0</v>
      </c>
    </row>
    <row r="74" spans="1:9" x14ac:dyDescent="0.3">
      <c r="A74" t="s">
        <v>1463</v>
      </c>
      <c r="B74" t="s">
        <v>1464</v>
      </c>
      <c r="C74" t="s">
        <v>1427</v>
      </c>
      <c r="D74" t="s">
        <v>1286</v>
      </c>
      <c r="E74" t="s">
        <v>1287</v>
      </c>
      <c r="F74" t="s">
        <v>1465</v>
      </c>
      <c r="G74" t="s">
        <v>5459</v>
      </c>
      <c r="H74">
        <v>0</v>
      </c>
      <c r="I74">
        <v>0</v>
      </c>
    </row>
    <row r="75" spans="1:9" x14ac:dyDescent="0.3">
      <c r="A75" t="s">
        <v>1466</v>
      </c>
      <c r="B75" t="s">
        <v>1467</v>
      </c>
      <c r="C75" t="s">
        <v>1427</v>
      </c>
      <c r="D75" t="s">
        <v>1286</v>
      </c>
      <c r="E75" t="s">
        <v>1287</v>
      </c>
      <c r="F75" t="s">
        <v>1468</v>
      </c>
      <c r="G75" t="s">
        <v>5460</v>
      </c>
      <c r="H75">
        <v>0</v>
      </c>
      <c r="I75">
        <v>0</v>
      </c>
    </row>
    <row r="76" spans="1:9" x14ac:dyDescent="0.3">
      <c r="A76" t="s">
        <v>1469</v>
      </c>
      <c r="B76" t="s">
        <v>1470</v>
      </c>
      <c r="C76" t="s">
        <v>1427</v>
      </c>
      <c r="D76" t="s">
        <v>1286</v>
      </c>
      <c r="E76" t="s">
        <v>1287</v>
      </c>
      <c r="F76" t="s">
        <v>1471</v>
      </c>
      <c r="G76" t="s">
        <v>5461</v>
      </c>
      <c r="H76">
        <v>0</v>
      </c>
      <c r="I76">
        <v>0</v>
      </c>
    </row>
    <row r="77" spans="1:9" x14ac:dyDescent="0.3">
      <c r="A77" t="s">
        <v>1472</v>
      </c>
      <c r="B77" t="s">
        <v>1473</v>
      </c>
      <c r="C77" t="s">
        <v>1427</v>
      </c>
      <c r="D77" t="s">
        <v>1286</v>
      </c>
      <c r="E77" t="s">
        <v>1287</v>
      </c>
      <c r="F77" t="s">
        <v>1474</v>
      </c>
      <c r="G77" t="s">
        <v>5462</v>
      </c>
      <c r="H77">
        <v>0</v>
      </c>
      <c r="I77">
        <v>0</v>
      </c>
    </row>
    <row r="78" spans="1:9" x14ac:dyDescent="0.3">
      <c r="A78" t="s">
        <v>1475</v>
      </c>
      <c r="B78" t="s">
        <v>1476</v>
      </c>
      <c r="C78" t="s">
        <v>1427</v>
      </c>
      <c r="D78" t="s">
        <v>1286</v>
      </c>
      <c r="E78" t="s">
        <v>1287</v>
      </c>
      <c r="F78" t="s">
        <v>1477</v>
      </c>
      <c r="G78" t="s">
        <v>5463</v>
      </c>
      <c r="H78" t="s">
        <v>975</v>
      </c>
      <c r="I78">
        <v>0</v>
      </c>
    </row>
    <row r="79" spans="1:9" x14ac:dyDescent="0.3">
      <c r="A79" t="s">
        <v>1478</v>
      </c>
      <c r="B79" t="s">
        <v>1479</v>
      </c>
      <c r="C79" t="s">
        <v>1427</v>
      </c>
      <c r="D79" t="s">
        <v>1286</v>
      </c>
      <c r="E79" t="s">
        <v>1287</v>
      </c>
      <c r="F79" t="s">
        <v>1480</v>
      </c>
      <c r="G79" t="s">
        <v>5464</v>
      </c>
      <c r="H79">
        <v>0</v>
      </c>
      <c r="I79">
        <v>0</v>
      </c>
    </row>
    <row r="80" spans="1:9" x14ac:dyDescent="0.3">
      <c r="A80" t="s">
        <v>1481</v>
      </c>
      <c r="B80" t="s">
        <v>1482</v>
      </c>
      <c r="C80" t="s">
        <v>1427</v>
      </c>
      <c r="D80" t="s">
        <v>1286</v>
      </c>
      <c r="E80" t="s">
        <v>1287</v>
      </c>
      <c r="F80" t="s">
        <v>1483</v>
      </c>
      <c r="G80" t="s">
        <v>5465</v>
      </c>
      <c r="H80">
        <v>0</v>
      </c>
      <c r="I80">
        <v>0</v>
      </c>
    </row>
    <row r="81" spans="1:9" x14ac:dyDescent="0.3">
      <c r="A81" t="s">
        <v>1484</v>
      </c>
      <c r="B81" t="s">
        <v>1485</v>
      </c>
      <c r="C81" t="s">
        <v>1427</v>
      </c>
      <c r="D81" t="s">
        <v>1286</v>
      </c>
      <c r="E81" t="s">
        <v>1287</v>
      </c>
      <c r="F81" t="s">
        <v>1486</v>
      </c>
      <c r="G81" t="s">
        <v>5466</v>
      </c>
      <c r="H81">
        <v>0</v>
      </c>
      <c r="I81">
        <v>0</v>
      </c>
    </row>
    <row r="82" spans="1:9" x14ac:dyDescent="0.3">
      <c r="A82" t="s">
        <v>1487</v>
      </c>
      <c r="B82" t="s">
        <v>1488</v>
      </c>
      <c r="C82" t="s">
        <v>1427</v>
      </c>
      <c r="D82" t="s">
        <v>1286</v>
      </c>
      <c r="E82" t="s">
        <v>1287</v>
      </c>
      <c r="F82" t="s">
        <v>1489</v>
      </c>
      <c r="G82" t="s">
        <v>5467</v>
      </c>
      <c r="H82">
        <v>0</v>
      </c>
      <c r="I82">
        <v>0</v>
      </c>
    </row>
    <row r="83" spans="1:9" x14ac:dyDescent="0.3">
      <c r="A83" t="s">
        <v>1490</v>
      </c>
      <c r="B83" t="s">
        <v>1491</v>
      </c>
      <c r="C83" t="s">
        <v>1427</v>
      </c>
      <c r="D83" t="s">
        <v>1286</v>
      </c>
      <c r="E83" t="s">
        <v>1287</v>
      </c>
      <c r="F83" t="s">
        <v>1492</v>
      </c>
      <c r="G83" t="s">
        <v>5468</v>
      </c>
      <c r="H83">
        <v>0</v>
      </c>
      <c r="I83">
        <v>0</v>
      </c>
    </row>
    <row r="84" spans="1:9" x14ac:dyDescent="0.3">
      <c r="A84" t="s">
        <v>1493</v>
      </c>
      <c r="B84" t="s">
        <v>1494</v>
      </c>
      <c r="C84" t="s">
        <v>1427</v>
      </c>
      <c r="D84" t="s">
        <v>1286</v>
      </c>
      <c r="E84" t="s">
        <v>1287</v>
      </c>
      <c r="F84" t="s">
        <v>1495</v>
      </c>
      <c r="G84" t="s">
        <v>5469</v>
      </c>
      <c r="H84">
        <v>0</v>
      </c>
      <c r="I84">
        <v>0</v>
      </c>
    </row>
    <row r="85" spans="1:9" x14ac:dyDescent="0.3">
      <c r="A85" t="s">
        <v>1496</v>
      </c>
      <c r="B85" t="s">
        <v>1497</v>
      </c>
      <c r="C85" t="s">
        <v>1427</v>
      </c>
      <c r="D85" t="s">
        <v>1286</v>
      </c>
      <c r="E85" t="s">
        <v>1287</v>
      </c>
      <c r="F85" t="s">
        <v>1498</v>
      </c>
      <c r="G85" t="s">
        <v>5470</v>
      </c>
      <c r="H85">
        <v>0</v>
      </c>
      <c r="I85">
        <v>0</v>
      </c>
    </row>
    <row r="86" spans="1:9" x14ac:dyDescent="0.3">
      <c r="A86" t="s">
        <v>1499</v>
      </c>
      <c r="B86" t="s">
        <v>1500</v>
      </c>
      <c r="C86" t="s">
        <v>1427</v>
      </c>
      <c r="D86" t="s">
        <v>1286</v>
      </c>
      <c r="E86" t="s">
        <v>1287</v>
      </c>
      <c r="F86" t="s">
        <v>1501</v>
      </c>
      <c r="G86" t="s">
        <v>5471</v>
      </c>
      <c r="H86">
        <v>0</v>
      </c>
      <c r="I86">
        <v>0</v>
      </c>
    </row>
    <row r="87" spans="1:9" x14ac:dyDescent="0.3">
      <c r="A87" t="s">
        <v>1502</v>
      </c>
      <c r="B87" t="s">
        <v>1503</v>
      </c>
      <c r="C87" t="s">
        <v>1504</v>
      </c>
      <c r="D87" t="s">
        <v>1505</v>
      </c>
      <c r="E87" t="s">
        <v>1236</v>
      </c>
      <c r="F87" t="s">
        <v>1506</v>
      </c>
      <c r="G87" t="s">
        <v>5472</v>
      </c>
      <c r="H87">
        <v>0</v>
      </c>
      <c r="I87">
        <v>0</v>
      </c>
    </row>
    <row r="88" spans="1:9" x14ac:dyDescent="0.3">
      <c r="A88" t="s">
        <v>1507</v>
      </c>
      <c r="B88" t="s">
        <v>1508</v>
      </c>
      <c r="C88" t="s">
        <v>1504</v>
      </c>
      <c r="D88" t="s">
        <v>1505</v>
      </c>
      <c r="E88" t="s">
        <v>1236</v>
      </c>
      <c r="F88" t="s">
        <v>1509</v>
      </c>
      <c r="G88" t="s">
        <v>5473</v>
      </c>
      <c r="H88" t="s">
        <v>181</v>
      </c>
      <c r="I88">
        <v>0</v>
      </c>
    </row>
    <row r="89" spans="1:9" x14ac:dyDescent="0.3">
      <c r="A89" t="s">
        <v>1510</v>
      </c>
      <c r="B89" t="s">
        <v>1511</v>
      </c>
      <c r="C89" t="s">
        <v>1504</v>
      </c>
      <c r="D89" t="s">
        <v>1505</v>
      </c>
      <c r="E89" t="s">
        <v>1236</v>
      </c>
      <c r="F89" t="s">
        <v>1512</v>
      </c>
      <c r="G89" t="s">
        <v>5474</v>
      </c>
      <c r="H89">
        <v>0</v>
      </c>
      <c r="I89">
        <v>0</v>
      </c>
    </row>
    <row r="90" spans="1:9" x14ac:dyDescent="0.3">
      <c r="A90" t="s">
        <v>1513</v>
      </c>
      <c r="B90" t="s">
        <v>1514</v>
      </c>
      <c r="C90" t="s">
        <v>1504</v>
      </c>
      <c r="D90" t="s">
        <v>1505</v>
      </c>
      <c r="E90" t="s">
        <v>1236</v>
      </c>
      <c r="F90" t="s">
        <v>1515</v>
      </c>
      <c r="G90" t="s">
        <v>5475</v>
      </c>
      <c r="H90">
        <v>0</v>
      </c>
      <c r="I90">
        <v>0</v>
      </c>
    </row>
    <row r="91" spans="1:9" x14ac:dyDescent="0.3">
      <c r="A91" t="s">
        <v>1516</v>
      </c>
      <c r="B91" t="s">
        <v>1517</v>
      </c>
      <c r="C91" t="s">
        <v>1504</v>
      </c>
      <c r="D91" t="s">
        <v>1505</v>
      </c>
      <c r="E91" t="s">
        <v>1236</v>
      </c>
      <c r="F91" t="s">
        <v>1518</v>
      </c>
      <c r="G91" t="s">
        <v>5476</v>
      </c>
      <c r="H91" t="s">
        <v>84</v>
      </c>
      <c r="I91">
        <v>0</v>
      </c>
    </row>
    <row r="92" spans="1:9" x14ac:dyDescent="0.3">
      <c r="A92" t="s">
        <v>1519</v>
      </c>
      <c r="B92" t="s">
        <v>1520</v>
      </c>
      <c r="C92" t="s">
        <v>1504</v>
      </c>
      <c r="D92" t="s">
        <v>1505</v>
      </c>
      <c r="E92" t="s">
        <v>1236</v>
      </c>
      <c r="F92" t="s">
        <v>1521</v>
      </c>
      <c r="G92" t="s">
        <v>5477</v>
      </c>
      <c r="H92" t="s">
        <v>84</v>
      </c>
      <c r="I92">
        <v>0</v>
      </c>
    </row>
    <row r="93" spans="1:9" x14ac:dyDescent="0.3">
      <c r="A93" t="s">
        <v>1522</v>
      </c>
      <c r="B93" t="s">
        <v>1523</v>
      </c>
      <c r="C93" t="s">
        <v>1504</v>
      </c>
      <c r="D93" t="s">
        <v>1505</v>
      </c>
      <c r="E93" t="s">
        <v>1236</v>
      </c>
      <c r="F93" t="s">
        <v>1524</v>
      </c>
      <c r="G93" t="s">
        <v>5478</v>
      </c>
      <c r="H93" t="s">
        <v>181</v>
      </c>
      <c r="I93">
        <v>0</v>
      </c>
    </row>
    <row r="94" spans="1:9" x14ac:dyDescent="0.3">
      <c r="A94" t="s">
        <v>1525</v>
      </c>
      <c r="B94" t="s">
        <v>1526</v>
      </c>
      <c r="C94" t="s">
        <v>1504</v>
      </c>
      <c r="D94" t="s">
        <v>1505</v>
      </c>
      <c r="E94" t="s">
        <v>1236</v>
      </c>
      <c r="F94" t="s">
        <v>1527</v>
      </c>
      <c r="G94" t="s">
        <v>5479</v>
      </c>
      <c r="H94" t="s">
        <v>181</v>
      </c>
      <c r="I94">
        <v>0</v>
      </c>
    </row>
    <row r="95" spans="1:9" x14ac:dyDescent="0.3">
      <c r="A95" t="s">
        <v>1528</v>
      </c>
      <c r="B95" t="s">
        <v>1529</v>
      </c>
      <c r="C95" t="s">
        <v>1504</v>
      </c>
      <c r="D95" t="s">
        <v>1505</v>
      </c>
      <c r="E95" t="s">
        <v>1236</v>
      </c>
      <c r="F95" t="s">
        <v>1530</v>
      </c>
      <c r="G95" t="s">
        <v>5480</v>
      </c>
      <c r="H95" t="s">
        <v>1531</v>
      </c>
      <c r="I95">
        <v>0</v>
      </c>
    </row>
    <row r="96" spans="1:9" x14ac:dyDescent="0.3">
      <c r="A96" t="s">
        <v>1532</v>
      </c>
      <c r="B96" t="s">
        <v>1533</v>
      </c>
      <c r="C96" t="s">
        <v>1504</v>
      </c>
      <c r="D96" t="s">
        <v>1505</v>
      </c>
      <c r="E96" t="s">
        <v>1236</v>
      </c>
      <c r="F96" t="s">
        <v>1534</v>
      </c>
      <c r="G96" t="s">
        <v>5481</v>
      </c>
      <c r="H96">
        <v>0</v>
      </c>
      <c r="I96">
        <v>0</v>
      </c>
    </row>
    <row r="97" spans="1:9" x14ac:dyDescent="0.3">
      <c r="A97" t="s">
        <v>1535</v>
      </c>
      <c r="B97" t="s">
        <v>1536</v>
      </c>
      <c r="C97" t="s">
        <v>1504</v>
      </c>
      <c r="D97" t="s">
        <v>1505</v>
      </c>
      <c r="E97" t="s">
        <v>1236</v>
      </c>
      <c r="F97" t="s">
        <v>1537</v>
      </c>
      <c r="G97" t="s">
        <v>5482</v>
      </c>
      <c r="H97" t="s">
        <v>1538</v>
      </c>
      <c r="I97">
        <v>0</v>
      </c>
    </row>
    <row r="98" spans="1:9" x14ac:dyDescent="0.3">
      <c r="A98" t="s">
        <v>1539</v>
      </c>
      <c r="B98" t="s">
        <v>1540</v>
      </c>
      <c r="C98" t="s">
        <v>1504</v>
      </c>
      <c r="D98" t="s">
        <v>1505</v>
      </c>
      <c r="E98" t="s">
        <v>1236</v>
      </c>
      <c r="F98" t="s">
        <v>1541</v>
      </c>
      <c r="G98" t="s">
        <v>5483</v>
      </c>
      <c r="H98">
        <v>0</v>
      </c>
      <c r="I98">
        <v>0</v>
      </c>
    </row>
    <row r="99" spans="1:9" x14ac:dyDescent="0.3">
      <c r="A99" t="s">
        <v>1542</v>
      </c>
      <c r="B99" t="s">
        <v>1543</v>
      </c>
      <c r="C99" t="s">
        <v>1504</v>
      </c>
      <c r="D99" t="s">
        <v>1505</v>
      </c>
      <c r="E99" t="s">
        <v>1236</v>
      </c>
      <c r="F99" t="s">
        <v>1544</v>
      </c>
      <c r="G99" t="s">
        <v>5484</v>
      </c>
      <c r="H99">
        <v>0</v>
      </c>
      <c r="I99">
        <v>0</v>
      </c>
    </row>
    <row r="100" spans="1:9" x14ac:dyDescent="0.3">
      <c r="A100" t="s">
        <v>1545</v>
      </c>
      <c r="B100" t="s">
        <v>1546</v>
      </c>
      <c r="C100" t="s">
        <v>1504</v>
      </c>
      <c r="D100" t="s">
        <v>1505</v>
      </c>
      <c r="E100" t="s">
        <v>1236</v>
      </c>
      <c r="F100" t="s">
        <v>1547</v>
      </c>
      <c r="G100" t="s">
        <v>5485</v>
      </c>
      <c r="H100">
        <v>0</v>
      </c>
      <c r="I100">
        <v>0</v>
      </c>
    </row>
    <row r="101" spans="1:9" x14ac:dyDescent="0.3">
      <c r="A101" t="s">
        <v>1548</v>
      </c>
      <c r="B101" t="s">
        <v>1549</v>
      </c>
      <c r="C101" t="s">
        <v>1504</v>
      </c>
      <c r="D101" t="s">
        <v>1505</v>
      </c>
      <c r="E101" t="s">
        <v>1236</v>
      </c>
      <c r="F101" t="s">
        <v>1550</v>
      </c>
      <c r="G101" t="s">
        <v>5486</v>
      </c>
      <c r="H101">
        <v>0</v>
      </c>
      <c r="I101">
        <v>0</v>
      </c>
    </row>
    <row r="102" spans="1:9" x14ac:dyDescent="0.3">
      <c r="A102" t="s">
        <v>1551</v>
      </c>
      <c r="B102" t="s">
        <v>1552</v>
      </c>
      <c r="C102" t="s">
        <v>1504</v>
      </c>
      <c r="D102" t="s">
        <v>1505</v>
      </c>
      <c r="E102" t="s">
        <v>1236</v>
      </c>
      <c r="F102" t="s">
        <v>1553</v>
      </c>
      <c r="G102" t="s">
        <v>5487</v>
      </c>
      <c r="H102" t="s">
        <v>181</v>
      </c>
      <c r="I102">
        <v>0</v>
      </c>
    </row>
    <row r="103" spans="1:9" x14ac:dyDescent="0.3">
      <c r="A103" t="s">
        <v>1554</v>
      </c>
      <c r="B103" t="s">
        <v>1555</v>
      </c>
      <c r="C103" t="s">
        <v>1504</v>
      </c>
      <c r="D103" t="s">
        <v>1505</v>
      </c>
      <c r="E103" t="s">
        <v>1236</v>
      </c>
      <c r="F103" t="s">
        <v>1556</v>
      </c>
      <c r="G103" t="s">
        <v>5488</v>
      </c>
      <c r="H103" t="s">
        <v>1531</v>
      </c>
      <c r="I103">
        <v>0</v>
      </c>
    </row>
    <row r="104" spans="1:9" x14ac:dyDescent="0.3">
      <c r="A104" t="s">
        <v>1557</v>
      </c>
      <c r="B104" t="s">
        <v>1558</v>
      </c>
      <c r="C104" t="s">
        <v>1504</v>
      </c>
      <c r="D104" t="s">
        <v>1505</v>
      </c>
      <c r="E104" t="s">
        <v>1236</v>
      </c>
      <c r="F104" t="s">
        <v>1559</v>
      </c>
      <c r="G104" t="s">
        <v>5489</v>
      </c>
      <c r="H104" t="s">
        <v>1531</v>
      </c>
      <c r="I104">
        <v>0</v>
      </c>
    </row>
    <row r="105" spans="1:9" x14ac:dyDescent="0.3">
      <c r="A105" t="s">
        <v>1560</v>
      </c>
      <c r="B105" t="s">
        <v>1561</v>
      </c>
      <c r="C105" t="s">
        <v>1504</v>
      </c>
      <c r="D105" t="s">
        <v>1505</v>
      </c>
      <c r="E105" t="s">
        <v>1236</v>
      </c>
      <c r="F105" t="s">
        <v>1562</v>
      </c>
      <c r="G105" t="s">
        <v>5490</v>
      </c>
      <c r="H105" t="s">
        <v>1538</v>
      </c>
      <c r="I105">
        <v>0</v>
      </c>
    </row>
    <row r="106" spans="1:9" x14ac:dyDescent="0.3">
      <c r="A106" t="s">
        <v>1563</v>
      </c>
      <c r="B106" t="s">
        <v>1564</v>
      </c>
      <c r="C106" t="s">
        <v>1504</v>
      </c>
      <c r="D106" t="s">
        <v>1505</v>
      </c>
      <c r="E106" t="s">
        <v>1236</v>
      </c>
      <c r="F106" t="s">
        <v>1565</v>
      </c>
      <c r="G106" t="s">
        <v>5491</v>
      </c>
      <c r="H106">
        <v>0</v>
      </c>
      <c r="I106">
        <v>0</v>
      </c>
    </row>
    <row r="107" spans="1:9" x14ac:dyDescent="0.3">
      <c r="A107" t="s">
        <v>1566</v>
      </c>
      <c r="B107" t="s">
        <v>1567</v>
      </c>
      <c r="C107" t="s">
        <v>1504</v>
      </c>
      <c r="D107" t="s">
        <v>1505</v>
      </c>
      <c r="E107" t="s">
        <v>1236</v>
      </c>
      <c r="F107" t="s">
        <v>1568</v>
      </c>
      <c r="G107" t="s">
        <v>5492</v>
      </c>
      <c r="H107">
        <v>0</v>
      </c>
      <c r="I107">
        <v>0</v>
      </c>
    </row>
    <row r="108" spans="1:9" x14ac:dyDescent="0.3">
      <c r="A108" t="s">
        <v>1569</v>
      </c>
      <c r="B108" t="s">
        <v>1570</v>
      </c>
      <c r="C108" t="s">
        <v>1504</v>
      </c>
      <c r="D108" t="s">
        <v>1505</v>
      </c>
      <c r="E108" t="s">
        <v>1236</v>
      </c>
      <c r="F108" t="s">
        <v>1571</v>
      </c>
      <c r="G108" t="s">
        <v>5493</v>
      </c>
      <c r="H108">
        <v>0</v>
      </c>
      <c r="I108">
        <v>0</v>
      </c>
    </row>
    <row r="109" spans="1:9" x14ac:dyDescent="0.3">
      <c r="A109" t="s">
        <v>1572</v>
      </c>
      <c r="B109" t="s">
        <v>1573</v>
      </c>
      <c r="C109" t="s">
        <v>1504</v>
      </c>
      <c r="D109" t="s">
        <v>1505</v>
      </c>
      <c r="E109" t="s">
        <v>1236</v>
      </c>
      <c r="F109" t="s">
        <v>1574</v>
      </c>
      <c r="G109" t="s">
        <v>5494</v>
      </c>
      <c r="H109">
        <v>0</v>
      </c>
      <c r="I109">
        <v>0</v>
      </c>
    </row>
    <row r="110" spans="1:9" x14ac:dyDescent="0.3">
      <c r="A110" t="s">
        <v>1575</v>
      </c>
      <c r="B110" t="s">
        <v>1576</v>
      </c>
      <c r="C110" t="s">
        <v>1504</v>
      </c>
      <c r="D110" t="s">
        <v>1505</v>
      </c>
      <c r="E110" t="s">
        <v>1236</v>
      </c>
      <c r="F110" t="s">
        <v>1577</v>
      </c>
      <c r="G110" t="s">
        <v>5495</v>
      </c>
      <c r="H110" t="s">
        <v>181</v>
      </c>
      <c r="I110">
        <v>0</v>
      </c>
    </row>
    <row r="111" spans="1:9" x14ac:dyDescent="0.3">
      <c r="A111" t="s">
        <v>1578</v>
      </c>
      <c r="B111" t="s">
        <v>1579</v>
      </c>
      <c r="C111" t="s">
        <v>1504</v>
      </c>
      <c r="D111" t="s">
        <v>1505</v>
      </c>
      <c r="E111" t="s">
        <v>1236</v>
      </c>
      <c r="F111" t="s">
        <v>1580</v>
      </c>
      <c r="G111" t="s">
        <v>5496</v>
      </c>
      <c r="H111" t="s">
        <v>84</v>
      </c>
      <c r="I111">
        <v>0</v>
      </c>
    </row>
    <row r="112" spans="1:9" x14ac:dyDescent="0.3">
      <c r="A112" t="s">
        <v>1581</v>
      </c>
      <c r="B112" t="s">
        <v>1582</v>
      </c>
      <c r="C112" t="s">
        <v>1504</v>
      </c>
      <c r="D112" t="s">
        <v>1505</v>
      </c>
      <c r="E112" t="s">
        <v>1236</v>
      </c>
      <c r="F112" t="s">
        <v>1583</v>
      </c>
      <c r="G112" t="s">
        <v>5497</v>
      </c>
      <c r="H112">
        <v>0</v>
      </c>
      <c r="I112">
        <v>0</v>
      </c>
    </row>
    <row r="113" spans="1:9" x14ac:dyDescent="0.3">
      <c r="A113" t="s">
        <v>1584</v>
      </c>
      <c r="B113" t="s">
        <v>1585</v>
      </c>
      <c r="C113" t="s">
        <v>1504</v>
      </c>
      <c r="D113" t="s">
        <v>1505</v>
      </c>
      <c r="E113" t="s">
        <v>1236</v>
      </c>
      <c r="F113" t="s">
        <v>1586</v>
      </c>
      <c r="G113" t="s">
        <v>5498</v>
      </c>
      <c r="H113">
        <v>0</v>
      </c>
      <c r="I113">
        <v>0</v>
      </c>
    </row>
    <row r="114" spans="1:9" x14ac:dyDescent="0.3">
      <c r="A114" t="s">
        <v>1587</v>
      </c>
      <c r="B114" t="s">
        <v>1588</v>
      </c>
      <c r="C114" t="s">
        <v>1504</v>
      </c>
      <c r="D114" t="s">
        <v>1505</v>
      </c>
      <c r="E114" t="s">
        <v>1236</v>
      </c>
      <c r="F114" t="s">
        <v>1589</v>
      </c>
      <c r="G114" t="s">
        <v>5499</v>
      </c>
      <c r="H114">
        <v>0</v>
      </c>
      <c r="I114">
        <v>0</v>
      </c>
    </row>
    <row r="115" spans="1:9" x14ac:dyDescent="0.3">
      <c r="A115" t="s">
        <v>1590</v>
      </c>
      <c r="B115" t="s">
        <v>1591</v>
      </c>
      <c r="C115" t="s">
        <v>1504</v>
      </c>
      <c r="D115" t="s">
        <v>1505</v>
      </c>
      <c r="E115" t="s">
        <v>1236</v>
      </c>
      <c r="F115" t="s">
        <v>1592</v>
      </c>
      <c r="G115" t="s">
        <v>5500</v>
      </c>
      <c r="H115">
        <v>0</v>
      </c>
      <c r="I115">
        <v>0</v>
      </c>
    </row>
    <row r="116" spans="1:9" x14ac:dyDescent="0.3">
      <c r="A116" t="s">
        <v>1593</v>
      </c>
      <c r="B116" t="s">
        <v>1594</v>
      </c>
      <c r="C116" t="s">
        <v>1504</v>
      </c>
      <c r="D116" t="s">
        <v>1505</v>
      </c>
      <c r="E116" t="s">
        <v>1236</v>
      </c>
      <c r="F116" t="s">
        <v>1595</v>
      </c>
      <c r="G116" t="s">
        <v>5501</v>
      </c>
      <c r="H116">
        <v>0</v>
      </c>
      <c r="I116">
        <v>0</v>
      </c>
    </row>
    <row r="117" spans="1:9" x14ac:dyDescent="0.3">
      <c r="A117" t="s">
        <v>1596</v>
      </c>
      <c r="B117" t="s">
        <v>1597</v>
      </c>
      <c r="C117" t="s">
        <v>1598</v>
      </c>
      <c r="D117" t="s">
        <v>1599</v>
      </c>
      <c r="E117" t="s">
        <v>1236</v>
      </c>
      <c r="F117" t="s">
        <v>1600</v>
      </c>
      <c r="G117" t="s">
        <v>5502</v>
      </c>
      <c r="H117">
        <v>0</v>
      </c>
      <c r="I117" t="s">
        <v>1601</v>
      </c>
    </row>
    <row r="118" spans="1:9" x14ac:dyDescent="0.3">
      <c r="A118" t="s">
        <v>1602</v>
      </c>
      <c r="B118" t="s">
        <v>1603</v>
      </c>
      <c r="C118" t="s">
        <v>1598</v>
      </c>
      <c r="D118" t="s">
        <v>1599</v>
      </c>
      <c r="E118" t="s">
        <v>1236</v>
      </c>
      <c r="F118" t="s">
        <v>1600</v>
      </c>
      <c r="G118" t="s">
        <v>5502</v>
      </c>
      <c r="H118">
        <v>0</v>
      </c>
      <c r="I118" t="s">
        <v>1601</v>
      </c>
    </row>
    <row r="119" spans="1:9" x14ac:dyDescent="0.3">
      <c r="A119" t="s">
        <v>1604</v>
      </c>
      <c r="B119" t="s">
        <v>1605</v>
      </c>
      <c r="C119" t="s">
        <v>1598</v>
      </c>
      <c r="D119" t="s">
        <v>1599</v>
      </c>
      <c r="E119" t="s">
        <v>1236</v>
      </c>
      <c r="F119" t="s">
        <v>1606</v>
      </c>
      <c r="G119" t="s">
        <v>5503</v>
      </c>
      <c r="H119">
        <v>0</v>
      </c>
      <c r="I119">
        <v>0</v>
      </c>
    </row>
    <row r="120" spans="1:9" x14ac:dyDescent="0.3">
      <c r="A120" t="s">
        <v>1607</v>
      </c>
      <c r="B120" t="s">
        <v>1608</v>
      </c>
      <c r="C120" t="s">
        <v>1598</v>
      </c>
      <c r="D120" t="s">
        <v>1599</v>
      </c>
      <c r="E120" t="s">
        <v>1236</v>
      </c>
      <c r="F120" t="s">
        <v>1609</v>
      </c>
      <c r="G120" t="s">
        <v>5504</v>
      </c>
      <c r="H120">
        <v>0</v>
      </c>
      <c r="I120" t="s">
        <v>1610</v>
      </c>
    </row>
    <row r="121" spans="1:9" x14ac:dyDescent="0.3">
      <c r="A121" t="s">
        <v>1611</v>
      </c>
      <c r="B121" t="s">
        <v>1612</v>
      </c>
      <c r="C121" t="s">
        <v>1598</v>
      </c>
      <c r="D121" t="s">
        <v>1599</v>
      </c>
      <c r="E121" t="s">
        <v>1236</v>
      </c>
      <c r="F121" t="s">
        <v>1613</v>
      </c>
      <c r="G121" t="s">
        <v>5505</v>
      </c>
      <c r="H121">
        <v>0</v>
      </c>
      <c r="I121">
        <v>0</v>
      </c>
    </row>
    <row r="122" spans="1:9" x14ac:dyDescent="0.3">
      <c r="A122" t="s">
        <v>1614</v>
      </c>
      <c r="B122" t="s">
        <v>1615</v>
      </c>
      <c r="C122" t="s">
        <v>1598</v>
      </c>
      <c r="D122" t="s">
        <v>1599</v>
      </c>
      <c r="E122" t="s">
        <v>1236</v>
      </c>
      <c r="F122" t="s">
        <v>1600</v>
      </c>
      <c r="G122" t="s">
        <v>5502</v>
      </c>
      <c r="H122">
        <v>0</v>
      </c>
      <c r="I122" t="s">
        <v>1601</v>
      </c>
    </row>
    <row r="123" spans="1:9" x14ac:dyDescent="0.3">
      <c r="A123" t="s">
        <v>1616</v>
      </c>
      <c r="B123" t="s">
        <v>1617</v>
      </c>
      <c r="C123" t="s">
        <v>1598</v>
      </c>
      <c r="D123" t="s">
        <v>1599</v>
      </c>
      <c r="E123" t="s">
        <v>1236</v>
      </c>
      <c r="F123" t="s">
        <v>1600</v>
      </c>
      <c r="G123" t="s">
        <v>5502</v>
      </c>
      <c r="H123">
        <v>0</v>
      </c>
      <c r="I123" t="s">
        <v>1601</v>
      </c>
    </row>
    <row r="124" spans="1:9" x14ac:dyDescent="0.3">
      <c r="A124" t="s">
        <v>1618</v>
      </c>
      <c r="B124" t="s">
        <v>1619</v>
      </c>
      <c r="C124" t="s">
        <v>1598</v>
      </c>
      <c r="D124" t="s">
        <v>1599</v>
      </c>
      <c r="E124" t="s">
        <v>1236</v>
      </c>
      <c r="F124" t="s">
        <v>1620</v>
      </c>
      <c r="G124" t="s">
        <v>5506</v>
      </c>
      <c r="H124">
        <v>0</v>
      </c>
      <c r="I124">
        <v>0</v>
      </c>
    </row>
    <row r="125" spans="1:9" x14ac:dyDescent="0.3">
      <c r="A125" t="s">
        <v>1621</v>
      </c>
      <c r="B125" t="s">
        <v>1622</v>
      </c>
      <c r="C125" t="s">
        <v>1598</v>
      </c>
      <c r="D125" t="s">
        <v>1599</v>
      </c>
      <c r="E125" t="s">
        <v>1236</v>
      </c>
      <c r="F125" t="s">
        <v>1623</v>
      </c>
      <c r="G125" t="s">
        <v>5507</v>
      </c>
      <c r="H125">
        <v>0</v>
      </c>
      <c r="I125">
        <v>0</v>
      </c>
    </row>
    <row r="126" spans="1:9" x14ac:dyDescent="0.3">
      <c r="A126" t="s">
        <v>1624</v>
      </c>
      <c r="B126" t="s">
        <v>1625</v>
      </c>
      <c r="C126" t="s">
        <v>1598</v>
      </c>
      <c r="D126" t="s">
        <v>1599</v>
      </c>
      <c r="E126" t="s">
        <v>1236</v>
      </c>
      <c r="F126" t="s">
        <v>1600</v>
      </c>
      <c r="G126" t="s">
        <v>5502</v>
      </c>
      <c r="H126">
        <v>0</v>
      </c>
      <c r="I126" t="s">
        <v>1601</v>
      </c>
    </row>
    <row r="127" spans="1:9" x14ac:dyDescent="0.3">
      <c r="A127" t="s">
        <v>1626</v>
      </c>
      <c r="B127" t="s">
        <v>1627</v>
      </c>
      <c r="C127" t="s">
        <v>1598</v>
      </c>
      <c r="D127" t="s">
        <v>1599</v>
      </c>
      <c r="E127" t="s">
        <v>1236</v>
      </c>
      <c r="F127" t="s">
        <v>1628</v>
      </c>
      <c r="G127" t="s">
        <v>5508</v>
      </c>
      <c r="H127">
        <v>0</v>
      </c>
      <c r="I127" t="s">
        <v>1629</v>
      </c>
    </row>
    <row r="128" spans="1:9" x14ac:dyDescent="0.3">
      <c r="A128" t="s">
        <v>1630</v>
      </c>
      <c r="B128" t="s">
        <v>1631</v>
      </c>
      <c r="C128" t="s">
        <v>1598</v>
      </c>
      <c r="D128" t="s">
        <v>1599</v>
      </c>
      <c r="E128" t="s">
        <v>1236</v>
      </c>
      <c r="F128" t="s">
        <v>1632</v>
      </c>
      <c r="G128" t="s">
        <v>5509</v>
      </c>
      <c r="H128">
        <v>0</v>
      </c>
      <c r="I128" t="s">
        <v>1634</v>
      </c>
    </row>
    <row r="129" spans="1:9" x14ac:dyDescent="0.3">
      <c r="A129" t="s">
        <v>1635</v>
      </c>
      <c r="B129" t="s">
        <v>1636</v>
      </c>
      <c r="C129" t="s">
        <v>1598</v>
      </c>
      <c r="D129" t="s">
        <v>1599</v>
      </c>
      <c r="E129" t="s">
        <v>1236</v>
      </c>
      <c r="F129" t="s">
        <v>1600</v>
      </c>
      <c r="G129" t="s">
        <v>5502</v>
      </c>
      <c r="H129">
        <v>0</v>
      </c>
      <c r="I129" t="s">
        <v>1601</v>
      </c>
    </row>
    <row r="130" spans="1:9" x14ac:dyDescent="0.3">
      <c r="A130" t="s">
        <v>1637</v>
      </c>
      <c r="B130" t="s">
        <v>1638</v>
      </c>
      <c r="C130" t="s">
        <v>1598</v>
      </c>
      <c r="D130" t="s">
        <v>1599</v>
      </c>
      <c r="E130" t="s">
        <v>1236</v>
      </c>
      <c r="F130" t="s">
        <v>1609</v>
      </c>
      <c r="G130" t="s">
        <v>5504</v>
      </c>
      <c r="H130">
        <v>0</v>
      </c>
      <c r="I130" t="s">
        <v>1610</v>
      </c>
    </row>
    <row r="131" spans="1:9" x14ac:dyDescent="0.3">
      <c r="A131" t="s">
        <v>1639</v>
      </c>
      <c r="B131" t="s">
        <v>1640</v>
      </c>
      <c r="C131" t="s">
        <v>1641</v>
      </c>
      <c r="D131" t="s">
        <v>1235</v>
      </c>
      <c r="E131" t="s">
        <v>1236</v>
      </c>
      <c r="F131" t="s">
        <v>1642</v>
      </c>
      <c r="G131" t="s">
        <v>5510</v>
      </c>
      <c r="H131" t="s">
        <v>1643</v>
      </c>
      <c r="I131">
        <v>0</v>
      </c>
    </row>
    <row r="132" spans="1:9" x14ac:dyDescent="0.3">
      <c r="A132" t="s">
        <v>1644</v>
      </c>
      <c r="B132" t="s">
        <v>1645</v>
      </c>
      <c r="C132" t="s">
        <v>1641</v>
      </c>
      <c r="D132" t="s">
        <v>1235</v>
      </c>
      <c r="E132" t="s">
        <v>1236</v>
      </c>
      <c r="F132" t="s">
        <v>1646</v>
      </c>
      <c r="G132" t="s">
        <v>5511</v>
      </c>
      <c r="H132" t="s">
        <v>1643</v>
      </c>
      <c r="I132">
        <v>0</v>
      </c>
    </row>
    <row r="133" spans="1:9" x14ac:dyDescent="0.3">
      <c r="A133" t="s">
        <v>1647</v>
      </c>
      <c r="B133" t="s">
        <v>1648</v>
      </c>
      <c r="C133" t="s">
        <v>1641</v>
      </c>
      <c r="D133" t="s">
        <v>1235</v>
      </c>
      <c r="E133" t="s">
        <v>1236</v>
      </c>
      <c r="F133" t="s">
        <v>1649</v>
      </c>
      <c r="G133" t="s">
        <v>5512</v>
      </c>
      <c r="H133" t="s">
        <v>981</v>
      </c>
      <c r="I133">
        <v>0</v>
      </c>
    </row>
    <row r="134" spans="1:9" x14ac:dyDescent="0.3">
      <c r="A134" t="s">
        <v>1650</v>
      </c>
      <c r="B134" t="s">
        <v>1651</v>
      </c>
      <c r="C134" t="s">
        <v>1641</v>
      </c>
      <c r="D134" t="s">
        <v>1235</v>
      </c>
      <c r="E134" t="s">
        <v>1236</v>
      </c>
      <c r="F134" t="s">
        <v>1652</v>
      </c>
      <c r="G134" t="s">
        <v>5513</v>
      </c>
      <c r="H134" t="s">
        <v>1643</v>
      </c>
      <c r="I134">
        <v>0</v>
      </c>
    </row>
    <row r="135" spans="1:9" x14ac:dyDescent="0.3">
      <c r="A135" t="s">
        <v>1653</v>
      </c>
      <c r="B135" t="s">
        <v>1654</v>
      </c>
      <c r="C135" t="s">
        <v>1641</v>
      </c>
      <c r="D135" t="s">
        <v>1235</v>
      </c>
      <c r="E135" t="s">
        <v>1236</v>
      </c>
      <c r="F135" t="s">
        <v>1655</v>
      </c>
      <c r="G135" t="s">
        <v>5514</v>
      </c>
      <c r="H135" t="s">
        <v>1656</v>
      </c>
      <c r="I135">
        <v>0</v>
      </c>
    </row>
    <row r="136" spans="1:9" x14ac:dyDescent="0.3">
      <c r="A136" t="s">
        <v>1657</v>
      </c>
      <c r="B136" t="s">
        <v>1658</v>
      </c>
      <c r="C136" t="s">
        <v>1641</v>
      </c>
      <c r="D136" t="s">
        <v>1235</v>
      </c>
      <c r="E136" t="s">
        <v>1236</v>
      </c>
      <c r="F136" t="s">
        <v>1659</v>
      </c>
      <c r="G136" t="s">
        <v>5515</v>
      </c>
      <c r="H136" t="s">
        <v>1660</v>
      </c>
      <c r="I136" t="s">
        <v>1661</v>
      </c>
    </row>
    <row r="137" spans="1:9" x14ac:dyDescent="0.3">
      <c r="A137" t="s">
        <v>1662</v>
      </c>
      <c r="B137" t="s">
        <v>1663</v>
      </c>
      <c r="C137" t="s">
        <v>1641</v>
      </c>
      <c r="D137" t="s">
        <v>1235</v>
      </c>
      <c r="E137" t="s">
        <v>1236</v>
      </c>
      <c r="F137" t="s">
        <v>1664</v>
      </c>
      <c r="G137" t="s">
        <v>5516</v>
      </c>
      <c r="H137" t="s">
        <v>981</v>
      </c>
      <c r="I137">
        <v>0</v>
      </c>
    </row>
    <row r="138" spans="1:9" x14ac:dyDescent="0.3">
      <c r="A138" t="s">
        <v>1665</v>
      </c>
      <c r="B138" t="s">
        <v>1666</v>
      </c>
      <c r="C138" t="s">
        <v>1641</v>
      </c>
      <c r="D138" t="s">
        <v>1235</v>
      </c>
      <c r="E138" t="s">
        <v>1236</v>
      </c>
      <c r="F138" t="s">
        <v>1667</v>
      </c>
      <c r="G138" t="s">
        <v>5517</v>
      </c>
      <c r="H138">
        <v>0</v>
      </c>
      <c r="I138">
        <v>0</v>
      </c>
    </row>
    <row r="139" spans="1:9" x14ac:dyDescent="0.3">
      <c r="A139" t="s">
        <v>1668</v>
      </c>
      <c r="B139" t="s">
        <v>1669</v>
      </c>
      <c r="C139" t="s">
        <v>1641</v>
      </c>
      <c r="D139" t="s">
        <v>1235</v>
      </c>
      <c r="E139" t="s">
        <v>1236</v>
      </c>
      <c r="F139" t="s">
        <v>1670</v>
      </c>
      <c r="G139" t="s">
        <v>5518</v>
      </c>
      <c r="H139" t="s">
        <v>981</v>
      </c>
      <c r="I139">
        <v>0</v>
      </c>
    </row>
    <row r="140" spans="1:9" x14ac:dyDescent="0.3">
      <c r="A140" t="s">
        <v>1671</v>
      </c>
      <c r="B140" t="s">
        <v>1672</v>
      </c>
      <c r="C140" t="s">
        <v>1641</v>
      </c>
      <c r="D140" t="s">
        <v>1235</v>
      </c>
      <c r="E140" t="s">
        <v>1236</v>
      </c>
      <c r="F140" t="s">
        <v>1673</v>
      </c>
      <c r="G140" t="s">
        <v>5519</v>
      </c>
      <c r="H140" t="s">
        <v>1643</v>
      </c>
      <c r="I140">
        <v>0</v>
      </c>
    </row>
    <row r="141" spans="1:9" x14ac:dyDescent="0.3">
      <c r="A141" t="s">
        <v>1674</v>
      </c>
      <c r="B141" t="s">
        <v>1675</v>
      </c>
      <c r="C141" t="s">
        <v>1641</v>
      </c>
      <c r="D141" t="s">
        <v>1235</v>
      </c>
      <c r="E141" t="s">
        <v>1236</v>
      </c>
      <c r="F141" t="s">
        <v>1676</v>
      </c>
      <c r="G141" t="s">
        <v>5520</v>
      </c>
      <c r="H141" t="s">
        <v>1643</v>
      </c>
      <c r="I141">
        <v>0</v>
      </c>
    </row>
    <row r="142" spans="1:9" x14ac:dyDescent="0.3">
      <c r="A142" t="s">
        <v>1677</v>
      </c>
      <c r="B142" t="s">
        <v>1678</v>
      </c>
      <c r="C142" t="s">
        <v>1641</v>
      </c>
      <c r="D142" t="s">
        <v>1235</v>
      </c>
      <c r="E142" t="s">
        <v>1236</v>
      </c>
      <c r="F142" t="s">
        <v>1679</v>
      </c>
      <c r="G142" t="s">
        <v>5521</v>
      </c>
      <c r="H142" t="s">
        <v>1680</v>
      </c>
      <c r="I142">
        <v>0</v>
      </c>
    </row>
    <row r="143" spans="1:9" x14ac:dyDescent="0.3">
      <c r="A143" t="s">
        <v>1681</v>
      </c>
      <c r="B143" t="s">
        <v>1682</v>
      </c>
      <c r="C143" t="s">
        <v>1641</v>
      </c>
      <c r="D143" t="s">
        <v>1235</v>
      </c>
      <c r="E143" t="s">
        <v>1236</v>
      </c>
      <c r="F143" t="s">
        <v>1683</v>
      </c>
      <c r="G143" t="s">
        <v>5522</v>
      </c>
      <c r="H143" t="s">
        <v>1680</v>
      </c>
      <c r="I143">
        <v>0</v>
      </c>
    </row>
    <row r="144" spans="1:9" x14ac:dyDescent="0.3">
      <c r="A144" t="s">
        <v>1684</v>
      </c>
      <c r="B144" t="s">
        <v>1685</v>
      </c>
      <c r="C144" t="s">
        <v>1641</v>
      </c>
      <c r="D144" t="s">
        <v>1235</v>
      </c>
      <c r="E144" t="s">
        <v>1236</v>
      </c>
      <c r="F144" t="s">
        <v>1686</v>
      </c>
      <c r="G144" t="s">
        <v>5523</v>
      </c>
      <c r="H144" t="s">
        <v>1680</v>
      </c>
      <c r="I144">
        <v>0</v>
      </c>
    </row>
    <row r="145" spans="1:9" x14ac:dyDescent="0.3">
      <c r="A145" t="s">
        <v>1687</v>
      </c>
      <c r="B145" t="s">
        <v>1688</v>
      </c>
      <c r="C145" t="s">
        <v>1641</v>
      </c>
      <c r="D145" t="s">
        <v>1235</v>
      </c>
      <c r="E145" t="s">
        <v>1236</v>
      </c>
      <c r="F145" t="s">
        <v>1689</v>
      </c>
      <c r="G145" t="s">
        <v>5524</v>
      </c>
      <c r="H145" t="s">
        <v>1660</v>
      </c>
      <c r="I145" t="s">
        <v>1690</v>
      </c>
    </row>
    <row r="146" spans="1:9" x14ac:dyDescent="0.3">
      <c r="A146" t="s">
        <v>1691</v>
      </c>
      <c r="B146" t="s">
        <v>1692</v>
      </c>
      <c r="C146" t="s">
        <v>1641</v>
      </c>
      <c r="D146" t="s">
        <v>1235</v>
      </c>
      <c r="E146" t="s">
        <v>1236</v>
      </c>
      <c r="F146" t="s">
        <v>1693</v>
      </c>
      <c r="G146" t="s">
        <v>5525</v>
      </c>
      <c r="H146" t="s">
        <v>1660</v>
      </c>
      <c r="I146">
        <v>0</v>
      </c>
    </row>
    <row r="147" spans="1:9" x14ac:dyDescent="0.3">
      <c r="A147" t="s">
        <v>1694</v>
      </c>
      <c r="B147" t="s">
        <v>1695</v>
      </c>
      <c r="C147" t="s">
        <v>1641</v>
      </c>
      <c r="D147" t="s">
        <v>1235</v>
      </c>
      <c r="E147" t="s">
        <v>1236</v>
      </c>
      <c r="F147" t="s">
        <v>1696</v>
      </c>
      <c r="G147" t="s">
        <v>5526</v>
      </c>
      <c r="H147" t="s">
        <v>1643</v>
      </c>
      <c r="I147" t="s">
        <v>1697</v>
      </c>
    </row>
    <row r="148" spans="1:9" x14ac:dyDescent="0.3">
      <c r="A148" t="s">
        <v>1698</v>
      </c>
      <c r="B148" t="s">
        <v>1699</v>
      </c>
      <c r="C148" t="s">
        <v>1641</v>
      </c>
      <c r="D148" t="s">
        <v>1235</v>
      </c>
      <c r="E148" t="s">
        <v>1236</v>
      </c>
      <c r="F148" t="s">
        <v>1700</v>
      </c>
      <c r="G148" t="s">
        <v>5527</v>
      </c>
      <c r="H148" t="s">
        <v>1656</v>
      </c>
      <c r="I148">
        <v>0</v>
      </c>
    </row>
    <row r="149" spans="1:9" x14ac:dyDescent="0.3">
      <c r="A149" t="s">
        <v>1701</v>
      </c>
      <c r="B149" t="s">
        <v>1702</v>
      </c>
      <c r="C149" t="s">
        <v>1641</v>
      </c>
      <c r="D149" t="s">
        <v>1235</v>
      </c>
      <c r="E149" t="s">
        <v>1236</v>
      </c>
      <c r="F149" t="s">
        <v>1703</v>
      </c>
      <c r="G149" t="s">
        <v>5528</v>
      </c>
      <c r="H149" t="s">
        <v>1704</v>
      </c>
      <c r="I149">
        <v>0</v>
      </c>
    </row>
    <row r="150" spans="1:9" x14ac:dyDescent="0.3">
      <c r="A150" t="s">
        <v>1705</v>
      </c>
      <c r="B150" t="s">
        <v>1706</v>
      </c>
      <c r="C150" t="s">
        <v>1641</v>
      </c>
      <c r="D150" t="s">
        <v>1235</v>
      </c>
      <c r="E150" t="s">
        <v>1236</v>
      </c>
      <c r="F150" t="s">
        <v>1707</v>
      </c>
      <c r="G150" t="s">
        <v>5529</v>
      </c>
      <c r="H150" t="s">
        <v>1680</v>
      </c>
      <c r="I150">
        <v>0</v>
      </c>
    </row>
    <row r="151" spans="1:9" x14ac:dyDescent="0.3">
      <c r="A151" t="s">
        <v>1708</v>
      </c>
      <c r="B151" t="s">
        <v>1709</v>
      </c>
      <c r="C151" t="s">
        <v>1641</v>
      </c>
      <c r="D151" t="s">
        <v>1235</v>
      </c>
      <c r="E151" t="s">
        <v>1236</v>
      </c>
      <c r="F151" t="s">
        <v>1689</v>
      </c>
      <c r="G151" t="s">
        <v>5524</v>
      </c>
      <c r="H151" t="s">
        <v>1660</v>
      </c>
      <c r="I151">
        <v>0</v>
      </c>
    </row>
    <row r="152" spans="1:9" x14ac:dyDescent="0.3">
      <c r="A152" t="s">
        <v>1710</v>
      </c>
      <c r="B152" t="s">
        <v>1711</v>
      </c>
      <c r="C152" t="s">
        <v>1641</v>
      </c>
      <c r="D152" t="s">
        <v>1235</v>
      </c>
      <c r="E152" t="s">
        <v>1236</v>
      </c>
      <c r="F152" t="s">
        <v>1659</v>
      </c>
      <c r="G152" t="s">
        <v>5515</v>
      </c>
      <c r="H152" t="s">
        <v>1660</v>
      </c>
      <c r="I152">
        <v>0</v>
      </c>
    </row>
    <row r="153" spans="1:9" x14ac:dyDescent="0.3">
      <c r="A153" t="s">
        <v>1712</v>
      </c>
      <c r="B153" t="s">
        <v>1713</v>
      </c>
      <c r="C153" t="s">
        <v>1641</v>
      </c>
      <c r="D153" t="s">
        <v>1235</v>
      </c>
      <c r="E153" t="s">
        <v>1236</v>
      </c>
      <c r="F153" t="s">
        <v>1714</v>
      </c>
      <c r="G153" t="s">
        <v>5530</v>
      </c>
      <c r="H153" t="s">
        <v>1680</v>
      </c>
      <c r="I153">
        <v>0</v>
      </c>
    </row>
    <row r="154" spans="1:9" x14ac:dyDescent="0.3">
      <c r="A154" t="s">
        <v>1715</v>
      </c>
      <c r="B154" t="s">
        <v>1479</v>
      </c>
      <c r="C154" t="s">
        <v>1641</v>
      </c>
      <c r="D154" t="s">
        <v>1235</v>
      </c>
      <c r="E154" t="s">
        <v>1236</v>
      </c>
      <c r="F154" t="s">
        <v>1716</v>
      </c>
      <c r="G154" t="s">
        <v>5531</v>
      </c>
      <c r="H154" t="s">
        <v>1704</v>
      </c>
      <c r="I154">
        <v>0</v>
      </c>
    </row>
    <row r="155" spans="1:9" x14ac:dyDescent="0.3">
      <c r="A155" t="s">
        <v>1717</v>
      </c>
      <c r="B155" t="s">
        <v>1718</v>
      </c>
      <c r="C155" t="s">
        <v>1641</v>
      </c>
      <c r="D155" t="s">
        <v>1235</v>
      </c>
      <c r="E155" t="s">
        <v>1236</v>
      </c>
      <c r="F155" t="s">
        <v>1719</v>
      </c>
      <c r="G155" t="s">
        <v>5532</v>
      </c>
      <c r="H155" t="s">
        <v>1704</v>
      </c>
      <c r="I155">
        <v>0</v>
      </c>
    </row>
    <row r="156" spans="1:9" x14ac:dyDescent="0.3">
      <c r="A156" t="s">
        <v>1720</v>
      </c>
      <c r="B156" t="s">
        <v>1721</v>
      </c>
      <c r="C156" t="s">
        <v>1641</v>
      </c>
      <c r="D156" t="s">
        <v>1235</v>
      </c>
      <c r="E156" t="s">
        <v>1236</v>
      </c>
      <c r="F156" t="s">
        <v>1722</v>
      </c>
      <c r="G156" t="s">
        <v>5533</v>
      </c>
      <c r="H156" t="s">
        <v>1643</v>
      </c>
      <c r="I156">
        <v>0</v>
      </c>
    </row>
    <row r="157" spans="1:9" x14ac:dyDescent="0.3">
      <c r="A157" t="s">
        <v>1723</v>
      </c>
      <c r="B157" t="s">
        <v>1724</v>
      </c>
      <c r="C157" t="s">
        <v>1641</v>
      </c>
      <c r="D157" t="s">
        <v>1235</v>
      </c>
      <c r="E157" t="s">
        <v>1236</v>
      </c>
      <c r="F157" t="s">
        <v>1725</v>
      </c>
      <c r="G157" t="s">
        <v>5534</v>
      </c>
      <c r="H157" t="s">
        <v>1680</v>
      </c>
      <c r="I157">
        <v>0</v>
      </c>
    </row>
    <row r="158" spans="1:9" x14ac:dyDescent="0.3">
      <c r="A158" t="s">
        <v>1726</v>
      </c>
      <c r="B158" t="s">
        <v>1727</v>
      </c>
      <c r="C158" t="s">
        <v>1641</v>
      </c>
      <c r="D158" t="s">
        <v>1235</v>
      </c>
      <c r="E158" t="s">
        <v>1236</v>
      </c>
      <c r="F158" t="s">
        <v>1728</v>
      </c>
      <c r="G158" t="s">
        <v>5535</v>
      </c>
      <c r="H158" t="s">
        <v>1656</v>
      </c>
      <c r="I158">
        <v>0</v>
      </c>
    </row>
    <row r="159" spans="1:9" x14ac:dyDescent="0.3">
      <c r="A159" t="s">
        <v>1729</v>
      </c>
      <c r="B159" t="s">
        <v>1730</v>
      </c>
      <c r="C159" t="s">
        <v>1641</v>
      </c>
      <c r="D159" t="s">
        <v>1235</v>
      </c>
      <c r="E159" t="s">
        <v>1236</v>
      </c>
      <c r="F159" t="s">
        <v>1731</v>
      </c>
      <c r="G159" t="s">
        <v>5536</v>
      </c>
      <c r="H159" t="s">
        <v>1656</v>
      </c>
      <c r="I159">
        <v>0</v>
      </c>
    </row>
    <row r="160" spans="1:9" x14ac:dyDescent="0.3">
      <c r="A160" t="s">
        <v>1732</v>
      </c>
      <c r="B160" t="s">
        <v>1733</v>
      </c>
      <c r="C160" t="s">
        <v>1641</v>
      </c>
      <c r="D160" t="s">
        <v>1235</v>
      </c>
      <c r="E160" t="s">
        <v>1236</v>
      </c>
      <c r="F160" t="s">
        <v>1696</v>
      </c>
      <c r="G160" t="s">
        <v>5526</v>
      </c>
      <c r="H160" t="s">
        <v>1643</v>
      </c>
      <c r="I160">
        <v>0</v>
      </c>
    </row>
    <row r="161" spans="1:9" x14ac:dyDescent="0.3">
      <c r="A161" t="s">
        <v>1734</v>
      </c>
      <c r="B161" t="s">
        <v>1735</v>
      </c>
      <c r="C161" t="s">
        <v>1641</v>
      </c>
      <c r="D161" t="s">
        <v>1235</v>
      </c>
      <c r="E161" t="s">
        <v>1236</v>
      </c>
      <c r="F161" t="s">
        <v>1736</v>
      </c>
      <c r="G161" t="s">
        <v>5537</v>
      </c>
      <c r="H161" t="s">
        <v>1704</v>
      </c>
      <c r="I161">
        <v>0</v>
      </c>
    </row>
    <row r="162" spans="1:9" x14ac:dyDescent="0.3">
      <c r="A162" t="s">
        <v>1737</v>
      </c>
      <c r="B162" t="s">
        <v>1738</v>
      </c>
      <c r="C162" t="s">
        <v>1739</v>
      </c>
      <c r="D162" t="s">
        <v>1505</v>
      </c>
      <c r="E162" t="s">
        <v>1236</v>
      </c>
      <c r="F162" t="s">
        <v>1740</v>
      </c>
      <c r="G162" t="s">
        <v>5538</v>
      </c>
      <c r="H162" t="s">
        <v>1741</v>
      </c>
      <c r="I162">
        <v>0</v>
      </c>
    </row>
    <row r="163" spans="1:9" x14ac:dyDescent="0.3">
      <c r="A163" t="s">
        <v>1742</v>
      </c>
      <c r="B163" t="s">
        <v>1743</v>
      </c>
      <c r="C163" t="s">
        <v>1739</v>
      </c>
      <c r="D163" t="s">
        <v>1505</v>
      </c>
      <c r="E163" t="s">
        <v>1236</v>
      </c>
      <c r="F163" t="s">
        <v>1744</v>
      </c>
      <c r="G163" t="s">
        <v>5539</v>
      </c>
      <c r="H163" t="s">
        <v>1741</v>
      </c>
      <c r="I163">
        <v>0</v>
      </c>
    </row>
    <row r="164" spans="1:9" x14ac:dyDescent="0.3">
      <c r="A164" t="s">
        <v>1745</v>
      </c>
      <c r="B164" t="s">
        <v>1746</v>
      </c>
      <c r="C164" t="s">
        <v>1739</v>
      </c>
      <c r="D164" t="s">
        <v>1505</v>
      </c>
      <c r="E164" t="s">
        <v>1236</v>
      </c>
      <c r="F164" t="s">
        <v>1747</v>
      </c>
      <c r="G164" t="s">
        <v>5540</v>
      </c>
      <c r="H164" t="s">
        <v>67</v>
      </c>
      <c r="I164">
        <v>0</v>
      </c>
    </row>
    <row r="165" spans="1:9" x14ac:dyDescent="0.3">
      <c r="A165" t="s">
        <v>1748</v>
      </c>
      <c r="B165" t="s">
        <v>1749</v>
      </c>
      <c r="C165" t="s">
        <v>1739</v>
      </c>
      <c r="D165" t="s">
        <v>1505</v>
      </c>
      <c r="E165" t="s">
        <v>1236</v>
      </c>
      <c r="F165" t="s">
        <v>1750</v>
      </c>
      <c r="G165" t="s">
        <v>5541</v>
      </c>
      <c r="H165" t="s">
        <v>83</v>
      </c>
      <c r="I165">
        <v>0</v>
      </c>
    </row>
    <row r="166" spans="1:9" x14ac:dyDescent="0.3">
      <c r="A166" t="s">
        <v>1751</v>
      </c>
      <c r="B166" t="s">
        <v>1752</v>
      </c>
      <c r="C166" t="s">
        <v>1739</v>
      </c>
      <c r="D166" t="s">
        <v>1505</v>
      </c>
      <c r="E166" t="s">
        <v>1236</v>
      </c>
      <c r="F166" t="s">
        <v>1753</v>
      </c>
      <c r="G166" t="s">
        <v>5542</v>
      </c>
      <c r="H166" t="s">
        <v>83</v>
      </c>
      <c r="I166">
        <v>0</v>
      </c>
    </row>
    <row r="167" spans="1:9" x14ac:dyDescent="0.3">
      <c r="A167" t="s">
        <v>1754</v>
      </c>
      <c r="B167" t="s">
        <v>1755</v>
      </c>
      <c r="C167" t="s">
        <v>1739</v>
      </c>
      <c r="D167" t="s">
        <v>1505</v>
      </c>
      <c r="E167" t="s">
        <v>1236</v>
      </c>
      <c r="F167" t="s">
        <v>1756</v>
      </c>
      <c r="G167" t="s">
        <v>5543</v>
      </c>
      <c r="H167" t="s">
        <v>1757</v>
      </c>
      <c r="I167">
        <v>0</v>
      </c>
    </row>
    <row r="168" spans="1:9" x14ac:dyDescent="0.3">
      <c r="A168" t="s">
        <v>1758</v>
      </c>
      <c r="B168" t="s">
        <v>1759</v>
      </c>
      <c r="C168" t="s">
        <v>1739</v>
      </c>
      <c r="D168" t="s">
        <v>1505</v>
      </c>
      <c r="E168" t="s">
        <v>1236</v>
      </c>
      <c r="F168" t="s">
        <v>1760</v>
      </c>
      <c r="G168" t="s">
        <v>5544</v>
      </c>
      <c r="H168" t="s">
        <v>1757</v>
      </c>
      <c r="I168">
        <v>0</v>
      </c>
    </row>
    <row r="169" spans="1:9" x14ac:dyDescent="0.3">
      <c r="A169" t="s">
        <v>1761</v>
      </c>
      <c r="B169" t="s">
        <v>1762</v>
      </c>
      <c r="C169" t="s">
        <v>1739</v>
      </c>
      <c r="D169" t="s">
        <v>1505</v>
      </c>
      <c r="E169" t="s">
        <v>1236</v>
      </c>
      <c r="F169" t="s">
        <v>1763</v>
      </c>
      <c r="G169" t="s">
        <v>5545</v>
      </c>
      <c r="H169" t="s">
        <v>67</v>
      </c>
      <c r="I169">
        <v>0</v>
      </c>
    </row>
    <row r="170" spans="1:9" x14ac:dyDescent="0.3">
      <c r="A170" t="s">
        <v>1764</v>
      </c>
      <c r="B170" t="s">
        <v>1765</v>
      </c>
      <c r="C170" t="s">
        <v>1739</v>
      </c>
      <c r="D170" t="s">
        <v>1505</v>
      </c>
      <c r="E170" t="s">
        <v>1236</v>
      </c>
      <c r="F170" t="s">
        <v>1766</v>
      </c>
      <c r="G170" t="s">
        <v>5546</v>
      </c>
      <c r="H170" t="s">
        <v>1767</v>
      </c>
      <c r="I170">
        <v>0</v>
      </c>
    </row>
    <row r="171" spans="1:9" x14ac:dyDescent="0.3">
      <c r="A171" t="s">
        <v>1768</v>
      </c>
      <c r="B171" t="s">
        <v>1769</v>
      </c>
      <c r="C171" t="s">
        <v>1739</v>
      </c>
      <c r="D171" t="s">
        <v>1505</v>
      </c>
      <c r="E171" t="s">
        <v>1236</v>
      </c>
      <c r="F171" t="s">
        <v>1770</v>
      </c>
      <c r="G171" t="s">
        <v>5547</v>
      </c>
      <c r="H171" t="s">
        <v>1771</v>
      </c>
      <c r="I171">
        <v>0</v>
      </c>
    </row>
    <row r="172" spans="1:9" x14ac:dyDescent="0.3">
      <c r="A172" t="s">
        <v>1772</v>
      </c>
      <c r="B172" t="s">
        <v>1773</v>
      </c>
      <c r="C172" t="s">
        <v>1739</v>
      </c>
      <c r="D172" t="s">
        <v>1505</v>
      </c>
      <c r="E172" t="s">
        <v>1236</v>
      </c>
      <c r="F172" t="s">
        <v>1774</v>
      </c>
      <c r="G172" t="s">
        <v>5548</v>
      </c>
      <c r="H172" t="s">
        <v>1771</v>
      </c>
      <c r="I172">
        <v>0</v>
      </c>
    </row>
    <row r="173" spans="1:9" x14ac:dyDescent="0.3">
      <c r="A173" t="s">
        <v>1775</v>
      </c>
      <c r="B173" t="s">
        <v>1776</v>
      </c>
      <c r="C173" t="s">
        <v>1739</v>
      </c>
      <c r="D173" t="s">
        <v>1505</v>
      </c>
      <c r="E173" t="s">
        <v>1236</v>
      </c>
      <c r="F173" t="s">
        <v>1777</v>
      </c>
      <c r="G173" t="s">
        <v>5549</v>
      </c>
      <c r="H173" t="s">
        <v>1757</v>
      </c>
      <c r="I173">
        <v>0</v>
      </c>
    </row>
    <row r="174" spans="1:9" x14ac:dyDescent="0.3">
      <c r="A174" t="s">
        <v>1778</v>
      </c>
      <c r="B174" t="s">
        <v>1779</v>
      </c>
      <c r="C174" t="s">
        <v>1739</v>
      </c>
      <c r="D174" t="s">
        <v>1505</v>
      </c>
      <c r="E174" t="s">
        <v>1236</v>
      </c>
      <c r="F174" t="s">
        <v>1780</v>
      </c>
      <c r="G174" t="s">
        <v>5550</v>
      </c>
      <c r="H174" t="s">
        <v>1741</v>
      </c>
      <c r="I174">
        <v>0</v>
      </c>
    </row>
    <row r="175" spans="1:9" x14ac:dyDescent="0.3">
      <c r="A175" t="s">
        <v>1781</v>
      </c>
      <c r="B175" t="s">
        <v>1782</v>
      </c>
      <c r="C175" t="s">
        <v>1739</v>
      </c>
      <c r="D175" t="s">
        <v>1505</v>
      </c>
      <c r="E175" t="s">
        <v>1236</v>
      </c>
      <c r="F175" t="s">
        <v>1783</v>
      </c>
      <c r="G175" t="s">
        <v>5551</v>
      </c>
      <c r="H175" t="s">
        <v>1757</v>
      </c>
      <c r="I175">
        <v>0</v>
      </c>
    </row>
    <row r="176" spans="1:9" x14ac:dyDescent="0.3">
      <c r="A176" t="s">
        <v>1784</v>
      </c>
      <c r="B176" t="s">
        <v>1785</v>
      </c>
      <c r="C176" t="s">
        <v>1739</v>
      </c>
      <c r="D176" t="s">
        <v>1505</v>
      </c>
      <c r="E176" t="s">
        <v>1236</v>
      </c>
      <c r="F176" t="s">
        <v>1786</v>
      </c>
      <c r="G176" t="s">
        <v>5552</v>
      </c>
      <c r="H176" t="s">
        <v>1767</v>
      </c>
      <c r="I176">
        <v>0</v>
      </c>
    </row>
    <row r="177" spans="1:9" x14ac:dyDescent="0.3">
      <c r="A177" t="s">
        <v>1787</v>
      </c>
      <c r="B177" t="s">
        <v>1788</v>
      </c>
      <c r="C177" t="s">
        <v>1739</v>
      </c>
      <c r="D177" t="s">
        <v>1505</v>
      </c>
      <c r="E177" t="s">
        <v>1236</v>
      </c>
      <c r="F177" t="s">
        <v>1789</v>
      </c>
      <c r="G177" t="s">
        <v>5553</v>
      </c>
      <c r="H177" t="s">
        <v>1771</v>
      </c>
      <c r="I177">
        <v>0</v>
      </c>
    </row>
    <row r="178" spans="1:9" x14ac:dyDescent="0.3">
      <c r="A178" t="s">
        <v>1790</v>
      </c>
      <c r="B178" t="s">
        <v>1791</v>
      </c>
      <c r="C178" t="s">
        <v>1739</v>
      </c>
      <c r="D178" t="s">
        <v>1505</v>
      </c>
      <c r="E178" t="s">
        <v>1236</v>
      </c>
      <c r="F178" t="s">
        <v>1792</v>
      </c>
      <c r="G178" t="s">
        <v>5554</v>
      </c>
      <c r="H178" t="s">
        <v>1741</v>
      </c>
      <c r="I178">
        <v>0</v>
      </c>
    </row>
    <row r="179" spans="1:9" x14ac:dyDescent="0.3">
      <c r="A179" t="s">
        <v>1793</v>
      </c>
      <c r="B179" t="s">
        <v>1794</v>
      </c>
      <c r="C179" t="s">
        <v>1739</v>
      </c>
      <c r="D179" t="s">
        <v>1505</v>
      </c>
      <c r="E179" t="s">
        <v>1236</v>
      </c>
      <c r="F179" t="s">
        <v>1795</v>
      </c>
      <c r="G179" t="s">
        <v>5555</v>
      </c>
      <c r="H179" t="s">
        <v>1741</v>
      </c>
      <c r="I179">
        <v>0</v>
      </c>
    </row>
    <row r="180" spans="1:9" x14ac:dyDescent="0.3">
      <c r="A180" t="s">
        <v>1796</v>
      </c>
      <c r="B180" t="s">
        <v>1797</v>
      </c>
      <c r="C180" t="s">
        <v>1739</v>
      </c>
      <c r="D180" t="s">
        <v>1505</v>
      </c>
      <c r="E180" t="s">
        <v>1236</v>
      </c>
      <c r="F180" t="s">
        <v>1798</v>
      </c>
      <c r="G180" t="s">
        <v>5556</v>
      </c>
      <c r="H180" t="s">
        <v>1741</v>
      </c>
      <c r="I180">
        <v>0</v>
      </c>
    </row>
    <row r="181" spans="1:9" x14ac:dyDescent="0.3">
      <c r="A181" t="s">
        <v>1799</v>
      </c>
      <c r="B181" t="s">
        <v>1800</v>
      </c>
      <c r="C181" t="s">
        <v>1739</v>
      </c>
      <c r="D181" t="s">
        <v>1505</v>
      </c>
      <c r="E181" t="s">
        <v>1236</v>
      </c>
      <c r="F181" t="s">
        <v>1801</v>
      </c>
      <c r="G181" t="s">
        <v>5557</v>
      </c>
      <c r="H181" t="s">
        <v>1771</v>
      </c>
      <c r="I181">
        <v>0</v>
      </c>
    </row>
    <row r="182" spans="1:9" x14ac:dyDescent="0.3">
      <c r="A182" t="s">
        <v>1802</v>
      </c>
      <c r="B182" t="s">
        <v>1803</v>
      </c>
      <c r="C182" t="s">
        <v>1739</v>
      </c>
      <c r="D182" t="s">
        <v>1505</v>
      </c>
      <c r="E182" t="s">
        <v>1236</v>
      </c>
      <c r="F182" t="s">
        <v>1804</v>
      </c>
      <c r="G182" t="s">
        <v>5558</v>
      </c>
      <c r="H182" t="s">
        <v>1771</v>
      </c>
      <c r="I182">
        <v>0</v>
      </c>
    </row>
    <row r="183" spans="1:9" x14ac:dyDescent="0.3">
      <c r="A183" t="s">
        <v>1805</v>
      </c>
      <c r="B183" t="s">
        <v>1806</v>
      </c>
      <c r="C183" t="s">
        <v>1739</v>
      </c>
      <c r="D183" t="s">
        <v>1505</v>
      </c>
      <c r="E183" t="s">
        <v>1236</v>
      </c>
      <c r="F183" t="s">
        <v>1807</v>
      </c>
      <c r="G183" t="s">
        <v>5559</v>
      </c>
      <c r="H183" t="s">
        <v>1771</v>
      </c>
      <c r="I183">
        <v>0</v>
      </c>
    </row>
    <row r="184" spans="1:9" x14ac:dyDescent="0.3">
      <c r="A184" t="s">
        <v>1808</v>
      </c>
      <c r="B184" t="s">
        <v>1809</v>
      </c>
      <c r="C184" t="s">
        <v>1739</v>
      </c>
      <c r="D184" t="s">
        <v>1505</v>
      </c>
      <c r="E184" t="s">
        <v>1236</v>
      </c>
      <c r="F184" t="s">
        <v>1810</v>
      </c>
      <c r="G184" t="s">
        <v>5560</v>
      </c>
      <c r="H184" t="s">
        <v>1767</v>
      </c>
      <c r="I184">
        <v>0</v>
      </c>
    </row>
    <row r="185" spans="1:9" x14ac:dyDescent="0.3">
      <c r="A185" t="s">
        <v>1811</v>
      </c>
      <c r="B185" t="s">
        <v>1812</v>
      </c>
      <c r="C185" t="s">
        <v>1739</v>
      </c>
      <c r="D185" t="s">
        <v>1505</v>
      </c>
      <c r="E185" t="s">
        <v>1236</v>
      </c>
      <c r="F185" t="s">
        <v>1813</v>
      </c>
      <c r="G185" t="s">
        <v>5561</v>
      </c>
      <c r="H185" t="s">
        <v>1757</v>
      </c>
      <c r="I185">
        <v>0</v>
      </c>
    </row>
    <row r="186" spans="1:9" x14ac:dyDescent="0.3">
      <c r="A186" t="s">
        <v>1814</v>
      </c>
      <c r="B186" t="s">
        <v>1815</v>
      </c>
      <c r="C186" t="s">
        <v>1739</v>
      </c>
      <c r="D186" t="s">
        <v>1505</v>
      </c>
      <c r="E186" t="s">
        <v>1236</v>
      </c>
      <c r="F186" t="s">
        <v>1816</v>
      </c>
      <c r="G186" t="s">
        <v>5562</v>
      </c>
      <c r="H186" t="s">
        <v>1771</v>
      </c>
      <c r="I186">
        <v>0</v>
      </c>
    </row>
    <row r="187" spans="1:9" x14ac:dyDescent="0.3">
      <c r="A187" t="s">
        <v>1817</v>
      </c>
      <c r="B187" t="s">
        <v>1818</v>
      </c>
      <c r="C187" t="s">
        <v>1739</v>
      </c>
      <c r="D187" t="s">
        <v>1505</v>
      </c>
      <c r="E187" t="s">
        <v>1236</v>
      </c>
      <c r="F187" t="s">
        <v>1819</v>
      </c>
      <c r="G187" t="s">
        <v>5563</v>
      </c>
      <c r="H187" t="s">
        <v>1757</v>
      </c>
      <c r="I187">
        <v>0</v>
      </c>
    </row>
    <row r="188" spans="1:9" x14ac:dyDescent="0.3">
      <c r="A188" t="s">
        <v>1820</v>
      </c>
      <c r="B188" t="s">
        <v>1821</v>
      </c>
      <c r="C188" t="s">
        <v>1822</v>
      </c>
      <c r="D188" t="s">
        <v>1823</v>
      </c>
      <c r="E188" t="s">
        <v>1236</v>
      </c>
      <c r="F188" t="s">
        <v>1824</v>
      </c>
      <c r="G188" t="s">
        <v>5564</v>
      </c>
      <c r="H188">
        <v>0</v>
      </c>
      <c r="I188">
        <v>0</v>
      </c>
    </row>
    <row r="189" spans="1:9" x14ac:dyDescent="0.3">
      <c r="A189" t="s">
        <v>1825</v>
      </c>
      <c r="B189" t="s">
        <v>1826</v>
      </c>
      <c r="C189" t="s">
        <v>1822</v>
      </c>
      <c r="D189" t="s">
        <v>1823</v>
      </c>
      <c r="E189" t="s">
        <v>1236</v>
      </c>
      <c r="F189" t="s">
        <v>1827</v>
      </c>
      <c r="G189" t="s">
        <v>5565</v>
      </c>
      <c r="H189" t="s">
        <v>1828</v>
      </c>
      <c r="I189">
        <v>0</v>
      </c>
    </row>
    <row r="190" spans="1:9" x14ac:dyDescent="0.3">
      <c r="A190" t="s">
        <v>1829</v>
      </c>
      <c r="B190" t="s">
        <v>1830</v>
      </c>
      <c r="C190" t="s">
        <v>1822</v>
      </c>
      <c r="D190" t="s">
        <v>1823</v>
      </c>
      <c r="E190" t="s">
        <v>1236</v>
      </c>
      <c r="F190" t="s">
        <v>1831</v>
      </c>
      <c r="G190" t="s">
        <v>5566</v>
      </c>
      <c r="H190" t="s">
        <v>1828</v>
      </c>
      <c r="I190">
        <v>0</v>
      </c>
    </row>
    <row r="191" spans="1:9" x14ac:dyDescent="0.3">
      <c r="A191" t="s">
        <v>1832</v>
      </c>
      <c r="B191" t="s">
        <v>1833</v>
      </c>
      <c r="C191" t="s">
        <v>1822</v>
      </c>
      <c r="D191" t="s">
        <v>1823</v>
      </c>
      <c r="E191" t="s">
        <v>1236</v>
      </c>
      <c r="F191" t="s">
        <v>1834</v>
      </c>
      <c r="G191" t="s">
        <v>5567</v>
      </c>
      <c r="H191" t="s">
        <v>1828</v>
      </c>
      <c r="I191">
        <v>0</v>
      </c>
    </row>
    <row r="192" spans="1:9" x14ac:dyDescent="0.3">
      <c r="A192" t="s">
        <v>1835</v>
      </c>
      <c r="B192" t="s">
        <v>1836</v>
      </c>
      <c r="C192" t="s">
        <v>1822</v>
      </c>
      <c r="D192" t="s">
        <v>1823</v>
      </c>
      <c r="E192" t="s">
        <v>1236</v>
      </c>
      <c r="F192" t="s">
        <v>1837</v>
      </c>
      <c r="G192" t="s">
        <v>5568</v>
      </c>
      <c r="H192" t="s">
        <v>1828</v>
      </c>
      <c r="I192">
        <v>0</v>
      </c>
    </row>
    <row r="193" spans="1:9" x14ac:dyDescent="0.3">
      <c r="A193" t="s">
        <v>1838</v>
      </c>
      <c r="B193" t="s">
        <v>1839</v>
      </c>
      <c r="C193" t="s">
        <v>1822</v>
      </c>
      <c r="D193" t="s">
        <v>1823</v>
      </c>
      <c r="E193" t="s">
        <v>1236</v>
      </c>
      <c r="F193" t="s">
        <v>1870</v>
      </c>
      <c r="G193" t="s">
        <v>5569</v>
      </c>
      <c r="H193">
        <v>0</v>
      </c>
      <c r="I193">
        <v>0</v>
      </c>
    </row>
    <row r="194" spans="1:9" x14ac:dyDescent="0.3">
      <c r="A194" t="s">
        <v>1840</v>
      </c>
      <c r="B194" t="s">
        <v>1841</v>
      </c>
      <c r="C194" t="s">
        <v>1822</v>
      </c>
      <c r="D194" t="s">
        <v>1823</v>
      </c>
      <c r="E194" t="s">
        <v>1236</v>
      </c>
      <c r="F194" t="s">
        <v>1842</v>
      </c>
      <c r="G194" t="s">
        <v>5570</v>
      </c>
      <c r="H194">
        <v>0</v>
      </c>
      <c r="I194">
        <v>0</v>
      </c>
    </row>
    <row r="195" spans="1:9" x14ac:dyDescent="0.3">
      <c r="A195" t="s">
        <v>1843</v>
      </c>
      <c r="B195" t="s">
        <v>1844</v>
      </c>
      <c r="C195" t="s">
        <v>1822</v>
      </c>
      <c r="D195" t="s">
        <v>1823</v>
      </c>
      <c r="E195" t="s">
        <v>1236</v>
      </c>
      <c r="F195" t="s">
        <v>1845</v>
      </c>
      <c r="G195" t="s">
        <v>5571</v>
      </c>
      <c r="H195" t="s">
        <v>248</v>
      </c>
      <c r="I195">
        <v>0</v>
      </c>
    </row>
    <row r="196" spans="1:9" x14ac:dyDescent="0.3">
      <c r="A196" t="s">
        <v>1846</v>
      </c>
      <c r="B196" t="s">
        <v>1847</v>
      </c>
      <c r="C196" t="s">
        <v>1822</v>
      </c>
      <c r="D196" t="s">
        <v>1823</v>
      </c>
      <c r="E196" t="s">
        <v>1236</v>
      </c>
      <c r="F196" t="s">
        <v>1848</v>
      </c>
      <c r="G196" t="s">
        <v>5572</v>
      </c>
      <c r="H196" t="s">
        <v>248</v>
      </c>
      <c r="I196">
        <v>0</v>
      </c>
    </row>
    <row r="197" spans="1:9" x14ac:dyDescent="0.3">
      <c r="A197" t="s">
        <v>1849</v>
      </c>
      <c r="B197" t="s">
        <v>1850</v>
      </c>
      <c r="C197" t="s">
        <v>1822</v>
      </c>
      <c r="D197" t="s">
        <v>1823</v>
      </c>
      <c r="E197" t="s">
        <v>1236</v>
      </c>
      <c r="F197" t="s">
        <v>1851</v>
      </c>
      <c r="G197" t="s">
        <v>5573</v>
      </c>
      <c r="H197" t="s">
        <v>1852</v>
      </c>
      <c r="I197">
        <v>0</v>
      </c>
    </row>
    <row r="198" spans="1:9" x14ac:dyDescent="0.3">
      <c r="A198" t="s">
        <v>1853</v>
      </c>
      <c r="B198" t="s">
        <v>1854</v>
      </c>
      <c r="C198" t="s">
        <v>1822</v>
      </c>
      <c r="D198" t="s">
        <v>1823</v>
      </c>
      <c r="E198" t="s">
        <v>1236</v>
      </c>
      <c r="F198" t="s">
        <v>1855</v>
      </c>
      <c r="G198" t="s">
        <v>5574</v>
      </c>
      <c r="H198" t="s">
        <v>1852</v>
      </c>
      <c r="I198">
        <v>0</v>
      </c>
    </row>
    <row r="199" spans="1:9" x14ac:dyDescent="0.3">
      <c r="A199" t="s">
        <v>1856</v>
      </c>
      <c r="B199" t="s">
        <v>1857</v>
      </c>
      <c r="C199" t="s">
        <v>1822</v>
      </c>
      <c r="D199" t="s">
        <v>1823</v>
      </c>
      <c r="E199" t="s">
        <v>1236</v>
      </c>
      <c r="F199" t="s">
        <v>1858</v>
      </c>
      <c r="G199" t="s">
        <v>5575</v>
      </c>
      <c r="H199">
        <v>0</v>
      </c>
      <c r="I199">
        <v>0</v>
      </c>
    </row>
    <row r="200" spans="1:9" x14ac:dyDescent="0.3">
      <c r="A200" t="s">
        <v>1859</v>
      </c>
      <c r="B200" t="s">
        <v>1860</v>
      </c>
      <c r="C200" t="s">
        <v>1822</v>
      </c>
      <c r="D200" t="s">
        <v>1823</v>
      </c>
      <c r="E200" t="s">
        <v>1236</v>
      </c>
      <c r="F200" t="s">
        <v>1861</v>
      </c>
      <c r="G200" t="s">
        <v>5576</v>
      </c>
      <c r="H200">
        <v>0</v>
      </c>
      <c r="I200">
        <v>0</v>
      </c>
    </row>
    <row r="201" spans="1:9" x14ac:dyDescent="0.3">
      <c r="A201" t="s">
        <v>1862</v>
      </c>
      <c r="B201" t="s">
        <v>1863</v>
      </c>
      <c r="C201" t="s">
        <v>1822</v>
      </c>
      <c r="D201" t="s">
        <v>1823</v>
      </c>
      <c r="E201" t="s">
        <v>1236</v>
      </c>
      <c r="F201" t="s">
        <v>1864</v>
      </c>
      <c r="G201" t="s">
        <v>5577</v>
      </c>
      <c r="H201">
        <v>0</v>
      </c>
      <c r="I201">
        <v>0</v>
      </c>
    </row>
    <row r="202" spans="1:9" x14ac:dyDescent="0.3">
      <c r="A202" t="s">
        <v>1865</v>
      </c>
      <c r="B202" t="s">
        <v>1866</v>
      </c>
      <c r="C202" t="s">
        <v>1822</v>
      </c>
      <c r="D202" t="s">
        <v>1823</v>
      </c>
      <c r="E202" t="s">
        <v>1236</v>
      </c>
      <c r="F202" t="s">
        <v>1867</v>
      </c>
      <c r="G202" t="s">
        <v>5578</v>
      </c>
      <c r="H202" t="s">
        <v>248</v>
      </c>
      <c r="I202">
        <v>0</v>
      </c>
    </row>
    <row r="203" spans="1:9" x14ac:dyDescent="0.3">
      <c r="A203" t="s">
        <v>1868</v>
      </c>
      <c r="B203" t="s">
        <v>1869</v>
      </c>
      <c r="C203" t="s">
        <v>1822</v>
      </c>
      <c r="D203" t="s">
        <v>1823</v>
      </c>
      <c r="E203" t="s">
        <v>1236</v>
      </c>
      <c r="F203" t="s">
        <v>1870</v>
      </c>
      <c r="G203" t="s">
        <v>5569</v>
      </c>
      <c r="H203">
        <v>0</v>
      </c>
      <c r="I203">
        <v>0</v>
      </c>
    </row>
    <row r="204" spans="1:9" x14ac:dyDescent="0.3">
      <c r="A204" t="s">
        <v>1871</v>
      </c>
      <c r="B204" t="s">
        <v>1872</v>
      </c>
      <c r="C204" t="s">
        <v>1822</v>
      </c>
      <c r="D204" t="s">
        <v>1823</v>
      </c>
      <c r="E204" t="s">
        <v>1236</v>
      </c>
      <c r="F204" t="s">
        <v>1873</v>
      </c>
      <c r="G204" t="s">
        <v>5579</v>
      </c>
      <c r="H204">
        <v>0</v>
      </c>
      <c r="I204">
        <v>0</v>
      </c>
    </row>
    <row r="205" spans="1:9" x14ac:dyDescent="0.3">
      <c r="A205" t="s">
        <v>1874</v>
      </c>
      <c r="B205" t="s">
        <v>1875</v>
      </c>
      <c r="C205" t="s">
        <v>1822</v>
      </c>
      <c r="D205" t="s">
        <v>1823</v>
      </c>
      <c r="E205" t="s">
        <v>1236</v>
      </c>
      <c r="F205" t="s">
        <v>1876</v>
      </c>
      <c r="G205" t="s">
        <v>5580</v>
      </c>
      <c r="H205" t="s">
        <v>1852</v>
      </c>
      <c r="I205">
        <v>0</v>
      </c>
    </row>
    <row r="206" spans="1:9" x14ac:dyDescent="0.3">
      <c r="A206" t="s">
        <v>1877</v>
      </c>
      <c r="B206" t="s">
        <v>1878</v>
      </c>
      <c r="C206" t="s">
        <v>1822</v>
      </c>
      <c r="D206" t="s">
        <v>1823</v>
      </c>
      <c r="E206" t="s">
        <v>1236</v>
      </c>
      <c r="F206" t="s">
        <v>1879</v>
      </c>
      <c r="G206" t="s">
        <v>5581</v>
      </c>
      <c r="H206">
        <v>0</v>
      </c>
      <c r="I206">
        <v>0</v>
      </c>
    </row>
    <row r="207" spans="1:9" x14ac:dyDescent="0.3">
      <c r="A207" t="s">
        <v>1880</v>
      </c>
      <c r="B207" t="s">
        <v>1881</v>
      </c>
      <c r="C207" t="s">
        <v>1822</v>
      </c>
      <c r="D207" t="s">
        <v>1823</v>
      </c>
      <c r="E207" t="s">
        <v>1236</v>
      </c>
      <c r="F207" t="s">
        <v>1882</v>
      </c>
      <c r="G207" t="s">
        <v>5582</v>
      </c>
      <c r="H207">
        <v>0</v>
      </c>
      <c r="I207">
        <v>0</v>
      </c>
    </row>
    <row r="208" spans="1:9" x14ac:dyDescent="0.3">
      <c r="A208" t="s">
        <v>1883</v>
      </c>
      <c r="B208" t="s">
        <v>1884</v>
      </c>
      <c r="C208" t="s">
        <v>1822</v>
      </c>
      <c r="D208" t="s">
        <v>1823</v>
      </c>
      <c r="E208" t="s">
        <v>1236</v>
      </c>
      <c r="F208" t="s">
        <v>1885</v>
      </c>
      <c r="G208" t="s">
        <v>5583</v>
      </c>
      <c r="H208">
        <v>0</v>
      </c>
      <c r="I208">
        <v>0</v>
      </c>
    </row>
    <row r="209" spans="1:9" x14ac:dyDescent="0.3">
      <c r="A209" t="s">
        <v>1886</v>
      </c>
      <c r="B209" t="s">
        <v>1887</v>
      </c>
      <c r="C209" t="s">
        <v>1822</v>
      </c>
      <c r="D209" t="s">
        <v>1823</v>
      </c>
      <c r="E209" t="s">
        <v>1236</v>
      </c>
      <c r="F209" t="s">
        <v>1888</v>
      </c>
      <c r="G209" t="s">
        <v>5584</v>
      </c>
      <c r="H209" t="s">
        <v>1828</v>
      </c>
      <c r="I209">
        <v>0</v>
      </c>
    </row>
    <row r="210" spans="1:9" x14ac:dyDescent="0.3">
      <c r="A210" t="s">
        <v>1889</v>
      </c>
      <c r="B210" t="s">
        <v>1890</v>
      </c>
      <c r="C210" t="s">
        <v>1822</v>
      </c>
      <c r="D210" t="s">
        <v>1823</v>
      </c>
      <c r="E210" t="s">
        <v>1236</v>
      </c>
      <c r="F210" t="s">
        <v>1891</v>
      </c>
      <c r="G210" t="s">
        <v>5585</v>
      </c>
      <c r="H210" t="s">
        <v>1852</v>
      </c>
      <c r="I210">
        <v>0</v>
      </c>
    </row>
    <row r="211" spans="1:9" x14ac:dyDescent="0.3">
      <c r="A211" t="s">
        <v>1892</v>
      </c>
      <c r="B211" t="s">
        <v>1893</v>
      </c>
      <c r="C211" t="s">
        <v>1822</v>
      </c>
      <c r="D211" t="s">
        <v>1823</v>
      </c>
      <c r="E211" t="s">
        <v>1236</v>
      </c>
      <c r="F211" t="s">
        <v>1870</v>
      </c>
      <c r="G211" t="s">
        <v>5569</v>
      </c>
      <c r="H211">
        <v>0</v>
      </c>
      <c r="I211">
        <v>0</v>
      </c>
    </row>
    <row r="212" spans="1:9" x14ac:dyDescent="0.3">
      <c r="A212" t="s">
        <v>1894</v>
      </c>
      <c r="B212" t="s">
        <v>1895</v>
      </c>
      <c r="C212" t="s">
        <v>1822</v>
      </c>
      <c r="D212" t="s">
        <v>1823</v>
      </c>
      <c r="E212" t="s">
        <v>1236</v>
      </c>
      <c r="F212" t="s">
        <v>1896</v>
      </c>
      <c r="G212" t="s">
        <v>5586</v>
      </c>
      <c r="H212">
        <v>0</v>
      </c>
      <c r="I212">
        <v>0</v>
      </c>
    </row>
    <row r="213" spans="1:9" x14ac:dyDescent="0.3">
      <c r="A213" t="s">
        <v>1897</v>
      </c>
      <c r="B213" t="s">
        <v>1898</v>
      </c>
      <c r="C213" t="s">
        <v>1822</v>
      </c>
      <c r="D213" t="s">
        <v>1823</v>
      </c>
      <c r="E213" t="s">
        <v>1236</v>
      </c>
      <c r="F213" t="s">
        <v>1870</v>
      </c>
      <c r="G213" t="s">
        <v>5569</v>
      </c>
      <c r="H213">
        <v>0</v>
      </c>
      <c r="I213">
        <v>0</v>
      </c>
    </row>
    <row r="214" spans="1:9" x14ac:dyDescent="0.3">
      <c r="A214" t="s">
        <v>1899</v>
      </c>
      <c r="B214" t="s">
        <v>1900</v>
      </c>
      <c r="C214" t="s">
        <v>1822</v>
      </c>
      <c r="D214" t="s">
        <v>1823</v>
      </c>
      <c r="E214" t="s">
        <v>1236</v>
      </c>
      <c r="F214" t="s">
        <v>1901</v>
      </c>
      <c r="G214" t="s">
        <v>5587</v>
      </c>
      <c r="H214">
        <v>0</v>
      </c>
      <c r="I214">
        <v>0</v>
      </c>
    </row>
    <row r="215" spans="1:9" x14ac:dyDescent="0.3">
      <c r="A215" t="s">
        <v>1902</v>
      </c>
      <c r="B215" t="s">
        <v>1903</v>
      </c>
      <c r="C215" t="s">
        <v>1822</v>
      </c>
      <c r="D215" t="s">
        <v>1823</v>
      </c>
      <c r="E215" t="s">
        <v>1236</v>
      </c>
      <c r="F215" t="s">
        <v>1904</v>
      </c>
      <c r="G215" t="s">
        <v>5588</v>
      </c>
      <c r="H215">
        <v>0</v>
      </c>
      <c r="I215">
        <v>0</v>
      </c>
    </row>
    <row r="216" spans="1:9" x14ac:dyDescent="0.3">
      <c r="A216" t="s">
        <v>1905</v>
      </c>
      <c r="B216" t="s">
        <v>1906</v>
      </c>
      <c r="C216" t="s">
        <v>1822</v>
      </c>
      <c r="D216" t="s">
        <v>1823</v>
      </c>
      <c r="E216" t="s">
        <v>1236</v>
      </c>
      <c r="F216" t="s">
        <v>1907</v>
      </c>
      <c r="G216" t="s">
        <v>5589</v>
      </c>
      <c r="H216" t="s">
        <v>1852</v>
      </c>
      <c r="I216">
        <v>0</v>
      </c>
    </row>
    <row r="217" spans="1:9" x14ac:dyDescent="0.3">
      <c r="A217" t="s">
        <v>1908</v>
      </c>
      <c r="B217" t="s">
        <v>1909</v>
      </c>
      <c r="C217" t="s">
        <v>1822</v>
      </c>
      <c r="D217" t="s">
        <v>1823</v>
      </c>
      <c r="E217" t="s">
        <v>1236</v>
      </c>
      <c r="F217" t="s">
        <v>1910</v>
      </c>
      <c r="G217" t="s">
        <v>5590</v>
      </c>
      <c r="H217" t="s">
        <v>1852</v>
      </c>
      <c r="I217">
        <v>0</v>
      </c>
    </row>
    <row r="218" spans="1:9" x14ac:dyDescent="0.3">
      <c r="A218" t="s">
        <v>1911</v>
      </c>
      <c r="B218" t="s">
        <v>1912</v>
      </c>
      <c r="C218" t="s">
        <v>1822</v>
      </c>
      <c r="D218" t="s">
        <v>1823</v>
      </c>
      <c r="E218" t="s">
        <v>1236</v>
      </c>
      <c r="F218" t="s">
        <v>1913</v>
      </c>
      <c r="G218" t="s">
        <v>5591</v>
      </c>
      <c r="H218" t="s">
        <v>1828</v>
      </c>
      <c r="I218">
        <v>0</v>
      </c>
    </row>
    <row r="219" spans="1:9" x14ac:dyDescent="0.3">
      <c r="A219" t="s">
        <v>1914</v>
      </c>
      <c r="B219" t="s">
        <v>1915</v>
      </c>
      <c r="C219" t="s">
        <v>1211</v>
      </c>
      <c r="D219" t="s">
        <v>1235</v>
      </c>
      <c r="E219" t="s">
        <v>1236</v>
      </c>
      <c r="F219" t="s">
        <v>1916</v>
      </c>
      <c r="G219" t="s">
        <v>5592</v>
      </c>
      <c r="H219">
        <v>0</v>
      </c>
      <c r="I219">
        <v>0</v>
      </c>
    </row>
    <row r="220" spans="1:9" x14ac:dyDescent="0.3">
      <c r="A220" t="s">
        <v>1917</v>
      </c>
      <c r="B220" t="s">
        <v>1918</v>
      </c>
      <c r="C220" t="s">
        <v>1211</v>
      </c>
      <c r="D220" t="s">
        <v>1235</v>
      </c>
      <c r="E220" t="s">
        <v>1236</v>
      </c>
      <c r="F220" t="s">
        <v>1919</v>
      </c>
      <c r="G220" t="s">
        <v>5593</v>
      </c>
      <c r="H220">
        <v>0</v>
      </c>
      <c r="I220">
        <v>0</v>
      </c>
    </row>
    <row r="221" spans="1:9" x14ac:dyDescent="0.3">
      <c r="A221" t="s">
        <v>1920</v>
      </c>
      <c r="B221" t="s">
        <v>1921</v>
      </c>
      <c r="C221" t="s">
        <v>1211</v>
      </c>
      <c r="D221" t="s">
        <v>1235</v>
      </c>
      <c r="E221" t="s">
        <v>1236</v>
      </c>
      <c r="F221" t="s">
        <v>1922</v>
      </c>
      <c r="G221" t="s">
        <v>5594</v>
      </c>
      <c r="H221" t="s">
        <v>1923</v>
      </c>
      <c r="I221">
        <v>0</v>
      </c>
    </row>
    <row r="222" spans="1:9" x14ac:dyDescent="0.3">
      <c r="A222" t="s">
        <v>1924</v>
      </c>
      <c r="B222" t="s">
        <v>1925</v>
      </c>
      <c r="C222" t="s">
        <v>1211</v>
      </c>
      <c r="D222" t="s">
        <v>1235</v>
      </c>
      <c r="E222" t="s">
        <v>1236</v>
      </c>
      <c r="F222" t="s">
        <v>1926</v>
      </c>
      <c r="G222" t="s">
        <v>5595</v>
      </c>
      <c r="H222" t="s">
        <v>1923</v>
      </c>
      <c r="I222">
        <v>0</v>
      </c>
    </row>
    <row r="223" spans="1:9" x14ac:dyDescent="0.3">
      <c r="A223" t="s">
        <v>1927</v>
      </c>
      <c r="B223" t="s">
        <v>1928</v>
      </c>
      <c r="C223" t="s">
        <v>1211</v>
      </c>
      <c r="D223" t="s">
        <v>1235</v>
      </c>
      <c r="E223" t="s">
        <v>1236</v>
      </c>
      <c r="F223" t="s">
        <v>1929</v>
      </c>
      <c r="G223" t="s">
        <v>5596</v>
      </c>
      <c r="H223" t="s">
        <v>1930</v>
      </c>
      <c r="I223">
        <v>0</v>
      </c>
    </row>
    <row r="224" spans="1:9" x14ac:dyDescent="0.3">
      <c r="A224" t="s">
        <v>1931</v>
      </c>
      <c r="B224" t="s">
        <v>1932</v>
      </c>
      <c r="C224" t="s">
        <v>1211</v>
      </c>
      <c r="D224" t="s">
        <v>1235</v>
      </c>
      <c r="E224" t="s">
        <v>1236</v>
      </c>
      <c r="F224" t="s">
        <v>1933</v>
      </c>
      <c r="G224" t="s">
        <v>5597</v>
      </c>
      <c r="H224" t="s">
        <v>1930</v>
      </c>
      <c r="I224">
        <v>0</v>
      </c>
    </row>
    <row r="225" spans="1:9" x14ac:dyDescent="0.3">
      <c r="A225" t="s">
        <v>1934</v>
      </c>
      <c r="B225" t="s">
        <v>1935</v>
      </c>
      <c r="C225" t="s">
        <v>1211</v>
      </c>
      <c r="D225" t="s">
        <v>1235</v>
      </c>
      <c r="E225" t="s">
        <v>1236</v>
      </c>
      <c r="F225" t="s">
        <v>1936</v>
      </c>
      <c r="G225" t="s">
        <v>5598</v>
      </c>
      <c r="H225">
        <v>0</v>
      </c>
      <c r="I225" t="s">
        <v>1937</v>
      </c>
    </row>
    <row r="226" spans="1:9" x14ac:dyDescent="0.3">
      <c r="A226" t="s">
        <v>1938</v>
      </c>
      <c r="B226" t="s">
        <v>1939</v>
      </c>
      <c r="C226" t="s">
        <v>1211</v>
      </c>
      <c r="D226" t="s">
        <v>1235</v>
      </c>
      <c r="E226" t="s">
        <v>1236</v>
      </c>
      <c r="F226" t="s">
        <v>1940</v>
      </c>
      <c r="G226" t="s">
        <v>5599</v>
      </c>
      <c r="H226" t="s">
        <v>1643</v>
      </c>
      <c r="I226" t="s">
        <v>1941</v>
      </c>
    </row>
    <row r="227" spans="1:9" x14ac:dyDescent="0.3">
      <c r="A227" t="s">
        <v>1942</v>
      </c>
      <c r="B227" t="s">
        <v>1943</v>
      </c>
      <c r="C227" t="s">
        <v>1211</v>
      </c>
      <c r="D227" t="s">
        <v>1235</v>
      </c>
      <c r="E227" t="s">
        <v>1236</v>
      </c>
      <c r="F227" t="s">
        <v>1944</v>
      </c>
      <c r="G227" t="s">
        <v>5600</v>
      </c>
      <c r="H227">
        <v>0</v>
      </c>
      <c r="I227">
        <v>0</v>
      </c>
    </row>
    <row r="228" spans="1:9" x14ac:dyDescent="0.3">
      <c r="A228" t="s">
        <v>1945</v>
      </c>
      <c r="B228" t="s">
        <v>1946</v>
      </c>
      <c r="C228" t="s">
        <v>1211</v>
      </c>
      <c r="D228" t="s">
        <v>1235</v>
      </c>
      <c r="E228" t="s">
        <v>1236</v>
      </c>
      <c r="F228" t="s">
        <v>1947</v>
      </c>
      <c r="G228" t="s">
        <v>5601</v>
      </c>
      <c r="H228">
        <v>0</v>
      </c>
      <c r="I228">
        <v>0</v>
      </c>
    </row>
    <row r="229" spans="1:9" x14ac:dyDescent="0.3">
      <c r="A229" t="s">
        <v>1948</v>
      </c>
      <c r="B229" t="s">
        <v>1949</v>
      </c>
      <c r="C229" t="s">
        <v>1211</v>
      </c>
      <c r="D229" t="s">
        <v>1235</v>
      </c>
      <c r="E229" t="s">
        <v>1236</v>
      </c>
      <c r="F229" t="s">
        <v>1950</v>
      </c>
      <c r="G229" t="s">
        <v>5602</v>
      </c>
      <c r="H229" t="s">
        <v>1951</v>
      </c>
      <c r="I229">
        <v>0</v>
      </c>
    </row>
    <row r="230" spans="1:9" x14ac:dyDescent="0.3">
      <c r="A230" t="s">
        <v>1952</v>
      </c>
      <c r="B230" t="s">
        <v>1953</v>
      </c>
      <c r="C230" t="s">
        <v>1211</v>
      </c>
      <c r="D230" t="s">
        <v>1235</v>
      </c>
      <c r="E230" t="s">
        <v>1236</v>
      </c>
      <c r="F230" t="s">
        <v>1954</v>
      </c>
      <c r="G230" t="s">
        <v>5603</v>
      </c>
      <c r="H230" t="s">
        <v>1951</v>
      </c>
      <c r="I230">
        <v>0</v>
      </c>
    </row>
    <row r="231" spans="1:9" x14ac:dyDescent="0.3">
      <c r="A231" t="s">
        <v>1955</v>
      </c>
      <c r="B231" t="s">
        <v>1956</v>
      </c>
      <c r="C231" t="s">
        <v>1211</v>
      </c>
      <c r="D231" t="s">
        <v>1235</v>
      </c>
      <c r="E231" t="s">
        <v>1236</v>
      </c>
      <c r="F231" t="s">
        <v>1957</v>
      </c>
      <c r="G231" t="s">
        <v>5604</v>
      </c>
      <c r="H231">
        <v>0</v>
      </c>
      <c r="I231">
        <v>0</v>
      </c>
    </row>
    <row r="232" spans="1:9" x14ac:dyDescent="0.3">
      <c r="A232" t="s">
        <v>1958</v>
      </c>
      <c r="B232" t="s">
        <v>1959</v>
      </c>
      <c r="C232" t="s">
        <v>1211</v>
      </c>
      <c r="D232" t="s">
        <v>1235</v>
      </c>
      <c r="E232" t="s">
        <v>1236</v>
      </c>
      <c r="F232" t="s">
        <v>1960</v>
      </c>
      <c r="G232" t="s">
        <v>5605</v>
      </c>
      <c r="H232">
        <v>0</v>
      </c>
      <c r="I232">
        <v>0</v>
      </c>
    </row>
    <row r="233" spans="1:9" x14ac:dyDescent="0.3">
      <c r="A233" t="s">
        <v>1961</v>
      </c>
      <c r="B233" t="s">
        <v>1962</v>
      </c>
      <c r="C233" t="s">
        <v>1211</v>
      </c>
      <c r="D233" t="s">
        <v>1235</v>
      </c>
      <c r="E233" t="s">
        <v>1236</v>
      </c>
      <c r="F233" t="s">
        <v>1963</v>
      </c>
      <c r="G233" t="s">
        <v>5606</v>
      </c>
      <c r="H233">
        <v>0</v>
      </c>
      <c r="I233">
        <v>0</v>
      </c>
    </row>
    <row r="234" spans="1:9" x14ac:dyDescent="0.3">
      <c r="A234" t="s">
        <v>1964</v>
      </c>
      <c r="B234" t="s">
        <v>1965</v>
      </c>
      <c r="C234" t="s">
        <v>1211</v>
      </c>
      <c r="D234" t="s">
        <v>1235</v>
      </c>
      <c r="E234" t="s">
        <v>1236</v>
      </c>
      <c r="F234" t="s">
        <v>1966</v>
      </c>
      <c r="G234" t="s">
        <v>5607</v>
      </c>
      <c r="H234">
        <v>0</v>
      </c>
      <c r="I234">
        <v>0</v>
      </c>
    </row>
    <row r="235" spans="1:9" x14ac:dyDescent="0.3">
      <c r="A235" t="s">
        <v>1967</v>
      </c>
      <c r="B235" t="s">
        <v>1968</v>
      </c>
      <c r="C235" t="s">
        <v>1211</v>
      </c>
      <c r="D235" t="s">
        <v>1235</v>
      </c>
      <c r="E235" t="s">
        <v>1236</v>
      </c>
      <c r="F235" t="s">
        <v>1969</v>
      </c>
      <c r="G235" t="s">
        <v>5608</v>
      </c>
      <c r="H235" t="s">
        <v>1930</v>
      </c>
      <c r="I235">
        <v>0</v>
      </c>
    </row>
    <row r="236" spans="1:9" x14ac:dyDescent="0.3">
      <c r="A236" t="s">
        <v>1970</v>
      </c>
      <c r="B236" t="s">
        <v>1971</v>
      </c>
      <c r="C236" t="s">
        <v>1211</v>
      </c>
      <c r="D236" t="s">
        <v>1235</v>
      </c>
      <c r="E236" t="s">
        <v>1236</v>
      </c>
      <c r="F236" t="s">
        <v>1940</v>
      </c>
      <c r="G236" t="s">
        <v>5599</v>
      </c>
      <c r="H236" t="s">
        <v>1930</v>
      </c>
      <c r="I236">
        <v>0</v>
      </c>
    </row>
    <row r="237" spans="1:9" x14ac:dyDescent="0.3">
      <c r="A237" t="s">
        <v>1972</v>
      </c>
      <c r="B237" t="s">
        <v>1973</v>
      </c>
      <c r="C237" t="s">
        <v>1211</v>
      </c>
      <c r="D237" t="s">
        <v>1235</v>
      </c>
      <c r="E237" t="s">
        <v>1236</v>
      </c>
      <c r="F237" t="s">
        <v>1940</v>
      </c>
      <c r="G237" t="s">
        <v>5599</v>
      </c>
      <c r="H237" t="s">
        <v>1930</v>
      </c>
      <c r="I237" t="s">
        <v>1974</v>
      </c>
    </row>
    <row r="238" spans="1:9" x14ac:dyDescent="0.3">
      <c r="A238" t="s">
        <v>1975</v>
      </c>
      <c r="B238" t="s">
        <v>1976</v>
      </c>
      <c r="C238" t="s">
        <v>1211</v>
      </c>
      <c r="D238" t="s">
        <v>1235</v>
      </c>
      <c r="E238" t="s">
        <v>1236</v>
      </c>
      <c r="F238" t="s">
        <v>1977</v>
      </c>
      <c r="G238" t="s">
        <v>5609</v>
      </c>
      <c r="H238">
        <v>0</v>
      </c>
      <c r="I238">
        <v>0</v>
      </c>
    </row>
    <row r="239" spans="1:9" x14ac:dyDescent="0.3">
      <c r="A239" t="s">
        <v>1978</v>
      </c>
      <c r="B239" t="s">
        <v>1979</v>
      </c>
      <c r="C239" t="s">
        <v>1211</v>
      </c>
      <c r="D239" t="s">
        <v>1235</v>
      </c>
      <c r="E239" t="s">
        <v>1236</v>
      </c>
      <c r="F239" t="s">
        <v>1980</v>
      </c>
      <c r="G239" t="s">
        <v>5610</v>
      </c>
      <c r="H239">
        <v>0</v>
      </c>
      <c r="I239">
        <v>0</v>
      </c>
    </row>
    <row r="240" spans="1:9" x14ac:dyDescent="0.3">
      <c r="A240" t="s">
        <v>1981</v>
      </c>
      <c r="B240" t="s">
        <v>1982</v>
      </c>
      <c r="C240" t="s">
        <v>1211</v>
      </c>
      <c r="D240" t="s">
        <v>1235</v>
      </c>
      <c r="E240" t="s">
        <v>1236</v>
      </c>
      <c r="F240" t="s">
        <v>1983</v>
      </c>
      <c r="G240" t="s">
        <v>5611</v>
      </c>
      <c r="H240" t="s">
        <v>1923</v>
      </c>
      <c r="I240">
        <v>0</v>
      </c>
    </row>
    <row r="241" spans="1:9" x14ac:dyDescent="0.3">
      <c r="A241" t="s">
        <v>1984</v>
      </c>
      <c r="B241" t="s">
        <v>1985</v>
      </c>
      <c r="C241" t="s">
        <v>1211</v>
      </c>
      <c r="D241" t="s">
        <v>1235</v>
      </c>
      <c r="E241" t="s">
        <v>1236</v>
      </c>
      <c r="F241" t="s">
        <v>1986</v>
      </c>
      <c r="G241" t="s">
        <v>5612</v>
      </c>
      <c r="H241">
        <v>0</v>
      </c>
      <c r="I241">
        <v>0</v>
      </c>
    </row>
    <row r="242" spans="1:9" x14ac:dyDescent="0.3">
      <c r="A242" t="s">
        <v>1987</v>
      </c>
      <c r="B242" t="s">
        <v>1988</v>
      </c>
      <c r="C242" t="s">
        <v>1211</v>
      </c>
      <c r="D242" t="s">
        <v>1235</v>
      </c>
      <c r="E242" t="s">
        <v>1236</v>
      </c>
      <c r="F242" t="s">
        <v>1989</v>
      </c>
      <c r="G242" t="s">
        <v>5613</v>
      </c>
      <c r="H242">
        <v>0</v>
      </c>
      <c r="I242">
        <v>0</v>
      </c>
    </row>
    <row r="243" spans="1:9" x14ac:dyDescent="0.3">
      <c r="A243" t="s">
        <v>1990</v>
      </c>
      <c r="B243" t="s">
        <v>1991</v>
      </c>
      <c r="C243" t="s">
        <v>1211</v>
      </c>
      <c r="D243" t="s">
        <v>1235</v>
      </c>
      <c r="E243" t="s">
        <v>1236</v>
      </c>
      <c r="F243" t="s">
        <v>1992</v>
      </c>
      <c r="G243" t="s">
        <v>5614</v>
      </c>
      <c r="H243" t="s">
        <v>1923</v>
      </c>
      <c r="I243">
        <v>0</v>
      </c>
    </row>
    <row r="244" spans="1:9" x14ac:dyDescent="0.3">
      <c r="A244" t="s">
        <v>1993</v>
      </c>
      <c r="B244" t="s">
        <v>1994</v>
      </c>
      <c r="C244" t="s">
        <v>1211</v>
      </c>
      <c r="D244" t="s">
        <v>1235</v>
      </c>
      <c r="E244" t="s">
        <v>1236</v>
      </c>
      <c r="F244" t="s">
        <v>1995</v>
      </c>
      <c r="G244" t="s">
        <v>5615</v>
      </c>
      <c r="H244">
        <v>0</v>
      </c>
      <c r="I244">
        <v>0</v>
      </c>
    </row>
    <row r="245" spans="1:9" x14ac:dyDescent="0.3">
      <c r="A245" t="s">
        <v>1996</v>
      </c>
      <c r="B245" t="s">
        <v>1997</v>
      </c>
      <c r="C245" t="s">
        <v>1211</v>
      </c>
      <c r="D245" t="s">
        <v>1235</v>
      </c>
      <c r="E245" t="s">
        <v>1236</v>
      </c>
      <c r="F245" t="s">
        <v>1998</v>
      </c>
      <c r="G245" t="s">
        <v>5616</v>
      </c>
      <c r="H245">
        <v>0</v>
      </c>
      <c r="I245">
        <v>0</v>
      </c>
    </row>
    <row r="246" spans="1:9" x14ac:dyDescent="0.3">
      <c r="A246" t="s">
        <v>1999</v>
      </c>
      <c r="B246" t="s">
        <v>2000</v>
      </c>
      <c r="C246" t="s">
        <v>1211</v>
      </c>
      <c r="D246" t="s">
        <v>1235</v>
      </c>
      <c r="E246" t="s">
        <v>1236</v>
      </c>
      <c r="F246" t="s">
        <v>2001</v>
      </c>
      <c r="G246" t="s">
        <v>5617</v>
      </c>
      <c r="H246" t="s">
        <v>1930</v>
      </c>
      <c r="I246">
        <v>0</v>
      </c>
    </row>
    <row r="247" spans="1:9" x14ac:dyDescent="0.3">
      <c r="A247" t="s">
        <v>2002</v>
      </c>
      <c r="B247" t="s">
        <v>2003</v>
      </c>
      <c r="C247" t="s">
        <v>1211</v>
      </c>
      <c r="D247" t="s">
        <v>1235</v>
      </c>
      <c r="E247" t="s">
        <v>1236</v>
      </c>
      <c r="F247" t="s">
        <v>2004</v>
      </c>
      <c r="G247" t="s">
        <v>5618</v>
      </c>
      <c r="H247" t="s">
        <v>2005</v>
      </c>
      <c r="I247">
        <v>0</v>
      </c>
    </row>
    <row r="248" spans="1:9" x14ac:dyDescent="0.3">
      <c r="A248" t="s">
        <v>2006</v>
      </c>
      <c r="B248" t="s">
        <v>2007</v>
      </c>
      <c r="C248" t="s">
        <v>1211</v>
      </c>
      <c r="D248" t="s">
        <v>1235</v>
      </c>
      <c r="E248" t="s">
        <v>1236</v>
      </c>
      <c r="F248" t="s">
        <v>2008</v>
      </c>
      <c r="G248" t="s">
        <v>5619</v>
      </c>
      <c r="H248" t="s">
        <v>2005</v>
      </c>
      <c r="I248">
        <v>0</v>
      </c>
    </row>
    <row r="249" spans="1:9" x14ac:dyDescent="0.3">
      <c r="A249" t="s">
        <v>2009</v>
      </c>
      <c r="B249" t="s">
        <v>2010</v>
      </c>
      <c r="C249" t="s">
        <v>1211</v>
      </c>
      <c r="D249" t="s">
        <v>1235</v>
      </c>
      <c r="E249" t="s">
        <v>1236</v>
      </c>
      <c r="F249" t="s">
        <v>2011</v>
      </c>
      <c r="G249" t="s">
        <v>5620</v>
      </c>
      <c r="H249">
        <v>0</v>
      </c>
      <c r="I249">
        <v>0</v>
      </c>
    </row>
    <row r="250" spans="1:9" x14ac:dyDescent="0.3">
      <c r="A250" t="s">
        <v>2012</v>
      </c>
      <c r="B250" t="s">
        <v>2013</v>
      </c>
      <c r="C250" t="s">
        <v>1211</v>
      </c>
      <c r="D250" t="s">
        <v>1235</v>
      </c>
      <c r="E250" t="s">
        <v>1236</v>
      </c>
      <c r="F250" t="s">
        <v>1936</v>
      </c>
      <c r="G250" t="s">
        <v>5598</v>
      </c>
      <c r="H250">
        <v>0</v>
      </c>
      <c r="I250" t="s">
        <v>1937</v>
      </c>
    </row>
    <row r="251" spans="1:9" x14ac:dyDescent="0.3">
      <c r="A251" t="s">
        <v>2014</v>
      </c>
      <c r="B251" t="s">
        <v>2015</v>
      </c>
      <c r="C251" t="s">
        <v>1211</v>
      </c>
      <c r="D251" t="s">
        <v>1235</v>
      </c>
      <c r="E251" t="s">
        <v>1236</v>
      </c>
      <c r="F251" t="s">
        <v>2016</v>
      </c>
      <c r="G251" t="s">
        <v>5621</v>
      </c>
      <c r="H251">
        <v>0</v>
      </c>
      <c r="I251">
        <v>0</v>
      </c>
    </row>
    <row r="252" spans="1:9" x14ac:dyDescent="0.3">
      <c r="A252" t="s">
        <v>2017</v>
      </c>
      <c r="B252" t="s">
        <v>2018</v>
      </c>
      <c r="C252" t="s">
        <v>1211</v>
      </c>
      <c r="D252" t="s">
        <v>1235</v>
      </c>
      <c r="E252" t="s">
        <v>1236</v>
      </c>
      <c r="F252" t="s">
        <v>2016</v>
      </c>
      <c r="G252" t="s">
        <v>5621</v>
      </c>
      <c r="H252">
        <v>0</v>
      </c>
      <c r="I252">
        <v>0</v>
      </c>
    </row>
    <row r="253" spans="1:9" x14ac:dyDescent="0.3">
      <c r="A253" t="s">
        <v>2019</v>
      </c>
      <c r="B253" t="s">
        <v>2020</v>
      </c>
      <c r="C253" t="s">
        <v>1211</v>
      </c>
      <c r="D253" t="s">
        <v>1235</v>
      </c>
      <c r="E253" t="s">
        <v>1236</v>
      </c>
      <c r="F253" t="s">
        <v>2021</v>
      </c>
      <c r="G253" t="s">
        <v>5622</v>
      </c>
      <c r="H253">
        <v>0</v>
      </c>
      <c r="I253">
        <v>0</v>
      </c>
    </row>
    <row r="254" spans="1:9" x14ac:dyDescent="0.3">
      <c r="A254" t="s">
        <v>2022</v>
      </c>
      <c r="B254" t="s">
        <v>2023</v>
      </c>
      <c r="C254" t="s">
        <v>1211</v>
      </c>
      <c r="D254" t="s">
        <v>1235</v>
      </c>
      <c r="E254" t="s">
        <v>1236</v>
      </c>
      <c r="F254" t="s">
        <v>2024</v>
      </c>
      <c r="G254" t="s">
        <v>5623</v>
      </c>
      <c r="H254">
        <v>0</v>
      </c>
      <c r="I254">
        <v>0</v>
      </c>
    </row>
    <row r="255" spans="1:9" x14ac:dyDescent="0.3">
      <c r="A255" t="s">
        <v>2025</v>
      </c>
      <c r="B255" t="s">
        <v>2026</v>
      </c>
      <c r="C255" t="s">
        <v>1211</v>
      </c>
      <c r="D255" t="s">
        <v>1235</v>
      </c>
      <c r="E255" t="s">
        <v>1236</v>
      </c>
      <c r="F255" t="s">
        <v>2027</v>
      </c>
      <c r="G255" t="s">
        <v>5624</v>
      </c>
      <c r="H255">
        <v>0</v>
      </c>
      <c r="I255">
        <v>0</v>
      </c>
    </row>
    <row r="256" spans="1:9" x14ac:dyDescent="0.3">
      <c r="A256" t="s">
        <v>2028</v>
      </c>
      <c r="B256" t="s">
        <v>2029</v>
      </c>
      <c r="C256" t="s">
        <v>1211</v>
      </c>
      <c r="D256" t="s">
        <v>1235</v>
      </c>
      <c r="E256" t="s">
        <v>1236</v>
      </c>
      <c r="F256" t="s">
        <v>2030</v>
      </c>
      <c r="G256" t="s">
        <v>5625</v>
      </c>
      <c r="H256" t="s">
        <v>1923</v>
      </c>
      <c r="I256" t="s">
        <v>2031</v>
      </c>
    </row>
    <row r="257" spans="1:9" x14ac:dyDescent="0.3">
      <c r="A257" t="s">
        <v>2032</v>
      </c>
      <c r="B257" t="s">
        <v>2033</v>
      </c>
      <c r="C257" t="s">
        <v>1211</v>
      </c>
      <c r="D257" t="s">
        <v>1235</v>
      </c>
      <c r="E257" t="s">
        <v>1236</v>
      </c>
      <c r="F257" t="s">
        <v>2030</v>
      </c>
      <c r="G257" t="s">
        <v>5625</v>
      </c>
      <c r="H257" t="s">
        <v>1923</v>
      </c>
      <c r="I257">
        <v>0</v>
      </c>
    </row>
    <row r="258" spans="1:9" x14ac:dyDescent="0.3">
      <c r="A258" t="s">
        <v>2034</v>
      </c>
      <c r="B258" t="s">
        <v>2035</v>
      </c>
      <c r="C258" t="s">
        <v>1211</v>
      </c>
      <c r="D258" t="s">
        <v>1235</v>
      </c>
      <c r="E258" t="s">
        <v>1236</v>
      </c>
      <c r="F258" t="s">
        <v>2036</v>
      </c>
      <c r="G258" t="s">
        <v>5626</v>
      </c>
      <c r="H258">
        <v>0</v>
      </c>
      <c r="I258">
        <v>0</v>
      </c>
    </row>
    <row r="259" spans="1:9" x14ac:dyDescent="0.3">
      <c r="A259" t="s">
        <v>2037</v>
      </c>
      <c r="B259" t="s">
        <v>2038</v>
      </c>
      <c r="C259" t="s">
        <v>1211</v>
      </c>
      <c r="D259" t="s">
        <v>1235</v>
      </c>
      <c r="E259" t="s">
        <v>1236</v>
      </c>
      <c r="F259" t="s">
        <v>2039</v>
      </c>
      <c r="G259" t="s">
        <v>5627</v>
      </c>
      <c r="H259" t="s">
        <v>2005</v>
      </c>
      <c r="I259">
        <v>0</v>
      </c>
    </row>
    <row r="260" spans="1:9" x14ac:dyDescent="0.3">
      <c r="A260" t="s">
        <v>2040</v>
      </c>
      <c r="B260" t="s">
        <v>2041</v>
      </c>
      <c r="C260" t="s">
        <v>1211</v>
      </c>
      <c r="D260" t="s">
        <v>1235</v>
      </c>
      <c r="E260" t="s">
        <v>1236</v>
      </c>
      <c r="F260" t="s">
        <v>2039</v>
      </c>
      <c r="G260" t="s">
        <v>5627</v>
      </c>
      <c r="H260" t="s">
        <v>2005</v>
      </c>
      <c r="I260" t="s">
        <v>2042</v>
      </c>
    </row>
    <row r="261" spans="1:9" x14ac:dyDescent="0.3">
      <c r="A261" t="s">
        <v>2043</v>
      </c>
      <c r="B261" t="s">
        <v>2044</v>
      </c>
      <c r="C261" t="s">
        <v>1211</v>
      </c>
      <c r="D261" t="s">
        <v>1235</v>
      </c>
      <c r="E261" t="s">
        <v>1236</v>
      </c>
      <c r="F261" t="s">
        <v>2045</v>
      </c>
      <c r="G261" t="s">
        <v>5628</v>
      </c>
      <c r="H261">
        <v>0</v>
      </c>
      <c r="I261">
        <v>0</v>
      </c>
    </row>
    <row r="262" spans="1:9" x14ac:dyDescent="0.3">
      <c r="A262" t="s">
        <v>2046</v>
      </c>
      <c r="B262" t="s">
        <v>2047</v>
      </c>
      <c r="C262" t="s">
        <v>1211</v>
      </c>
      <c r="D262" t="s">
        <v>1235</v>
      </c>
      <c r="E262" t="s">
        <v>1236</v>
      </c>
      <c r="F262" t="s">
        <v>2048</v>
      </c>
      <c r="G262" t="s">
        <v>5629</v>
      </c>
      <c r="H262" t="s">
        <v>1951</v>
      </c>
      <c r="I262">
        <v>0</v>
      </c>
    </row>
    <row r="263" spans="1:9" x14ac:dyDescent="0.3">
      <c r="A263" t="s">
        <v>2049</v>
      </c>
      <c r="B263" t="s">
        <v>2050</v>
      </c>
      <c r="C263" t="s">
        <v>1211</v>
      </c>
      <c r="D263" t="s">
        <v>1235</v>
      </c>
      <c r="E263" t="s">
        <v>1236</v>
      </c>
      <c r="F263" t="s">
        <v>2051</v>
      </c>
      <c r="G263" t="s">
        <v>5630</v>
      </c>
      <c r="H263" t="s">
        <v>1951</v>
      </c>
      <c r="I263">
        <v>0</v>
      </c>
    </row>
    <row r="264" spans="1:9" x14ac:dyDescent="0.3">
      <c r="A264" t="s">
        <v>2052</v>
      </c>
      <c r="B264" t="s">
        <v>2053</v>
      </c>
      <c r="C264" t="s">
        <v>1211</v>
      </c>
      <c r="D264" t="s">
        <v>1235</v>
      </c>
      <c r="E264" t="s">
        <v>1236</v>
      </c>
      <c r="F264" t="s">
        <v>1936</v>
      </c>
      <c r="G264" t="s">
        <v>5598</v>
      </c>
      <c r="H264">
        <v>0</v>
      </c>
      <c r="I264" t="s">
        <v>1937</v>
      </c>
    </row>
    <row r="265" spans="1:9" x14ac:dyDescent="0.3">
      <c r="A265" t="s">
        <v>2054</v>
      </c>
      <c r="B265" t="s">
        <v>2055</v>
      </c>
      <c r="C265" t="s">
        <v>1211</v>
      </c>
      <c r="D265" t="s">
        <v>1235</v>
      </c>
      <c r="E265" t="s">
        <v>1236</v>
      </c>
      <c r="F265" t="s">
        <v>2056</v>
      </c>
      <c r="G265" t="s">
        <v>5631</v>
      </c>
      <c r="H265" t="s">
        <v>1930</v>
      </c>
      <c r="I265">
        <v>0</v>
      </c>
    </row>
    <row r="266" spans="1:9" x14ac:dyDescent="0.3">
      <c r="A266" t="s">
        <v>2057</v>
      </c>
      <c r="B266" t="s">
        <v>2058</v>
      </c>
      <c r="C266" t="s">
        <v>1211</v>
      </c>
      <c r="D266" t="s">
        <v>1235</v>
      </c>
      <c r="E266" t="s">
        <v>1236</v>
      </c>
      <c r="F266" t="s">
        <v>2059</v>
      </c>
      <c r="G266" t="s">
        <v>5632</v>
      </c>
      <c r="H266">
        <v>0</v>
      </c>
      <c r="I266">
        <v>0</v>
      </c>
    </row>
    <row r="267" spans="1:9" x14ac:dyDescent="0.3">
      <c r="A267" t="s">
        <v>2060</v>
      </c>
      <c r="B267" t="s">
        <v>2061</v>
      </c>
      <c r="C267" t="s">
        <v>1211</v>
      </c>
      <c r="D267" t="s">
        <v>1235</v>
      </c>
      <c r="E267" t="s">
        <v>1236</v>
      </c>
      <c r="F267" t="s">
        <v>2062</v>
      </c>
      <c r="G267" t="s">
        <v>5633</v>
      </c>
      <c r="H267">
        <v>0</v>
      </c>
      <c r="I267">
        <v>0</v>
      </c>
    </row>
    <row r="268" spans="1:9" x14ac:dyDescent="0.3">
      <c r="A268" t="s">
        <v>2063</v>
      </c>
      <c r="B268" t="s">
        <v>2064</v>
      </c>
      <c r="C268" t="s">
        <v>1212</v>
      </c>
      <c r="D268" t="s">
        <v>1235</v>
      </c>
      <c r="E268" t="s">
        <v>1236</v>
      </c>
      <c r="F268" t="s">
        <v>2065</v>
      </c>
      <c r="G268" t="s">
        <v>5634</v>
      </c>
      <c r="H268" t="s">
        <v>2066</v>
      </c>
      <c r="I268">
        <v>0</v>
      </c>
    </row>
    <row r="269" spans="1:9" x14ac:dyDescent="0.3">
      <c r="A269" t="s">
        <v>2067</v>
      </c>
      <c r="B269" t="s">
        <v>2068</v>
      </c>
      <c r="C269" t="s">
        <v>1212</v>
      </c>
      <c r="D269" t="s">
        <v>1235</v>
      </c>
      <c r="E269" t="s">
        <v>1236</v>
      </c>
      <c r="F269" t="s">
        <v>2069</v>
      </c>
      <c r="G269" t="s">
        <v>5635</v>
      </c>
      <c r="H269" t="s">
        <v>2070</v>
      </c>
      <c r="I269">
        <v>0</v>
      </c>
    </row>
    <row r="270" spans="1:9" x14ac:dyDescent="0.3">
      <c r="A270" t="s">
        <v>2071</v>
      </c>
      <c r="B270" t="s">
        <v>2072</v>
      </c>
      <c r="C270" t="s">
        <v>1212</v>
      </c>
      <c r="D270" t="s">
        <v>1235</v>
      </c>
      <c r="E270" t="s">
        <v>1236</v>
      </c>
      <c r="F270" t="s">
        <v>2073</v>
      </c>
      <c r="G270" t="s">
        <v>5636</v>
      </c>
      <c r="H270" t="s">
        <v>2070</v>
      </c>
      <c r="I270">
        <v>0</v>
      </c>
    </row>
    <row r="271" spans="1:9" x14ac:dyDescent="0.3">
      <c r="A271" t="s">
        <v>2074</v>
      </c>
      <c r="B271" t="s">
        <v>2075</v>
      </c>
      <c r="C271" t="s">
        <v>1212</v>
      </c>
      <c r="D271" t="s">
        <v>1235</v>
      </c>
      <c r="E271" t="s">
        <v>1236</v>
      </c>
      <c r="F271" t="s">
        <v>2076</v>
      </c>
      <c r="G271" t="s">
        <v>5637</v>
      </c>
      <c r="H271" t="s">
        <v>75</v>
      </c>
      <c r="I271">
        <v>0</v>
      </c>
    </row>
    <row r="272" spans="1:9" x14ac:dyDescent="0.3">
      <c r="A272" t="s">
        <v>2077</v>
      </c>
      <c r="B272" t="s">
        <v>2078</v>
      </c>
      <c r="C272" t="s">
        <v>1212</v>
      </c>
      <c r="D272" t="s">
        <v>1235</v>
      </c>
      <c r="E272" t="s">
        <v>1236</v>
      </c>
      <c r="F272" t="s">
        <v>2079</v>
      </c>
      <c r="G272" t="s">
        <v>5638</v>
      </c>
      <c r="H272" t="s">
        <v>2066</v>
      </c>
      <c r="I272">
        <v>0</v>
      </c>
    </row>
    <row r="273" spans="1:9" x14ac:dyDescent="0.3">
      <c r="A273" t="s">
        <v>2080</v>
      </c>
      <c r="B273" t="s">
        <v>2081</v>
      </c>
      <c r="C273" t="s">
        <v>1212</v>
      </c>
      <c r="D273" t="s">
        <v>1235</v>
      </c>
      <c r="E273" t="s">
        <v>1236</v>
      </c>
      <c r="F273" t="s">
        <v>2082</v>
      </c>
      <c r="G273" t="s">
        <v>5639</v>
      </c>
      <c r="H273" t="s">
        <v>2066</v>
      </c>
      <c r="I273">
        <v>0</v>
      </c>
    </row>
    <row r="274" spans="1:9" x14ac:dyDescent="0.3">
      <c r="A274" t="s">
        <v>2083</v>
      </c>
      <c r="B274" t="s">
        <v>2084</v>
      </c>
      <c r="C274" t="s">
        <v>1212</v>
      </c>
      <c r="D274" t="s">
        <v>1235</v>
      </c>
      <c r="E274" t="s">
        <v>1236</v>
      </c>
      <c r="F274" t="s">
        <v>2085</v>
      </c>
      <c r="G274" t="s">
        <v>5640</v>
      </c>
      <c r="H274">
        <v>0</v>
      </c>
      <c r="I274">
        <v>0</v>
      </c>
    </row>
    <row r="275" spans="1:9" x14ac:dyDescent="0.3">
      <c r="A275" t="s">
        <v>2086</v>
      </c>
      <c r="B275" t="s">
        <v>2087</v>
      </c>
      <c r="C275" t="s">
        <v>1212</v>
      </c>
      <c r="D275" t="s">
        <v>1235</v>
      </c>
      <c r="E275" t="s">
        <v>1236</v>
      </c>
      <c r="F275" t="s">
        <v>2088</v>
      </c>
      <c r="G275" t="s">
        <v>5641</v>
      </c>
      <c r="H275" t="s">
        <v>2066</v>
      </c>
      <c r="I275">
        <v>0</v>
      </c>
    </row>
    <row r="276" spans="1:9" x14ac:dyDescent="0.3">
      <c r="A276" t="s">
        <v>2089</v>
      </c>
      <c r="B276" t="s">
        <v>2090</v>
      </c>
      <c r="C276" t="s">
        <v>1212</v>
      </c>
      <c r="D276" t="s">
        <v>1235</v>
      </c>
      <c r="E276" t="s">
        <v>1236</v>
      </c>
      <c r="F276" t="s">
        <v>2091</v>
      </c>
      <c r="G276" t="s">
        <v>5642</v>
      </c>
      <c r="H276" t="s">
        <v>2066</v>
      </c>
      <c r="I276">
        <v>0</v>
      </c>
    </row>
    <row r="277" spans="1:9" x14ac:dyDescent="0.3">
      <c r="A277" t="s">
        <v>2092</v>
      </c>
      <c r="B277" t="s">
        <v>2093</v>
      </c>
      <c r="C277" t="s">
        <v>1212</v>
      </c>
      <c r="D277" t="s">
        <v>1235</v>
      </c>
      <c r="E277" t="s">
        <v>1236</v>
      </c>
      <c r="F277" t="s">
        <v>2094</v>
      </c>
      <c r="G277" t="s">
        <v>5643</v>
      </c>
      <c r="H277">
        <v>0</v>
      </c>
      <c r="I277">
        <v>0</v>
      </c>
    </row>
    <row r="278" spans="1:9" x14ac:dyDescent="0.3">
      <c r="A278" t="s">
        <v>2095</v>
      </c>
      <c r="B278" t="s">
        <v>2096</v>
      </c>
      <c r="C278" t="s">
        <v>1212</v>
      </c>
      <c r="D278" t="s">
        <v>1235</v>
      </c>
      <c r="E278" t="s">
        <v>1236</v>
      </c>
      <c r="F278" t="s">
        <v>2097</v>
      </c>
      <c r="G278" t="s">
        <v>5644</v>
      </c>
      <c r="H278" t="s">
        <v>296</v>
      </c>
      <c r="I278">
        <v>0</v>
      </c>
    </row>
    <row r="279" spans="1:9" x14ac:dyDescent="0.3">
      <c r="A279" t="s">
        <v>2098</v>
      </c>
      <c r="B279" t="s">
        <v>2099</v>
      </c>
      <c r="C279" t="s">
        <v>1212</v>
      </c>
      <c r="D279" t="s">
        <v>1235</v>
      </c>
      <c r="E279" t="s">
        <v>1236</v>
      </c>
      <c r="F279" t="s">
        <v>2100</v>
      </c>
      <c r="G279" t="s">
        <v>5645</v>
      </c>
      <c r="H279" t="s">
        <v>2101</v>
      </c>
      <c r="I279">
        <v>0</v>
      </c>
    </row>
    <row r="280" spans="1:9" x14ac:dyDescent="0.3">
      <c r="A280" t="s">
        <v>2102</v>
      </c>
      <c r="B280" t="s">
        <v>2103</v>
      </c>
      <c r="C280" t="s">
        <v>1212</v>
      </c>
      <c r="D280" t="s">
        <v>1235</v>
      </c>
      <c r="E280" t="s">
        <v>1236</v>
      </c>
      <c r="F280" t="s">
        <v>2104</v>
      </c>
      <c r="G280" t="s">
        <v>5646</v>
      </c>
      <c r="H280" t="s">
        <v>2070</v>
      </c>
      <c r="I280">
        <v>0</v>
      </c>
    </row>
    <row r="281" spans="1:9" x14ac:dyDescent="0.3">
      <c r="A281" t="s">
        <v>2105</v>
      </c>
      <c r="B281" t="s">
        <v>2106</v>
      </c>
      <c r="C281" t="s">
        <v>1212</v>
      </c>
      <c r="D281" t="s">
        <v>1235</v>
      </c>
      <c r="E281" t="s">
        <v>1236</v>
      </c>
      <c r="F281" t="s">
        <v>2107</v>
      </c>
      <c r="G281" t="s">
        <v>5647</v>
      </c>
      <c r="H281" t="s">
        <v>2070</v>
      </c>
      <c r="I281">
        <v>0</v>
      </c>
    </row>
    <row r="282" spans="1:9" x14ac:dyDescent="0.3">
      <c r="A282" t="s">
        <v>2108</v>
      </c>
      <c r="B282" t="s">
        <v>2109</v>
      </c>
      <c r="C282" t="s">
        <v>1212</v>
      </c>
      <c r="D282" t="s">
        <v>1235</v>
      </c>
      <c r="E282" t="s">
        <v>1236</v>
      </c>
      <c r="F282" t="s">
        <v>2110</v>
      </c>
      <c r="G282" t="s">
        <v>5648</v>
      </c>
      <c r="H282" t="s">
        <v>2066</v>
      </c>
      <c r="I282">
        <v>0</v>
      </c>
    </row>
    <row r="283" spans="1:9" x14ac:dyDescent="0.3">
      <c r="A283" t="s">
        <v>2111</v>
      </c>
      <c r="B283" t="s">
        <v>2112</v>
      </c>
      <c r="C283" t="s">
        <v>1212</v>
      </c>
      <c r="D283" t="s">
        <v>1235</v>
      </c>
      <c r="E283" t="s">
        <v>1236</v>
      </c>
      <c r="F283" t="s">
        <v>2113</v>
      </c>
      <c r="G283" t="s">
        <v>5649</v>
      </c>
      <c r="H283" t="s">
        <v>2066</v>
      </c>
      <c r="I283">
        <v>0</v>
      </c>
    </row>
    <row r="284" spans="1:9" x14ac:dyDescent="0.3">
      <c r="A284" t="s">
        <v>2114</v>
      </c>
      <c r="B284" t="s">
        <v>2115</v>
      </c>
      <c r="C284" t="s">
        <v>1212</v>
      </c>
      <c r="D284" t="s">
        <v>1235</v>
      </c>
      <c r="E284" t="s">
        <v>1236</v>
      </c>
      <c r="F284" t="s">
        <v>2116</v>
      </c>
      <c r="G284" t="s">
        <v>5650</v>
      </c>
      <c r="H284" t="s">
        <v>2070</v>
      </c>
      <c r="I284">
        <v>0</v>
      </c>
    </row>
    <row r="285" spans="1:9" x14ac:dyDescent="0.3">
      <c r="A285" t="s">
        <v>2117</v>
      </c>
      <c r="B285" t="s">
        <v>2118</v>
      </c>
      <c r="C285" t="s">
        <v>1212</v>
      </c>
      <c r="D285" t="s">
        <v>1235</v>
      </c>
      <c r="E285" t="s">
        <v>1236</v>
      </c>
      <c r="F285" t="s">
        <v>2119</v>
      </c>
      <c r="G285" t="s">
        <v>5651</v>
      </c>
      <c r="H285" t="s">
        <v>2120</v>
      </c>
      <c r="I285">
        <v>0</v>
      </c>
    </row>
    <row r="286" spans="1:9" x14ac:dyDescent="0.3">
      <c r="A286" t="s">
        <v>2121</v>
      </c>
      <c r="B286" t="s">
        <v>2122</v>
      </c>
      <c r="C286" t="s">
        <v>1212</v>
      </c>
      <c r="D286" t="s">
        <v>1235</v>
      </c>
      <c r="E286" t="s">
        <v>1236</v>
      </c>
      <c r="F286" t="s">
        <v>2123</v>
      </c>
      <c r="G286" t="s">
        <v>5652</v>
      </c>
      <c r="H286" t="s">
        <v>2120</v>
      </c>
      <c r="I286">
        <v>0</v>
      </c>
    </row>
    <row r="287" spans="1:9" x14ac:dyDescent="0.3">
      <c r="A287" t="s">
        <v>2124</v>
      </c>
      <c r="B287" t="s">
        <v>2125</v>
      </c>
      <c r="C287" t="s">
        <v>1212</v>
      </c>
      <c r="D287" t="s">
        <v>1235</v>
      </c>
      <c r="E287" t="s">
        <v>1236</v>
      </c>
      <c r="F287" t="s">
        <v>2126</v>
      </c>
      <c r="G287" t="s">
        <v>5653</v>
      </c>
      <c r="H287" t="s">
        <v>2120</v>
      </c>
      <c r="I287">
        <v>0</v>
      </c>
    </row>
    <row r="288" spans="1:9" x14ac:dyDescent="0.3">
      <c r="A288" t="s">
        <v>2127</v>
      </c>
      <c r="B288" t="s">
        <v>2128</v>
      </c>
      <c r="C288" t="s">
        <v>1212</v>
      </c>
      <c r="D288" t="s">
        <v>1235</v>
      </c>
      <c r="E288" t="s">
        <v>1236</v>
      </c>
      <c r="F288" t="s">
        <v>2129</v>
      </c>
      <c r="G288" t="s">
        <v>5654</v>
      </c>
      <c r="H288" t="s">
        <v>2101</v>
      </c>
      <c r="I288">
        <v>0</v>
      </c>
    </row>
    <row r="289" spans="1:9" x14ac:dyDescent="0.3">
      <c r="A289" t="s">
        <v>2130</v>
      </c>
      <c r="B289" t="s">
        <v>2131</v>
      </c>
      <c r="C289" t="s">
        <v>1212</v>
      </c>
      <c r="D289" t="s">
        <v>1235</v>
      </c>
      <c r="E289" t="s">
        <v>1236</v>
      </c>
      <c r="F289" t="s">
        <v>2132</v>
      </c>
      <c r="G289" t="s">
        <v>5655</v>
      </c>
      <c r="H289">
        <v>0</v>
      </c>
      <c r="I289">
        <v>0</v>
      </c>
    </row>
    <row r="290" spans="1:9" x14ac:dyDescent="0.3">
      <c r="A290" t="s">
        <v>2133</v>
      </c>
      <c r="B290" t="s">
        <v>2134</v>
      </c>
      <c r="C290" t="s">
        <v>1212</v>
      </c>
      <c r="D290" t="s">
        <v>1235</v>
      </c>
      <c r="E290" t="s">
        <v>1236</v>
      </c>
      <c r="F290" t="s">
        <v>2135</v>
      </c>
      <c r="G290" t="s">
        <v>5656</v>
      </c>
      <c r="H290">
        <v>0</v>
      </c>
      <c r="I290">
        <v>0</v>
      </c>
    </row>
    <row r="291" spans="1:9" x14ac:dyDescent="0.3">
      <c r="A291" t="s">
        <v>2136</v>
      </c>
      <c r="B291" t="s">
        <v>2137</v>
      </c>
      <c r="C291" t="s">
        <v>305</v>
      </c>
      <c r="D291" t="s">
        <v>1599</v>
      </c>
      <c r="E291" t="s">
        <v>1236</v>
      </c>
      <c r="F291" t="s">
        <v>2138</v>
      </c>
      <c r="G291" t="s">
        <v>5657</v>
      </c>
      <c r="H291" t="s">
        <v>2139</v>
      </c>
      <c r="I291">
        <v>0</v>
      </c>
    </row>
    <row r="292" spans="1:9" x14ac:dyDescent="0.3">
      <c r="A292" t="s">
        <v>2140</v>
      </c>
      <c r="B292" t="s">
        <v>2141</v>
      </c>
      <c r="C292" t="s">
        <v>305</v>
      </c>
      <c r="D292" t="s">
        <v>1599</v>
      </c>
      <c r="E292" t="s">
        <v>1236</v>
      </c>
      <c r="F292" t="s">
        <v>2142</v>
      </c>
      <c r="G292" t="s">
        <v>5658</v>
      </c>
      <c r="H292" t="s">
        <v>2139</v>
      </c>
      <c r="I292">
        <v>0</v>
      </c>
    </row>
    <row r="293" spans="1:9" x14ac:dyDescent="0.3">
      <c r="A293" t="s">
        <v>2143</v>
      </c>
      <c r="B293" t="s">
        <v>2144</v>
      </c>
      <c r="C293" t="s">
        <v>305</v>
      </c>
      <c r="D293" t="s">
        <v>1599</v>
      </c>
      <c r="E293" t="s">
        <v>1236</v>
      </c>
      <c r="F293" t="s">
        <v>2145</v>
      </c>
      <c r="G293" t="s">
        <v>5659</v>
      </c>
      <c r="H293" t="s">
        <v>2146</v>
      </c>
      <c r="I293">
        <v>0</v>
      </c>
    </row>
    <row r="294" spans="1:9" x14ac:dyDescent="0.3">
      <c r="A294" t="s">
        <v>2147</v>
      </c>
      <c r="B294" t="s">
        <v>2148</v>
      </c>
      <c r="C294" t="s">
        <v>305</v>
      </c>
      <c r="D294" t="s">
        <v>1599</v>
      </c>
      <c r="E294" t="s">
        <v>1236</v>
      </c>
      <c r="F294" t="s">
        <v>2149</v>
      </c>
      <c r="G294" t="s">
        <v>5660</v>
      </c>
      <c r="H294">
        <v>0</v>
      </c>
      <c r="I294">
        <v>0</v>
      </c>
    </row>
    <row r="295" spans="1:9" x14ac:dyDescent="0.3">
      <c r="A295" t="s">
        <v>2150</v>
      </c>
      <c r="B295" t="s">
        <v>2151</v>
      </c>
      <c r="C295" t="s">
        <v>305</v>
      </c>
      <c r="D295" t="s">
        <v>1599</v>
      </c>
      <c r="E295" t="s">
        <v>1236</v>
      </c>
      <c r="F295" t="s">
        <v>2152</v>
      </c>
      <c r="G295" t="s">
        <v>5661</v>
      </c>
      <c r="H295">
        <v>0</v>
      </c>
      <c r="I295">
        <v>0</v>
      </c>
    </row>
    <row r="296" spans="1:9" x14ac:dyDescent="0.3">
      <c r="A296" t="s">
        <v>2153</v>
      </c>
      <c r="B296" t="s">
        <v>2154</v>
      </c>
      <c r="C296" t="s">
        <v>305</v>
      </c>
      <c r="D296" t="s">
        <v>1599</v>
      </c>
      <c r="E296" t="s">
        <v>1236</v>
      </c>
      <c r="F296" t="s">
        <v>2155</v>
      </c>
      <c r="G296" t="s">
        <v>5662</v>
      </c>
      <c r="H296">
        <v>0</v>
      </c>
      <c r="I296">
        <v>0</v>
      </c>
    </row>
    <row r="297" spans="1:9" x14ac:dyDescent="0.3">
      <c r="A297" t="s">
        <v>2156</v>
      </c>
      <c r="B297" t="s">
        <v>2157</v>
      </c>
      <c r="C297" t="s">
        <v>305</v>
      </c>
      <c r="D297" t="s">
        <v>1599</v>
      </c>
      <c r="E297" t="s">
        <v>1236</v>
      </c>
      <c r="F297" t="s">
        <v>2158</v>
      </c>
      <c r="G297" t="s">
        <v>5663</v>
      </c>
      <c r="H297" t="s">
        <v>2159</v>
      </c>
      <c r="I297">
        <v>0</v>
      </c>
    </row>
    <row r="298" spans="1:9" x14ac:dyDescent="0.3">
      <c r="A298" t="s">
        <v>2160</v>
      </c>
      <c r="B298" t="s">
        <v>2161</v>
      </c>
      <c r="C298" t="s">
        <v>305</v>
      </c>
      <c r="D298" t="s">
        <v>1599</v>
      </c>
      <c r="E298" t="s">
        <v>1236</v>
      </c>
      <c r="F298" t="s">
        <v>2162</v>
      </c>
      <c r="G298" t="s">
        <v>5664</v>
      </c>
      <c r="H298" t="s">
        <v>2146</v>
      </c>
      <c r="I298">
        <v>0</v>
      </c>
    </row>
    <row r="299" spans="1:9" x14ac:dyDescent="0.3">
      <c r="A299" t="s">
        <v>2163</v>
      </c>
      <c r="B299" t="s">
        <v>2164</v>
      </c>
      <c r="C299" t="s">
        <v>305</v>
      </c>
      <c r="D299" t="s">
        <v>1599</v>
      </c>
      <c r="E299" t="s">
        <v>1236</v>
      </c>
      <c r="F299" t="s">
        <v>2165</v>
      </c>
      <c r="G299" t="s">
        <v>5665</v>
      </c>
      <c r="H299">
        <v>0</v>
      </c>
      <c r="I299">
        <v>0</v>
      </c>
    </row>
    <row r="300" spans="1:9" x14ac:dyDescent="0.3">
      <c r="A300" t="s">
        <v>2166</v>
      </c>
      <c r="B300" t="s">
        <v>2167</v>
      </c>
      <c r="C300" t="s">
        <v>305</v>
      </c>
      <c r="D300" t="s">
        <v>1599</v>
      </c>
      <c r="E300" t="s">
        <v>1236</v>
      </c>
      <c r="F300" t="s">
        <v>2168</v>
      </c>
      <c r="G300" t="s">
        <v>5666</v>
      </c>
      <c r="H300">
        <v>0</v>
      </c>
      <c r="I300">
        <v>0</v>
      </c>
    </row>
    <row r="301" spans="1:9" x14ac:dyDescent="0.3">
      <c r="A301" t="s">
        <v>2169</v>
      </c>
      <c r="B301" t="s">
        <v>2170</v>
      </c>
      <c r="C301" t="s">
        <v>305</v>
      </c>
      <c r="D301" t="s">
        <v>1599</v>
      </c>
      <c r="E301" t="s">
        <v>1236</v>
      </c>
      <c r="F301" t="s">
        <v>2171</v>
      </c>
      <c r="G301" t="s">
        <v>5667</v>
      </c>
      <c r="H301">
        <v>0</v>
      </c>
      <c r="I301">
        <v>0</v>
      </c>
    </row>
    <row r="302" spans="1:9" x14ac:dyDescent="0.3">
      <c r="A302" t="s">
        <v>2172</v>
      </c>
      <c r="B302" t="s">
        <v>2173</v>
      </c>
      <c r="C302" t="s">
        <v>305</v>
      </c>
      <c r="D302" t="s">
        <v>1599</v>
      </c>
      <c r="E302" t="s">
        <v>1236</v>
      </c>
      <c r="F302" t="s">
        <v>2174</v>
      </c>
      <c r="G302" t="s">
        <v>5668</v>
      </c>
      <c r="H302">
        <v>0</v>
      </c>
      <c r="I302">
        <v>0</v>
      </c>
    </row>
    <row r="303" spans="1:9" x14ac:dyDescent="0.3">
      <c r="A303" t="s">
        <v>2175</v>
      </c>
      <c r="B303" t="s">
        <v>2176</v>
      </c>
      <c r="C303" t="s">
        <v>305</v>
      </c>
      <c r="D303" t="s">
        <v>1599</v>
      </c>
      <c r="E303" t="s">
        <v>1236</v>
      </c>
      <c r="F303" t="s">
        <v>2177</v>
      </c>
      <c r="G303" t="s">
        <v>5669</v>
      </c>
      <c r="H303" t="s">
        <v>1010</v>
      </c>
      <c r="I303">
        <v>0</v>
      </c>
    </row>
    <row r="304" spans="1:9" x14ac:dyDescent="0.3">
      <c r="A304" t="s">
        <v>2178</v>
      </c>
      <c r="B304" t="s">
        <v>2179</v>
      </c>
      <c r="C304" t="s">
        <v>305</v>
      </c>
      <c r="D304" t="s">
        <v>1599</v>
      </c>
      <c r="E304" t="s">
        <v>1236</v>
      </c>
      <c r="F304" t="s">
        <v>2180</v>
      </c>
      <c r="G304" t="s">
        <v>5670</v>
      </c>
      <c r="H304" t="s">
        <v>2159</v>
      </c>
      <c r="I304">
        <v>0</v>
      </c>
    </row>
    <row r="305" spans="1:9" x14ac:dyDescent="0.3">
      <c r="A305" t="s">
        <v>2181</v>
      </c>
      <c r="B305" t="s">
        <v>2182</v>
      </c>
      <c r="C305" t="s">
        <v>305</v>
      </c>
      <c r="D305" t="s">
        <v>1599</v>
      </c>
      <c r="E305" t="s">
        <v>1236</v>
      </c>
      <c r="F305" t="s">
        <v>2183</v>
      </c>
      <c r="G305" t="s">
        <v>5671</v>
      </c>
      <c r="H305" t="s">
        <v>1010</v>
      </c>
      <c r="I305">
        <v>0</v>
      </c>
    </row>
    <row r="306" spans="1:9" x14ac:dyDescent="0.3">
      <c r="A306" t="s">
        <v>2184</v>
      </c>
      <c r="B306" t="s">
        <v>2185</v>
      </c>
      <c r="C306" t="s">
        <v>305</v>
      </c>
      <c r="D306" t="s">
        <v>1599</v>
      </c>
      <c r="E306" t="s">
        <v>1236</v>
      </c>
      <c r="F306" t="s">
        <v>2186</v>
      </c>
      <c r="G306" t="s">
        <v>5672</v>
      </c>
      <c r="H306">
        <v>0</v>
      </c>
      <c r="I306">
        <v>0</v>
      </c>
    </row>
    <row r="307" spans="1:9" x14ac:dyDescent="0.3">
      <c r="A307" t="s">
        <v>2187</v>
      </c>
      <c r="B307" t="s">
        <v>2188</v>
      </c>
      <c r="C307" t="s">
        <v>305</v>
      </c>
      <c r="D307" t="s">
        <v>1599</v>
      </c>
      <c r="E307" t="s">
        <v>1236</v>
      </c>
      <c r="F307" t="s">
        <v>2189</v>
      </c>
      <c r="G307" t="s">
        <v>5673</v>
      </c>
      <c r="H307">
        <v>0</v>
      </c>
      <c r="I307">
        <v>0</v>
      </c>
    </row>
    <row r="308" spans="1:9" x14ac:dyDescent="0.3">
      <c r="A308" t="s">
        <v>2190</v>
      </c>
      <c r="B308" t="s">
        <v>2191</v>
      </c>
      <c r="C308" t="s">
        <v>305</v>
      </c>
      <c r="D308" t="s">
        <v>1599</v>
      </c>
      <c r="E308" t="s">
        <v>1236</v>
      </c>
      <c r="F308" t="s">
        <v>2192</v>
      </c>
      <c r="G308" t="s">
        <v>5674</v>
      </c>
      <c r="H308">
        <v>0</v>
      </c>
      <c r="I308">
        <v>0</v>
      </c>
    </row>
    <row r="309" spans="1:9" x14ac:dyDescent="0.3">
      <c r="A309" t="s">
        <v>2193</v>
      </c>
      <c r="B309" t="s">
        <v>2194</v>
      </c>
      <c r="C309" t="s">
        <v>305</v>
      </c>
      <c r="D309" t="s">
        <v>1599</v>
      </c>
      <c r="E309" t="s">
        <v>1236</v>
      </c>
      <c r="F309" t="s">
        <v>2195</v>
      </c>
      <c r="G309" t="s">
        <v>5675</v>
      </c>
      <c r="H309" t="s">
        <v>2159</v>
      </c>
      <c r="I309">
        <v>0</v>
      </c>
    </row>
    <row r="310" spans="1:9" x14ac:dyDescent="0.3">
      <c r="A310" t="s">
        <v>2196</v>
      </c>
      <c r="B310" t="s">
        <v>2197</v>
      </c>
      <c r="C310" t="s">
        <v>305</v>
      </c>
      <c r="D310" t="s">
        <v>1599</v>
      </c>
      <c r="E310" t="s">
        <v>1236</v>
      </c>
      <c r="F310" t="s">
        <v>2198</v>
      </c>
      <c r="G310" t="s">
        <v>5676</v>
      </c>
      <c r="H310" t="s">
        <v>2139</v>
      </c>
      <c r="I310">
        <v>0</v>
      </c>
    </row>
    <row r="311" spans="1:9" x14ac:dyDescent="0.3">
      <c r="A311" t="s">
        <v>2199</v>
      </c>
      <c r="B311" t="s">
        <v>2200</v>
      </c>
      <c r="C311" t="s">
        <v>305</v>
      </c>
      <c r="D311" t="s">
        <v>1599</v>
      </c>
      <c r="E311" t="s">
        <v>1236</v>
      </c>
      <c r="F311" t="s">
        <v>2201</v>
      </c>
      <c r="G311" t="s">
        <v>5677</v>
      </c>
      <c r="H311" t="s">
        <v>2146</v>
      </c>
      <c r="I311">
        <v>0</v>
      </c>
    </row>
    <row r="312" spans="1:9" x14ac:dyDescent="0.3">
      <c r="A312" t="s">
        <v>2202</v>
      </c>
      <c r="B312" t="s">
        <v>2203</v>
      </c>
      <c r="C312" t="s">
        <v>305</v>
      </c>
      <c r="D312" t="s">
        <v>1599</v>
      </c>
      <c r="E312" t="s">
        <v>1236</v>
      </c>
      <c r="F312" t="s">
        <v>2204</v>
      </c>
      <c r="G312" t="s">
        <v>5678</v>
      </c>
      <c r="H312" t="s">
        <v>2146</v>
      </c>
      <c r="I312">
        <v>0</v>
      </c>
    </row>
    <row r="313" spans="1:9" x14ac:dyDescent="0.3">
      <c r="A313" t="s">
        <v>2205</v>
      </c>
      <c r="B313" t="s">
        <v>2206</v>
      </c>
      <c r="C313" t="s">
        <v>2207</v>
      </c>
      <c r="D313" t="s">
        <v>1326</v>
      </c>
      <c r="E313" t="s">
        <v>1287</v>
      </c>
      <c r="F313" t="s">
        <v>2208</v>
      </c>
      <c r="G313" t="s">
        <v>5679</v>
      </c>
      <c r="H313" t="s">
        <v>2209</v>
      </c>
      <c r="I313">
        <v>0</v>
      </c>
    </row>
    <row r="314" spans="1:9" x14ac:dyDescent="0.3">
      <c r="A314" t="s">
        <v>2210</v>
      </c>
      <c r="B314" t="s">
        <v>2211</v>
      </c>
      <c r="C314" t="s">
        <v>2207</v>
      </c>
      <c r="D314" t="s">
        <v>1326</v>
      </c>
      <c r="E314" t="s">
        <v>1287</v>
      </c>
      <c r="F314" t="s">
        <v>2212</v>
      </c>
      <c r="G314" t="s">
        <v>5680</v>
      </c>
      <c r="H314" t="s">
        <v>2209</v>
      </c>
      <c r="I314">
        <v>0</v>
      </c>
    </row>
    <row r="315" spans="1:9" x14ac:dyDescent="0.3">
      <c r="A315" t="s">
        <v>2213</v>
      </c>
      <c r="B315" t="s">
        <v>2214</v>
      </c>
      <c r="C315" t="s">
        <v>2207</v>
      </c>
      <c r="D315" t="s">
        <v>1326</v>
      </c>
      <c r="E315" t="s">
        <v>1287</v>
      </c>
      <c r="F315" t="s">
        <v>2215</v>
      </c>
      <c r="G315" t="s">
        <v>5681</v>
      </c>
      <c r="H315" t="s">
        <v>2216</v>
      </c>
      <c r="I315">
        <v>0</v>
      </c>
    </row>
    <row r="316" spans="1:9" x14ac:dyDescent="0.3">
      <c r="A316" t="s">
        <v>2217</v>
      </c>
      <c r="B316" t="s">
        <v>2218</v>
      </c>
      <c r="C316" t="s">
        <v>2207</v>
      </c>
      <c r="D316" t="s">
        <v>1326</v>
      </c>
      <c r="E316" t="s">
        <v>1287</v>
      </c>
      <c r="F316" t="s">
        <v>2219</v>
      </c>
      <c r="G316" t="s">
        <v>5682</v>
      </c>
      <c r="H316" t="s">
        <v>811</v>
      </c>
      <c r="I316">
        <v>0</v>
      </c>
    </row>
    <row r="317" spans="1:9" x14ac:dyDescent="0.3">
      <c r="A317" t="s">
        <v>2220</v>
      </c>
      <c r="B317" t="s">
        <v>2221</v>
      </c>
      <c r="C317" t="s">
        <v>2207</v>
      </c>
      <c r="D317" t="s">
        <v>1326</v>
      </c>
      <c r="E317" t="s">
        <v>1287</v>
      </c>
      <c r="F317" t="s">
        <v>2222</v>
      </c>
      <c r="G317" t="s">
        <v>5683</v>
      </c>
      <c r="H317" t="s">
        <v>92</v>
      </c>
      <c r="I317">
        <v>0</v>
      </c>
    </row>
    <row r="318" spans="1:9" x14ac:dyDescent="0.3">
      <c r="A318" t="s">
        <v>2223</v>
      </c>
      <c r="B318" t="s">
        <v>2224</v>
      </c>
      <c r="C318" t="s">
        <v>2207</v>
      </c>
      <c r="D318" t="s">
        <v>1326</v>
      </c>
      <c r="E318" t="s">
        <v>1287</v>
      </c>
      <c r="F318" t="s">
        <v>2225</v>
      </c>
      <c r="G318" t="s">
        <v>5684</v>
      </c>
      <c r="H318" t="s">
        <v>2226</v>
      </c>
      <c r="I318">
        <v>0</v>
      </c>
    </row>
    <row r="319" spans="1:9" x14ac:dyDescent="0.3">
      <c r="A319" t="s">
        <v>2227</v>
      </c>
      <c r="B319" t="s">
        <v>2228</v>
      </c>
      <c r="C319" t="s">
        <v>2207</v>
      </c>
      <c r="D319" t="s">
        <v>1326</v>
      </c>
      <c r="E319" t="s">
        <v>1287</v>
      </c>
      <c r="F319" t="s">
        <v>2229</v>
      </c>
      <c r="G319" t="s">
        <v>5685</v>
      </c>
      <c r="H319" t="s">
        <v>100</v>
      </c>
      <c r="I319">
        <v>0</v>
      </c>
    </row>
    <row r="320" spans="1:9" x14ac:dyDescent="0.3">
      <c r="A320" t="s">
        <v>2230</v>
      </c>
      <c r="B320" t="s">
        <v>2231</v>
      </c>
      <c r="C320" t="s">
        <v>2207</v>
      </c>
      <c r="D320" t="s">
        <v>1326</v>
      </c>
      <c r="E320" t="s">
        <v>1287</v>
      </c>
      <c r="F320" t="s">
        <v>2232</v>
      </c>
      <c r="G320" t="s">
        <v>5686</v>
      </c>
      <c r="H320" t="s">
        <v>2216</v>
      </c>
      <c r="I320">
        <v>0</v>
      </c>
    </row>
    <row r="321" spans="1:9" x14ac:dyDescent="0.3">
      <c r="A321" t="s">
        <v>2233</v>
      </c>
      <c r="B321" t="s">
        <v>2234</v>
      </c>
      <c r="C321" t="s">
        <v>2207</v>
      </c>
      <c r="D321" t="s">
        <v>1326</v>
      </c>
      <c r="E321" t="s">
        <v>1287</v>
      </c>
      <c r="F321" t="s">
        <v>2235</v>
      </c>
      <c r="G321" t="s">
        <v>5687</v>
      </c>
      <c r="H321" t="s">
        <v>811</v>
      </c>
      <c r="I321">
        <v>0</v>
      </c>
    </row>
    <row r="322" spans="1:9" x14ac:dyDescent="0.3">
      <c r="A322" t="s">
        <v>2236</v>
      </c>
      <c r="B322" t="s">
        <v>2237</v>
      </c>
      <c r="C322" t="s">
        <v>2207</v>
      </c>
      <c r="D322" t="s">
        <v>1326</v>
      </c>
      <c r="E322" t="s">
        <v>1287</v>
      </c>
      <c r="F322" t="s">
        <v>2238</v>
      </c>
      <c r="G322" t="s">
        <v>5688</v>
      </c>
      <c r="H322" t="s">
        <v>811</v>
      </c>
      <c r="I322">
        <v>0</v>
      </c>
    </row>
    <row r="323" spans="1:9" x14ac:dyDescent="0.3">
      <c r="A323" t="s">
        <v>2239</v>
      </c>
      <c r="B323" t="s">
        <v>2240</v>
      </c>
      <c r="C323" t="s">
        <v>2207</v>
      </c>
      <c r="D323" t="s">
        <v>1326</v>
      </c>
      <c r="E323" t="s">
        <v>1287</v>
      </c>
      <c r="F323" t="s">
        <v>2241</v>
      </c>
      <c r="G323" t="s">
        <v>5689</v>
      </c>
      <c r="H323" t="s">
        <v>2216</v>
      </c>
      <c r="I323">
        <v>0</v>
      </c>
    </row>
    <row r="324" spans="1:9" x14ac:dyDescent="0.3">
      <c r="A324" t="s">
        <v>2242</v>
      </c>
      <c r="B324" t="s">
        <v>2243</v>
      </c>
      <c r="C324" t="s">
        <v>2207</v>
      </c>
      <c r="D324" t="s">
        <v>1326</v>
      </c>
      <c r="E324" t="s">
        <v>1287</v>
      </c>
      <c r="F324" t="s">
        <v>2244</v>
      </c>
      <c r="G324" t="s">
        <v>5690</v>
      </c>
      <c r="H324" t="s">
        <v>2209</v>
      </c>
      <c r="I324">
        <v>0</v>
      </c>
    </row>
    <row r="325" spans="1:9" x14ac:dyDescent="0.3">
      <c r="A325" t="s">
        <v>2245</v>
      </c>
      <c r="B325" t="s">
        <v>2246</v>
      </c>
      <c r="C325" t="s">
        <v>2207</v>
      </c>
      <c r="D325" t="s">
        <v>1326</v>
      </c>
      <c r="E325" t="s">
        <v>1287</v>
      </c>
      <c r="F325" t="s">
        <v>2247</v>
      </c>
      <c r="G325" t="s">
        <v>5691</v>
      </c>
      <c r="H325" t="s">
        <v>811</v>
      </c>
      <c r="I325">
        <v>0</v>
      </c>
    </row>
    <row r="326" spans="1:9" x14ac:dyDescent="0.3">
      <c r="A326" t="s">
        <v>2248</v>
      </c>
      <c r="B326" t="s">
        <v>2249</v>
      </c>
      <c r="C326" t="s">
        <v>2207</v>
      </c>
      <c r="D326" t="s">
        <v>1326</v>
      </c>
      <c r="E326" t="s">
        <v>1287</v>
      </c>
      <c r="F326" t="s">
        <v>2250</v>
      </c>
      <c r="G326" t="s">
        <v>5692</v>
      </c>
      <c r="H326" t="s">
        <v>2226</v>
      </c>
      <c r="I326">
        <v>0</v>
      </c>
    </row>
    <row r="327" spans="1:9" x14ac:dyDescent="0.3">
      <c r="A327" t="s">
        <v>2251</v>
      </c>
      <c r="B327" t="s">
        <v>2252</v>
      </c>
      <c r="C327" t="s">
        <v>1213</v>
      </c>
      <c r="D327" t="s">
        <v>1286</v>
      </c>
      <c r="E327" t="s">
        <v>1287</v>
      </c>
      <c r="F327" t="s">
        <v>2253</v>
      </c>
      <c r="G327" t="s">
        <v>5693</v>
      </c>
      <c r="H327" t="s">
        <v>344</v>
      </c>
      <c r="I327">
        <v>0</v>
      </c>
    </row>
    <row r="328" spans="1:9" x14ac:dyDescent="0.3">
      <c r="A328" t="s">
        <v>2254</v>
      </c>
      <c r="B328" t="s">
        <v>2255</v>
      </c>
      <c r="C328" t="s">
        <v>1213</v>
      </c>
      <c r="D328" t="s">
        <v>1286</v>
      </c>
      <c r="E328" t="s">
        <v>1287</v>
      </c>
      <c r="F328" t="s">
        <v>2256</v>
      </c>
      <c r="G328" t="s">
        <v>5694</v>
      </c>
      <c r="H328" t="s">
        <v>2257</v>
      </c>
      <c r="I328">
        <v>0</v>
      </c>
    </row>
    <row r="329" spans="1:9" x14ac:dyDescent="0.3">
      <c r="A329" t="s">
        <v>2258</v>
      </c>
      <c r="B329" t="s">
        <v>2259</v>
      </c>
      <c r="C329" t="s">
        <v>1213</v>
      </c>
      <c r="D329" t="s">
        <v>1286</v>
      </c>
      <c r="E329" t="s">
        <v>1287</v>
      </c>
      <c r="F329" t="s">
        <v>2260</v>
      </c>
      <c r="G329" t="s">
        <v>5695</v>
      </c>
      <c r="H329" t="s">
        <v>1015</v>
      </c>
      <c r="I329">
        <v>0</v>
      </c>
    </row>
    <row r="330" spans="1:9" x14ac:dyDescent="0.3">
      <c r="A330" t="s">
        <v>2261</v>
      </c>
      <c r="B330" t="s">
        <v>2262</v>
      </c>
      <c r="C330" t="s">
        <v>1213</v>
      </c>
      <c r="D330" t="s">
        <v>1286</v>
      </c>
      <c r="E330" t="s">
        <v>1287</v>
      </c>
      <c r="F330" t="s">
        <v>2263</v>
      </c>
      <c r="G330" t="s">
        <v>5696</v>
      </c>
      <c r="H330" t="s">
        <v>1015</v>
      </c>
      <c r="I330">
        <v>0</v>
      </c>
    </row>
    <row r="331" spans="1:9" x14ac:dyDescent="0.3">
      <c r="A331" t="s">
        <v>2264</v>
      </c>
      <c r="B331" t="s">
        <v>2265</v>
      </c>
      <c r="C331" t="s">
        <v>1213</v>
      </c>
      <c r="D331" t="s">
        <v>1286</v>
      </c>
      <c r="E331" t="s">
        <v>1287</v>
      </c>
      <c r="F331" t="s">
        <v>2266</v>
      </c>
      <c r="G331" t="s">
        <v>5697</v>
      </c>
      <c r="H331">
        <v>0</v>
      </c>
      <c r="I331">
        <v>0</v>
      </c>
    </row>
    <row r="332" spans="1:9" x14ac:dyDescent="0.3">
      <c r="A332" t="s">
        <v>2267</v>
      </c>
      <c r="B332" t="s">
        <v>2268</v>
      </c>
      <c r="C332" t="s">
        <v>1213</v>
      </c>
      <c r="D332" t="s">
        <v>1286</v>
      </c>
      <c r="E332" t="s">
        <v>1287</v>
      </c>
      <c r="F332" t="s">
        <v>2269</v>
      </c>
      <c r="G332" t="s">
        <v>5698</v>
      </c>
      <c r="H332" t="s">
        <v>1020</v>
      </c>
      <c r="I332">
        <v>0</v>
      </c>
    </row>
    <row r="333" spans="1:9" x14ac:dyDescent="0.3">
      <c r="A333" t="s">
        <v>2270</v>
      </c>
      <c r="B333" t="s">
        <v>2271</v>
      </c>
      <c r="C333" t="s">
        <v>1213</v>
      </c>
      <c r="D333" t="s">
        <v>1286</v>
      </c>
      <c r="E333" t="s">
        <v>1287</v>
      </c>
      <c r="F333" t="s">
        <v>2272</v>
      </c>
      <c r="G333" t="s">
        <v>5699</v>
      </c>
      <c r="H333" t="s">
        <v>339</v>
      </c>
      <c r="I333">
        <v>0</v>
      </c>
    </row>
    <row r="334" spans="1:9" x14ac:dyDescent="0.3">
      <c r="A334" t="s">
        <v>2273</v>
      </c>
      <c r="B334" t="s">
        <v>2274</v>
      </c>
      <c r="C334" t="s">
        <v>1213</v>
      </c>
      <c r="D334" t="s">
        <v>1286</v>
      </c>
      <c r="E334" t="s">
        <v>1287</v>
      </c>
      <c r="F334" t="s">
        <v>2275</v>
      </c>
      <c r="G334" t="s">
        <v>5700</v>
      </c>
      <c r="H334" t="s">
        <v>2276</v>
      </c>
      <c r="I334">
        <v>0</v>
      </c>
    </row>
    <row r="335" spans="1:9" x14ac:dyDescent="0.3">
      <c r="A335" t="s">
        <v>2277</v>
      </c>
      <c r="B335" t="s">
        <v>2278</v>
      </c>
      <c r="C335" t="s">
        <v>1213</v>
      </c>
      <c r="D335" t="s">
        <v>1286</v>
      </c>
      <c r="E335" t="s">
        <v>1287</v>
      </c>
      <c r="F335" t="s">
        <v>2279</v>
      </c>
      <c r="G335" t="s">
        <v>5701</v>
      </c>
      <c r="H335" t="s">
        <v>332</v>
      </c>
      <c r="I335">
        <v>0</v>
      </c>
    </row>
    <row r="336" spans="1:9" x14ac:dyDescent="0.3">
      <c r="A336" t="s">
        <v>2280</v>
      </c>
      <c r="B336" t="s">
        <v>2281</v>
      </c>
      <c r="C336" t="s">
        <v>1213</v>
      </c>
      <c r="D336" t="s">
        <v>1286</v>
      </c>
      <c r="E336" t="s">
        <v>1287</v>
      </c>
      <c r="F336" t="s">
        <v>2282</v>
      </c>
      <c r="G336" t="s">
        <v>5702</v>
      </c>
      <c r="H336" t="s">
        <v>332</v>
      </c>
      <c r="I336">
        <v>0</v>
      </c>
    </row>
    <row r="337" spans="1:9" x14ac:dyDescent="0.3">
      <c r="A337" t="s">
        <v>2283</v>
      </c>
      <c r="B337" t="s">
        <v>2284</v>
      </c>
      <c r="C337" t="s">
        <v>1213</v>
      </c>
      <c r="D337" t="s">
        <v>1286</v>
      </c>
      <c r="E337" t="s">
        <v>1287</v>
      </c>
      <c r="F337" t="s">
        <v>2285</v>
      </c>
      <c r="G337" t="s">
        <v>5703</v>
      </c>
      <c r="H337">
        <v>0</v>
      </c>
      <c r="I337">
        <v>0</v>
      </c>
    </row>
    <row r="338" spans="1:9" x14ac:dyDescent="0.3">
      <c r="A338" t="s">
        <v>2286</v>
      </c>
      <c r="B338" t="s">
        <v>2287</v>
      </c>
      <c r="C338" t="s">
        <v>1213</v>
      </c>
      <c r="D338" t="s">
        <v>1286</v>
      </c>
      <c r="E338" t="s">
        <v>1287</v>
      </c>
      <c r="F338" t="s">
        <v>2288</v>
      </c>
      <c r="G338" t="s">
        <v>5704</v>
      </c>
      <c r="H338" t="s">
        <v>1020</v>
      </c>
      <c r="I338">
        <v>0</v>
      </c>
    </row>
    <row r="339" spans="1:9" x14ac:dyDescent="0.3">
      <c r="A339" t="s">
        <v>2289</v>
      </c>
      <c r="B339" t="s">
        <v>2290</v>
      </c>
      <c r="C339" t="s">
        <v>1213</v>
      </c>
      <c r="D339" t="s">
        <v>1286</v>
      </c>
      <c r="E339" t="s">
        <v>1287</v>
      </c>
      <c r="F339" t="s">
        <v>2291</v>
      </c>
      <c r="G339" t="s">
        <v>5705</v>
      </c>
      <c r="H339" t="s">
        <v>334</v>
      </c>
      <c r="I339">
        <v>0</v>
      </c>
    </row>
    <row r="340" spans="1:9" x14ac:dyDescent="0.3">
      <c r="A340" t="s">
        <v>2292</v>
      </c>
      <c r="B340" t="s">
        <v>2293</v>
      </c>
      <c r="C340" t="s">
        <v>1213</v>
      </c>
      <c r="D340" t="s">
        <v>1286</v>
      </c>
      <c r="E340" t="s">
        <v>1287</v>
      </c>
      <c r="F340" t="s">
        <v>2294</v>
      </c>
      <c r="G340" t="s">
        <v>5706</v>
      </c>
      <c r="H340" t="s">
        <v>2295</v>
      </c>
      <c r="I340">
        <v>0</v>
      </c>
    </row>
    <row r="341" spans="1:9" x14ac:dyDescent="0.3">
      <c r="A341" t="s">
        <v>2296</v>
      </c>
      <c r="B341" t="s">
        <v>2297</v>
      </c>
      <c r="C341" t="s">
        <v>1213</v>
      </c>
      <c r="D341" t="s">
        <v>1286</v>
      </c>
      <c r="E341" t="s">
        <v>1287</v>
      </c>
      <c r="F341" t="s">
        <v>2313</v>
      </c>
      <c r="G341" t="s">
        <v>5707</v>
      </c>
      <c r="H341">
        <v>0</v>
      </c>
      <c r="I341" t="s">
        <v>2298</v>
      </c>
    </row>
    <row r="342" spans="1:9" x14ac:dyDescent="0.3">
      <c r="A342" t="s">
        <v>2299</v>
      </c>
      <c r="B342" t="s">
        <v>2300</v>
      </c>
      <c r="C342" t="s">
        <v>1213</v>
      </c>
      <c r="D342" t="s">
        <v>1286</v>
      </c>
      <c r="E342" t="s">
        <v>1287</v>
      </c>
      <c r="F342" t="s">
        <v>2301</v>
      </c>
      <c r="G342" t="s">
        <v>5708</v>
      </c>
      <c r="H342">
        <v>0</v>
      </c>
      <c r="I342">
        <v>0</v>
      </c>
    </row>
    <row r="343" spans="1:9" x14ac:dyDescent="0.3">
      <c r="A343" t="s">
        <v>2302</v>
      </c>
      <c r="B343" t="s">
        <v>2303</v>
      </c>
      <c r="C343" t="s">
        <v>1213</v>
      </c>
      <c r="D343" t="s">
        <v>1286</v>
      </c>
      <c r="E343" t="s">
        <v>1287</v>
      </c>
      <c r="F343" t="s">
        <v>2304</v>
      </c>
      <c r="G343" t="s">
        <v>5709</v>
      </c>
      <c r="H343" t="s">
        <v>1020</v>
      </c>
      <c r="I343">
        <v>0</v>
      </c>
    </row>
    <row r="344" spans="1:9" x14ac:dyDescent="0.3">
      <c r="A344" t="s">
        <v>2305</v>
      </c>
      <c r="B344" t="s">
        <v>2306</v>
      </c>
      <c r="C344" t="s">
        <v>1213</v>
      </c>
      <c r="D344" t="s">
        <v>1286</v>
      </c>
      <c r="E344" t="s">
        <v>1287</v>
      </c>
      <c r="F344" t="s">
        <v>2307</v>
      </c>
      <c r="G344" t="s">
        <v>5710</v>
      </c>
      <c r="H344" t="s">
        <v>1015</v>
      </c>
      <c r="I344">
        <v>0</v>
      </c>
    </row>
    <row r="345" spans="1:9" x14ac:dyDescent="0.3">
      <c r="A345" t="s">
        <v>2308</v>
      </c>
      <c r="B345" t="s">
        <v>2309</v>
      </c>
      <c r="C345" t="s">
        <v>1213</v>
      </c>
      <c r="D345" t="s">
        <v>1286</v>
      </c>
      <c r="E345" t="s">
        <v>1287</v>
      </c>
      <c r="F345" t="s">
        <v>2310</v>
      </c>
      <c r="G345" t="s">
        <v>5711</v>
      </c>
      <c r="H345" t="s">
        <v>1015</v>
      </c>
      <c r="I345">
        <v>0</v>
      </c>
    </row>
    <row r="346" spans="1:9" x14ac:dyDescent="0.3">
      <c r="A346" t="s">
        <v>2311</v>
      </c>
      <c r="B346" t="s">
        <v>2312</v>
      </c>
      <c r="C346" t="s">
        <v>1213</v>
      </c>
      <c r="D346" t="s">
        <v>1286</v>
      </c>
      <c r="E346" t="s">
        <v>1287</v>
      </c>
      <c r="F346" t="s">
        <v>2313</v>
      </c>
      <c r="G346" t="s">
        <v>5712</v>
      </c>
      <c r="H346">
        <v>0</v>
      </c>
      <c r="I346" t="s">
        <v>2314</v>
      </c>
    </row>
    <row r="347" spans="1:9" x14ac:dyDescent="0.3">
      <c r="A347" t="s">
        <v>2315</v>
      </c>
      <c r="B347" t="s">
        <v>2316</v>
      </c>
      <c r="C347" t="s">
        <v>1213</v>
      </c>
      <c r="D347" t="s">
        <v>1286</v>
      </c>
      <c r="E347" t="s">
        <v>1287</v>
      </c>
      <c r="F347" t="s">
        <v>2317</v>
      </c>
      <c r="G347" t="s">
        <v>5713</v>
      </c>
      <c r="H347" t="s">
        <v>1020</v>
      </c>
      <c r="I347">
        <v>0</v>
      </c>
    </row>
    <row r="348" spans="1:9" x14ac:dyDescent="0.3">
      <c r="A348" t="s">
        <v>2318</v>
      </c>
      <c r="B348" t="s">
        <v>2319</v>
      </c>
      <c r="C348" t="s">
        <v>1213</v>
      </c>
      <c r="D348" t="s">
        <v>1286</v>
      </c>
      <c r="E348" t="s">
        <v>1287</v>
      </c>
      <c r="F348" t="s">
        <v>2320</v>
      </c>
      <c r="G348" t="s">
        <v>5714</v>
      </c>
      <c r="H348" t="s">
        <v>334</v>
      </c>
      <c r="I348">
        <v>0</v>
      </c>
    </row>
    <row r="349" spans="1:9" x14ac:dyDescent="0.3">
      <c r="A349" t="s">
        <v>2321</v>
      </c>
      <c r="B349" t="s">
        <v>2322</v>
      </c>
      <c r="C349" t="s">
        <v>1213</v>
      </c>
      <c r="D349" t="s">
        <v>1286</v>
      </c>
      <c r="E349" t="s">
        <v>1287</v>
      </c>
      <c r="F349" t="s">
        <v>2323</v>
      </c>
      <c r="G349" t="s">
        <v>5715</v>
      </c>
      <c r="H349" t="s">
        <v>339</v>
      </c>
      <c r="I349">
        <v>0</v>
      </c>
    </row>
    <row r="350" spans="1:9" x14ac:dyDescent="0.3">
      <c r="A350" t="s">
        <v>2324</v>
      </c>
      <c r="B350" t="s">
        <v>2325</v>
      </c>
      <c r="C350" t="s">
        <v>1213</v>
      </c>
      <c r="D350" t="s">
        <v>1286</v>
      </c>
      <c r="E350" t="s">
        <v>1287</v>
      </c>
      <c r="F350" t="s">
        <v>2326</v>
      </c>
      <c r="G350" t="s">
        <v>5716</v>
      </c>
      <c r="H350" t="s">
        <v>339</v>
      </c>
      <c r="I350">
        <v>0</v>
      </c>
    </row>
    <row r="351" spans="1:9" x14ac:dyDescent="0.3">
      <c r="A351" t="s">
        <v>2327</v>
      </c>
      <c r="B351" t="s">
        <v>2328</v>
      </c>
      <c r="C351" t="s">
        <v>1213</v>
      </c>
      <c r="D351" t="s">
        <v>1286</v>
      </c>
      <c r="E351" t="s">
        <v>1287</v>
      </c>
      <c r="F351" t="s">
        <v>2329</v>
      </c>
      <c r="G351" t="s">
        <v>5717</v>
      </c>
      <c r="H351" t="s">
        <v>1019</v>
      </c>
      <c r="I351">
        <v>0</v>
      </c>
    </row>
    <row r="352" spans="1:9" x14ac:dyDescent="0.3">
      <c r="A352" t="s">
        <v>2330</v>
      </c>
      <c r="B352" t="s">
        <v>2331</v>
      </c>
      <c r="C352" t="s">
        <v>1213</v>
      </c>
      <c r="D352" t="s">
        <v>1286</v>
      </c>
      <c r="E352" t="s">
        <v>1287</v>
      </c>
      <c r="F352" t="s">
        <v>2332</v>
      </c>
      <c r="G352" t="s">
        <v>5718</v>
      </c>
      <c r="H352" t="s">
        <v>1019</v>
      </c>
      <c r="I352">
        <v>0</v>
      </c>
    </row>
    <row r="353" spans="1:9" x14ac:dyDescent="0.3">
      <c r="A353" t="s">
        <v>2333</v>
      </c>
      <c r="B353" t="s">
        <v>2334</v>
      </c>
      <c r="C353" t="s">
        <v>1213</v>
      </c>
      <c r="D353" t="s">
        <v>1286</v>
      </c>
      <c r="E353" t="s">
        <v>1287</v>
      </c>
      <c r="F353" t="s">
        <v>2335</v>
      </c>
      <c r="G353" t="s">
        <v>5719</v>
      </c>
      <c r="H353" t="s">
        <v>2295</v>
      </c>
      <c r="I353">
        <v>0</v>
      </c>
    </row>
    <row r="354" spans="1:9" x14ac:dyDescent="0.3">
      <c r="A354" t="s">
        <v>2336</v>
      </c>
      <c r="B354" t="s">
        <v>2337</v>
      </c>
      <c r="C354" t="s">
        <v>1213</v>
      </c>
      <c r="D354" t="s">
        <v>1286</v>
      </c>
      <c r="E354" t="s">
        <v>1287</v>
      </c>
      <c r="F354" t="s">
        <v>2338</v>
      </c>
      <c r="G354" t="s">
        <v>5720</v>
      </c>
      <c r="H354" t="s">
        <v>2295</v>
      </c>
      <c r="I354">
        <v>0</v>
      </c>
    </row>
    <row r="355" spans="1:9" x14ac:dyDescent="0.3">
      <c r="A355" t="s">
        <v>2339</v>
      </c>
      <c r="B355" t="s">
        <v>2340</v>
      </c>
      <c r="C355" t="s">
        <v>1213</v>
      </c>
      <c r="D355" t="s">
        <v>1286</v>
      </c>
      <c r="E355" t="s">
        <v>1287</v>
      </c>
      <c r="F355" t="s">
        <v>2341</v>
      </c>
      <c r="G355" t="s">
        <v>5721</v>
      </c>
      <c r="H355" t="s">
        <v>2342</v>
      </c>
      <c r="I355">
        <v>0</v>
      </c>
    </row>
    <row r="356" spans="1:9" x14ac:dyDescent="0.3">
      <c r="A356" t="s">
        <v>2343</v>
      </c>
      <c r="B356" t="s">
        <v>2344</v>
      </c>
      <c r="C356" t="s">
        <v>1213</v>
      </c>
      <c r="D356" t="s">
        <v>1286</v>
      </c>
      <c r="E356" t="s">
        <v>1287</v>
      </c>
      <c r="F356" t="s">
        <v>2345</v>
      </c>
      <c r="G356" t="s">
        <v>5722</v>
      </c>
      <c r="H356" t="s">
        <v>1020</v>
      </c>
      <c r="I356">
        <v>0</v>
      </c>
    </row>
    <row r="357" spans="1:9" x14ac:dyDescent="0.3">
      <c r="A357" t="s">
        <v>2346</v>
      </c>
      <c r="B357" t="s">
        <v>2347</v>
      </c>
      <c r="C357" t="s">
        <v>1213</v>
      </c>
      <c r="D357" t="s">
        <v>1286</v>
      </c>
      <c r="E357" t="s">
        <v>1287</v>
      </c>
      <c r="F357" t="s">
        <v>2348</v>
      </c>
      <c r="G357" t="s">
        <v>5723</v>
      </c>
      <c r="H357" t="s">
        <v>2276</v>
      </c>
      <c r="I357">
        <v>0</v>
      </c>
    </row>
    <row r="358" spans="1:9" x14ac:dyDescent="0.3">
      <c r="A358" t="s">
        <v>2349</v>
      </c>
      <c r="B358" t="s">
        <v>2350</v>
      </c>
      <c r="C358" t="s">
        <v>1213</v>
      </c>
      <c r="D358" t="s">
        <v>1286</v>
      </c>
      <c r="E358" t="s">
        <v>1287</v>
      </c>
      <c r="F358" t="s">
        <v>2351</v>
      </c>
      <c r="G358" t="s">
        <v>5724</v>
      </c>
      <c r="H358">
        <v>0</v>
      </c>
      <c r="I358">
        <v>0</v>
      </c>
    </row>
    <row r="359" spans="1:9" x14ac:dyDescent="0.3">
      <c r="A359" t="s">
        <v>2352</v>
      </c>
      <c r="B359" t="s">
        <v>2353</v>
      </c>
      <c r="C359" t="s">
        <v>1213</v>
      </c>
      <c r="D359" t="s">
        <v>1286</v>
      </c>
      <c r="E359" t="s">
        <v>1287</v>
      </c>
      <c r="F359" t="s">
        <v>2354</v>
      </c>
      <c r="G359" t="s">
        <v>5725</v>
      </c>
      <c r="H359" t="s">
        <v>334</v>
      </c>
      <c r="I359">
        <v>0</v>
      </c>
    </row>
    <row r="360" spans="1:9" x14ac:dyDescent="0.3">
      <c r="A360" t="s">
        <v>2355</v>
      </c>
      <c r="B360" t="s">
        <v>2356</v>
      </c>
      <c r="C360" t="s">
        <v>1213</v>
      </c>
      <c r="D360" t="s">
        <v>1286</v>
      </c>
      <c r="E360" t="s">
        <v>1287</v>
      </c>
      <c r="F360" t="s">
        <v>2357</v>
      </c>
      <c r="G360" t="s">
        <v>5726</v>
      </c>
      <c r="H360" t="s">
        <v>1015</v>
      </c>
      <c r="I360">
        <v>0</v>
      </c>
    </row>
    <row r="361" spans="1:9" x14ac:dyDescent="0.3">
      <c r="A361" t="s">
        <v>2358</v>
      </c>
      <c r="B361" t="s">
        <v>2359</v>
      </c>
      <c r="C361" t="s">
        <v>1213</v>
      </c>
      <c r="D361" t="s">
        <v>1286</v>
      </c>
      <c r="E361" t="s">
        <v>1287</v>
      </c>
      <c r="F361" t="s">
        <v>2360</v>
      </c>
      <c r="G361" t="s">
        <v>5727</v>
      </c>
      <c r="H361" t="s">
        <v>334</v>
      </c>
      <c r="I361">
        <v>0</v>
      </c>
    </row>
    <row r="362" spans="1:9" x14ac:dyDescent="0.3">
      <c r="A362" t="s">
        <v>2361</v>
      </c>
      <c r="B362" t="s">
        <v>2362</v>
      </c>
      <c r="C362" t="s">
        <v>2363</v>
      </c>
      <c r="D362" t="s">
        <v>1235</v>
      </c>
      <c r="E362" t="s">
        <v>1236</v>
      </c>
      <c r="F362" t="s">
        <v>2364</v>
      </c>
      <c r="G362" t="s">
        <v>5728</v>
      </c>
      <c r="H362">
        <v>0</v>
      </c>
      <c r="I362">
        <v>0</v>
      </c>
    </row>
    <row r="363" spans="1:9" x14ac:dyDescent="0.3">
      <c r="A363" t="s">
        <v>2365</v>
      </c>
      <c r="B363" t="s">
        <v>2366</v>
      </c>
      <c r="C363" t="s">
        <v>2363</v>
      </c>
      <c r="D363" t="s">
        <v>1235</v>
      </c>
      <c r="E363" t="s">
        <v>1236</v>
      </c>
      <c r="F363" t="s">
        <v>2367</v>
      </c>
      <c r="G363" t="s">
        <v>5729</v>
      </c>
      <c r="H363">
        <v>0</v>
      </c>
      <c r="I363">
        <v>0</v>
      </c>
    </row>
    <row r="364" spans="1:9" x14ac:dyDescent="0.3">
      <c r="A364" t="s">
        <v>2368</v>
      </c>
      <c r="B364" t="s">
        <v>2369</v>
      </c>
      <c r="C364" t="s">
        <v>2363</v>
      </c>
      <c r="D364" t="s">
        <v>1235</v>
      </c>
      <c r="E364" t="s">
        <v>1236</v>
      </c>
      <c r="F364" t="s">
        <v>2370</v>
      </c>
      <c r="G364" t="s">
        <v>5730</v>
      </c>
      <c r="H364">
        <v>0</v>
      </c>
      <c r="I364">
        <v>0</v>
      </c>
    </row>
    <row r="365" spans="1:9" x14ac:dyDescent="0.3">
      <c r="A365" t="s">
        <v>2371</v>
      </c>
      <c r="B365" t="s">
        <v>2372</v>
      </c>
      <c r="C365" t="s">
        <v>2363</v>
      </c>
      <c r="D365" t="s">
        <v>1235</v>
      </c>
      <c r="E365" t="s">
        <v>1236</v>
      </c>
      <c r="F365" t="s">
        <v>2373</v>
      </c>
      <c r="G365" t="s">
        <v>5731</v>
      </c>
      <c r="H365">
        <v>0</v>
      </c>
      <c r="I365">
        <v>0</v>
      </c>
    </row>
    <row r="366" spans="1:9" x14ac:dyDescent="0.3">
      <c r="A366" t="s">
        <v>2374</v>
      </c>
      <c r="B366" t="s">
        <v>2375</v>
      </c>
      <c r="C366" t="s">
        <v>2363</v>
      </c>
      <c r="D366" t="s">
        <v>1235</v>
      </c>
      <c r="E366" t="s">
        <v>1236</v>
      </c>
      <c r="F366" t="s">
        <v>2376</v>
      </c>
      <c r="G366" t="s">
        <v>5732</v>
      </c>
      <c r="H366">
        <v>0</v>
      </c>
      <c r="I366">
        <v>0</v>
      </c>
    </row>
    <row r="367" spans="1:9" x14ac:dyDescent="0.3">
      <c r="A367" t="s">
        <v>2377</v>
      </c>
      <c r="B367" t="s">
        <v>2378</v>
      </c>
      <c r="C367" t="s">
        <v>2363</v>
      </c>
      <c r="D367" t="s">
        <v>1235</v>
      </c>
      <c r="E367" t="s">
        <v>1236</v>
      </c>
      <c r="F367" t="s">
        <v>2379</v>
      </c>
      <c r="G367" t="s">
        <v>5733</v>
      </c>
      <c r="H367">
        <v>0</v>
      </c>
      <c r="I367">
        <v>0</v>
      </c>
    </row>
    <row r="368" spans="1:9" x14ac:dyDescent="0.3">
      <c r="A368" t="s">
        <v>2380</v>
      </c>
      <c r="B368" t="s">
        <v>2381</v>
      </c>
      <c r="C368" t="s">
        <v>2363</v>
      </c>
      <c r="D368" t="s">
        <v>1235</v>
      </c>
      <c r="E368" t="s">
        <v>1236</v>
      </c>
      <c r="F368" t="s">
        <v>2382</v>
      </c>
      <c r="G368" t="s">
        <v>5734</v>
      </c>
      <c r="H368">
        <v>0</v>
      </c>
      <c r="I368">
        <v>0</v>
      </c>
    </row>
    <row r="369" spans="1:9" x14ac:dyDescent="0.3">
      <c r="A369" t="s">
        <v>2383</v>
      </c>
      <c r="B369" t="s">
        <v>2384</v>
      </c>
      <c r="C369" t="s">
        <v>2363</v>
      </c>
      <c r="D369" t="s">
        <v>1235</v>
      </c>
      <c r="E369" t="s">
        <v>1236</v>
      </c>
      <c r="F369" t="s">
        <v>2387</v>
      </c>
      <c r="G369" t="s">
        <v>5735</v>
      </c>
      <c r="H369">
        <v>0</v>
      </c>
      <c r="I369">
        <v>0</v>
      </c>
    </row>
    <row r="370" spans="1:9" x14ac:dyDescent="0.3">
      <c r="A370" t="s">
        <v>2385</v>
      </c>
      <c r="B370" t="s">
        <v>2386</v>
      </c>
      <c r="C370" t="s">
        <v>2363</v>
      </c>
      <c r="D370" t="s">
        <v>1235</v>
      </c>
      <c r="E370" t="s">
        <v>1236</v>
      </c>
      <c r="F370" t="s">
        <v>2387</v>
      </c>
      <c r="G370" t="s">
        <v>5735</v>
      </c>
      <c r="H370">
        <v>0</v>
      </c>
      <c r="I370">
        <v>0</v>
      </c>
    </row>
    <row r="371" spans="1:9" x14ac:dyDescent="0.3">
      <c r="A371" t="s">
        <v>2388</v>
      </c>
      <c r="B371" t="s">
        <v>2389</v>
      </c>
      <c r="C371" t="s">
        <v>2363</v>
      </c>
      <c r="D371" t="s">
        <v>1235</v>
      </c>
      <c r="E371" t="s">
        <v>1236</v>
      </c>
      <c r="F371" t="s">
        <v>2390</v>
      </c>
      <c r="G371" t="s">
        <v>5736</v>
      </c>
      <c r="H371">
        <v>0</v>
      </c>
      <c r="I371">
        <v>0</v>
      </c>
    </row>
    <row r="372" spans="1:9" x14ac:dyDescent="0.3">
      <c r="A372" t="s">
        <v>2391</v>
      </c>
      <c r="B372" t="s">
        <v>2392</v>
      </c>
      <c r="C372" t="s">
        <v>2363</v>
      </c>
      <c r="D372" t="s">
        <v>1235</v>
      </c>
      <c r="E372" t="s">
        <v>1236</v>
      </c>
      <c r="F372" t="s">
        <v>2393</v>
      </c>
      <c r="G372" t="s">
        <v>5737</v>
      </c>
      <c r="H372">
        <v>0</v>
      </c>
      <c r="I372">
        <v>0</v>
      </c>
    </row>
    <row r="373" spans="1:9" x14ac:dyDescent="0.3">
      <c r="A373" t="s">
        <v>2394</v>
      </c>
      <c r="B373" t="s">
        <v>2395</v>
      </c>
      <c r="C373" t="s">
        <v>2363</v>
      </c>
      <c r="D373" t="s">
        <v>1235</v>
      </c>
      <c r="E373" t="s">
        <v>1236</v>
      </c>
      <c r="F373" t="s">
        <v>2396</v>
      </c>
      <c r="G373" t="s">
        <v>5738</v>
      </c>
      <c r="H373">
        <v>0</v>
      </c>
      <c r="I373">
        <v>0</v>
      </c>
    </row>
    <row r="374" spans="1:9" x14ac:dyDescent="0.3">
      <c r="A374" t="s">
        <v>2397</v>
      </c>
      <c r="B374" t="s">
        <v>2398</v>
      </c>
      <c r="C374" t="s">
        <v>2363</v>
      </c>
      <c r="D374" t="s">
        <v>1235</v>
      </c>
      <c r="E374" t="s">
        <v>1236</v>
      </c>
      <c r="F374" t="s">
        <v>2399</v>
      </c>
      <c r="G374" t="s">
        <v>5739</v>
      </c>
      <c r="H374">
        <v>0</v>
      </c>
      <c r="I374">
        <v>0</v>
      </c>
    </row>
    <row r="375" spans="1:9" x14ac:dyDescent="0.3">
      <c r="A375" t="s">
        <v>2400</v>
      </c>
      <c r="B375" t="s">
        <v>2401</v>
      </c>
      <c r="C375" t="s">
        <v>2363</v>
      </c>
      <c r="D375" t="s">
        <v>1235</v>
      </c>
      <c r="E375" t="s">
        <v>1236</v>
      </c>
      <c r="F375" t="s">
        <v>2402</v>
      </c>
      <c r="G375" t="s">
        <v>5740</v>
      </c>
      <c r="H375">
        <v>0</v>
      </c>
      <c r="I375">
        <v>0</v>
      </c>
    </row>
    <row r="376" spans="1:9" x14ac:dyDescent="0.3">
      <c r="A376" t="s">
        <v>2403</v>
      </c>
      <c r="B376" t="s">
        <v>2404</v>
      </c>
      <c r="C376" t="s">
        <v>2363</v>
      </c>
      <c r="D376" t="s">
        <v>1235</v>
      </c>
      <c r="E376" t="s">
        <v>1236</v>
      </c>
      <c r="F376" t="s">
        <v>2405</v>
      </c>
      <c r="G376" t="s">
        <v>5741</v>
      </c>
      <c r="H376">
        <v>0</v>
      </c>
      <c r="I376">
        <v>0</v>
      </c>
    </row>
    <row r="377" spans="1:9" x14ac:dyDescent="0.3">
      <c r="A377" t="s">
        <v>2406</v>
      </c>
      <c r="B377" t="s">
        <v>2407</v>
      </c>
      <c r="C377" t="s">
        <v>2363</v>
      </c>
      <c r="D377" t="s">
        <v>1235</v>
      </c>
      <c r="E377" t="s">
        <v>1236</v>
      </c>
      <c r="F377" t="s">
        <v>2408</v>
      </c>
      <c r="G377" t="s">
        <v>5742</v>
      </c>
      <c r="H377">
        <v>0</v>
      </c>
      <c r="I377">
        <v>0</v>
      </c>
    </row>
    <row r="378" spans="1:9" x14ac:dyDescent="0.3">
      <c r="A378" t="s">
        <v>2409</v>
      </c>
      <c r="B378" t="s">
        <v>2410</v>
      </c>
      <c r="C378" t="s">
        <v>2363</v>
      </c>
      <c r="D378" t="s">
        <v>1235</v>
      </c>
      <c r="E378" t="s">
        <v>1236</v>
      </c>
      <c r="F378" t="s">
        <v>2411</v>
      </c>
      <c r="G378" t="s">
        <v>5743</v>
      </c>
      <c r="H378">
        <v>0</v>
      </c>
      <c r="I378">
        <v>0</v>
      </c>
    </row>
    <row r="379" spans="1:9" x14ac:dyDescent="0.3">
      <c r="A379" t="s">
        <v>2412</v>
      </c>
      <c r="B379" t="s">
        <v>2413</v>
      </c>
      <c r="C379" t="s">
        <v>2363</v>
      </c>
      <c r="D379" t="s">
        <v>1235</v>
      </c>
      <c r="E379" t="s">
        <v>1236</v>
      </c>
      <c r="F379" t="s">
        <v>2414</v>
      </c>
      <c r="G379" t="s">
        <v>5744</v>
      </c>
      <c r="H379">
        <v>0</v>
      </c>
      <c r="I379">
        <v>0</v>
      </c>
    </row>
    <row r="380" spans="1:9" x14ac:dyDescent="0.3">
      <c r="A380" t="s">
        <v>2415</v>
      </c>
      <c r="B380" t="s">
        <v>2416</v>
      </c>
      <c r="C380" t="s">
        <v>2363</v>
      </c>
      <c r="D380" t="s">
        <v>1235</v>
      </c>
      <c r="E380" t="s">
        <v>1236</v>
      </c>
      <c r="F380" t="s">
        <v>2417</v>
      </c>
      <c r="G380" t="s">
        <v>5745</v>
      </c>
      <c r="H380">
        <v>0</v>
      </c>
      <c r="I380">
        <v>0</v>
      </c>
    </row>
    <row r="381" spans="1:9" x14ac:dyDescent="0.3">
      <c r="A381" t="s">
        <v>2418</v>
      </c>
      <c r="B381" t="s">
        <v>2419</v>
      </c>
      <c r="C381" t="s">
        <v>2420</v>
      </c>
      <c r="D381" t="s">
        <v>1505</v>
      </c>
      <c r="E381" t="s">
        <v>1236</v>
      </c>
      <c r="F381" t="s">
        <v>2421</v>
      </c>
      <c r="G381" t="s">
        <v>5746</v>
      </c>
      <c r="H381">
        <v>0</v>
      </c>
      <c r="I381">
        <v>0</v>
      </c>
    </row>
    <row r="382" spans="1:9" x14ac:dyDescent="0.3">
      <c r="A382" t="s">
        <v>2422</v>
      </c>
      <c r="B382" t="s">
        <v>2423</v>
      </c>
      <c r="C382" t="s">
        <v>2420</v>
      </c>
      <c r="D382" t="s">
        <v>1505</v>
      </c>
      <c r="E382" t="s">
        <v>1236</v>
      </c>
      <c r="F382" t="s">
        <v>2424</v>
      </c>
      <c r="G382" t="s">
        <v>5747</v>
      </c>
      <c r="H382">
        <v>0</v>
      </c>
      <c r="I382">
        <v>0</v>
      </c>
    </row>
    <row r="383" spans="1:9" x14ac:dyDescent="0.3">
      <c r="A383" t="s">
        <v>2425</v>
      </c>
      <c r="B383" t="s">
        <v>2426</v>
      </c>
      <c r="C383" t="s">
        <v>2420</v>
      </c>
      <c r="D383" t="s">
        <v>1505</v>
      </c>
      <c r="E383" t="s">
        <v>1236</v>
      </c>
      <c r="F383" t="s">
        <v>2427</v>
      </c>
      <c r="G383" t="s">
        <v>5748</v>
      </c>
      <c r="H383">
        <v>0</v>
      </c>
      <c r="I383">
        <v>0</v>
      </c>
    </row>
    <row r="384" spans="1:9" x14ac:dyDescent="0.3">
      <c r="A384" t="s">
        <v>2428</v>
      </c>
      <c r="B384" t="s">
        <v>2429</v>
      </c>
      <c r="C384" t="s">
        <v>2420</v>
      </c>
      <c r="D384" t="s">
        <v>1505</v>
      </c>
      <c r="E384" t="s">
        <v>1236</v>
      </c>
      <c r="F384" t="s">
        <v>2430</v>
      </c>
      <c r="G384" t="s">
        <v>5749</v>
      </c>
      <c r="H384" t="s">
        <v>2431</v>
      </c>
      <c r="I384">
        <v>0</v>
      </c>
    </row>
    <row r="385" spans="1:9" x14ac:dyDescent="0.3">
      <c r="A385" t="s">
        <v>2432</v>
      </c>
      <c r="B385" t="s">
        <v>2433</v>
      </c>
      <c r="C385" t="s">
        <v>2420</v>
      </c>
      <c r="D385" t="s">
        <v>1505</v>
      </c>
      <c r="E385" t="s">
        <v>1236</v>
      </c>
      <c r="F385" t="s">
        <v>2434</v>
      </c>
      <c r="G385" t="s">
        <v>5750</v>
      </c>
      <c r="H385">
        <v>0</v>
      </c>
      <c r="I385">
        <v>0</v>
      </c>
    </row>
    <row r="386" spans="1:9" x14ac:dyDescent="0.3">
      <c r="A386" t="s">
        <v>2435</v>
      </c>
      <c r="B386" t="s">
        <v>2436</v>
      </c>
      <c r="C386" t="s">
        <v>2420</v>
      </c>
      <c r="D386" t="s">
        <v>1505</v>
      </c>
      <c r="E386" t="s">
        <v>1236</v>
      </c>
      <c r="F386" t="s">
        <v>2437</v>
      </c>
      <c r="G386" t="s">
        <v>5751</v>
      </c>
      <c r="H386">
        <v>0</v>
      </c>
      <c r="I386">
        <v>0</v>
      </c>
    </row>
    <row r="387" spans="1:9" x14ac:dyDescent="0.3">
      <c r="A387" t="s">
        <v>2438</v>
      </c>
      <c r="B387" t="s">
        <v>2439</v>
      </c>
      <c r="C387" t="s">
        <v>2420</v>
      </c>
      <c r="D387" t="s">
        <v>1505</v>
      </c>
      <c r="E387" t="s">
        <v>1236</v>
      </c>
      <c r="F387" t="s">
        <v>2440</v>
      </c>
      <c r="G387" t="s">
        <v>5752</v>
      </c>
      <c r="H387" t="s">
        <v>2431</v>
      </c>
      <c r="I387">
        <v>0</v>
      </c>
    </row>
    <row r="388" spans="1:9" x14ac:dyDescent="0.3">
      <c r="A388" t="s">
        <v>2441</v>
      </c>
      <c r="B388" t="s">
        <v>2442</v>
      </c>
      <c r="C388" t="s">
        <v>2420</v>
      </c>
      <c r="D388" t="s">
        <v>1505</v>
      </c>
      <c r="E388" t="s">
        <v>1236</v>
      </c>
      <c r="F388" t="s">
        <v>2443</v>
      </c>
      <c r="G388" t="s">
        <v>5753</v>
      </c>
      <c r="H388">
        <v>0</v>
      </c>
      <c r="I388">
        <v>0</v>
      </c>
    </row>
    <row r="389" spans="1:9" x14ac:dyDescent="0.3">
      <c r="A389" t="s">
        <v>2444</v>
      </c>
      <c r="B389" t="s">
        <v>2445</v>
      </c>
      <c r="C389" t="s">
        <v>2420</v>
      </c>
      <c r="D389" t="s">
        <v>1505</v>
      </c>
      <c r="E389" t="s">
        <v>1236</v>
      </c>
      <c r="F389" t="s">
        <v>2446</v>
      </c>
      <c r="G389" t="s">
        <v>5754</v>
      </c>
      <c r="H389">
        <v>0</v>
      </c>
      <c r="I389">
        <v>0</v>
      </c>
    </row>
    <row r="390" spans="1:9" x14ac:dyDescent="0.3">
      <c r="A390" t="s">
        <v>2447</v>
      </c>
      <c r="B390" t="s">
        <v>2448</v>
      </c>
      <c r="C390" t="s">
        <v>2420</v>
      </c>
      <c r="D390" t="s">
        <v>1505</v>
      </c>
      <c r="E390" t="s">
        <v>1236</v>
      </c>
      <c r="F390" t="s">
        <v>2449</v>
      </c>
      <c r="G390" t="s">
        <v>5755</v>
      </c>
      <c r="H390">
        <v>0</v>
      </c>
      <c r="I390">
        <v>0</v>
      </c>
    </row>
    <row r="391" spans="1:9" x14ac:dyDescent="0.3">
      <c r="A391" t="s">
        <v>2450</v>
      </c>
      <c r="B391" t="s">
        <v>2451</v>
      </c>
      <c r="C391" t="s">
        <v>2420</v>
      </c>
      <c r="D391" t="s">
        <v>1505</v>
      </c>
      <c r="E391" t="s">
        <v>1236</v>
      </c>
      <c r="F391" t="s">
        <v>2452</v>
      </c>
      <c r="G391" t="s">
        <v>5756</v>
      </c>
      <c r="H391">
        <v>0</v>
      </c>
      <c r="I391">
        <v>0</v>
      </c>
    </row>
    <row r="392" spans="1:9" x14ac:dyDescent="0.3">
      <c r="A392" t="s">
        <v>2453</v>
      </c>
      <c r="B392" t="s">
        <v>2454</v>
      </c>
      <c r="C392" t="s">
        <v>2420</v>
      </c>
      <c r="D392" t="s">
        <v>1505</v>
      </c>
      <c r="E392" t="s">
        <v>1236</v>
      </c>
      <c r="F392" t="s">
        <v>2455</v>
      </c>
      <c r="G392" t="s">
        <v>5757</v>
      </c>
      <c r="H392" t="s">
        <v>130</v>
      </c>
      <c r="I392">
        <v>0</v>
      </c>
    </row>
    <row r="393" spans="1:9" x14ac:dyDescent="0.3">
      <c r="A393" t="s">
        <v>2456</v>
      </c>
      <c r="B393" t="s">
        <v>2457</v>
      </c>
      <c r="C393" t="s">
        <v>2420</v>
      </c>
      <c r="D393" t="s">
        <v>1505</v>
      </c>
      <c r="E393" t="s">
        <v>1236</v>
      </c>
      <c r="F393" t="s">
        <v>2458</v>
      </c>
      <c r="G393" t="s">
        <v>5758</v>
      </c>
      <c r="H393">
        <v>0</v>
      </c>
      <c r="I393">
        <v>0</v>
      </c>
    </row>
    <row r="394" spans="1:9" x14ac:dyDescent="0.3">
      <c r="A394" t="s">
        <v>2459</v>
      </c>
      <c r="B394" t="s">
        <v>2460</v>
      </c>
      <c r="C394" t="s">
        <v>2420</v>
      </c>
      <c r="D394" t="s">
        <v>1505</v>
      </c>
      <c r="E394" t="s">
        <v>1236</v>
      </c>
      <c r="F394" t="s">
        <v>2461</v>
      </c>
      <c r="G394" t="s">
        <v>5759</v>
      </c>
      <c r="H394" t="s">
        <v>114</v>
      </c>
      <c r="I394">
        <v>0</v>
      </c>
    </row>
    <row r="395" spans="1:9" x14ac:dyDescent="0.3">
      <c r="A395" t="s">
        <v>2462</v>
      </c>
      <c r="B395" t="s">
        <v>2463</v>
      </c>
      <c r="C395" t="s">
        <v>2420</v>
      </c>
      <c r="D395" t="s">
        <v>1505</v>
      </c>
      <c r="E395" t="s">
        <v>1236</v>
      </c>
      <c r="F395" t="s">
        <v>2464</v>
      </c>
      <c r="G395" t="s">
        <v>5760</v>
      </c>
      <c r="H395" t="s">
        <v>130</v>
      </c>
      <c r="I395">
        <v>0</v>
      </c>
    </row>
    <row r="396" spans="1:9" x14ac:dyDescent="0.3">
      <c r="A396" t="s">
        <v>2465</v>
      </c>
      <c r="B396" t="s">
        <v>2466</v>
      </c>
      <c r="C396" t="s">
        <v>2420</v>
      </c>
      <c r="D396" t="s">
        <v>1505</v>
      </c>
      <c r="E396" t="s">
        <v>1236</v>
      </c>
      <c r="F396" t="s">
        <v>2467</v>
      </c>
      <c r="G396" t="s">
        <v>5761</v>
      </c>
      <c r="H396" t="s">
        <v>114</v>
      </c>
      <c r="I396">
        <v>0</v>
      </c>
    </row>
    <row r="397" spans="1:9" x14ac:dyDescent="0.3">
      <c r="A397" t="s">
        <v>2468</v>
      </c>
      <c r="B397" t="s">
        <v>2469</v>
      </c>
      <c r="C397" t="s">
        <v>2420</v>
      </c>
      <c r="D397" t="s">
        <v>1505</v>
      </c>
      <c r="E397" t="s">
        <v>1236</v>
      </c>
      <c r="F397" t="s">
        <v>2470</v>
      </c>
      <c r="G397" t="s">
        <v>5762</v>
      </c>
      <c r="H397" t="s">
        <v>2431</v>
      </c>
      <c r="I397">
        <v>0</v>
      </c>
    </row>
    <row r="398" spans="1:9" x14ac:dyDescent="0.3">
      <c r="A398" t="s">
        <v>2471</v>
      </c>
      <c r="B398" t="s">
        <v>2472</v>
      </c>
      <c r="C398" t="s">
        <v>2420</v>
      </c>
      <c r="D398" t="s">
        <v>1505</v>
      </c>
      <c r="E398" t="s">
        <v>1236</v>
      </c>
      <c r="F398" t="s">
        <v>2473</v>
      </c>
      <c r="G398" t="s">
        <v>5763</v>
      </c>
      <c r="H398" t="s">
        <v>2431</v>
      </c>
      <c r="I398">
        <v>0</v>
      </c>
    </row>
    <row r="399" spans="1:9" x14ac:dyDescent="0.3">
      <c r="A399" t="s">
        <v>2474</v>
      </c>
      <c r="B399" t="s">
        <v>2475</v>
      </c>
      <c r="C399" t="s">
        <v>2420</v>
      </c>
      <c r="D399" t="s">
        <v>1505</v>
      </c>
      <c r="E399" t="s">
        <v>1236</v>
      </c>
      <c r="F399" t="s">
        <v>2476</v>
      </c>
      <c r="G399" t="s">
        <v>5764</v>
      </c>
      <c r="H399" t="s">
        <v>2431</v>
      </c>
      <c r="I399">
        <v>0</v>
      </c>
    </row>
    <row r="400" spans="1:9" x14ac:dyDescent="0.3">
      <c r="A400" t="s">
        <v>2477</v>
      </c>
      <c r="B400" t="s">
        <v>2478</v>
      </c>
      <c r="C400" t="s">
        <v>2420</v>
      </c>
      <c r="D400" t="s">
        <v>1505</v>
      </c>
      <c r="E400" t="s">
        <v>1236</v>
      </c>
      <c r="F400" t="s">
        <v>2479</v>
      </c>
      <c r="G400" t="s">
        <v>5765</v>
      </c>
      <c r="H400">
        <v>0</v>
      </c>
      <c r="I400">
        <v>0</v>
      </c>
    </row>
    <row r="401" spans="1:9" x14ac:dyDescent="0.3">
      <c r="A401" t="s">
        <v>2480</v>
      </c>
      <c r="B401" t="s">
        <v>2481</v>
      </c>
      <c r="C401" t="s">
        <v>2420</v>
      </c>
      <c r="D401" t="s">
        <v>1505</v>
      </c>
      <c r="E401" t="s">
        <v>1236</v>
      </c>
      <c r="F401" t="s">
        <v>2482</v>
      </c>
      <c r="G401" t="s">
        <v>5766</v>
      </c>
      <c r="H401" t="s">
        <v>114</v>
      </c>
      <c r="I401">
        <v>0</v>
      </c>
    </row>
    <row r="402" spans="1:9" x14ac:dyDescent="0.3">
      <c r="A402" t="s">
        <v>2483</v>
      </c>
      <c r="B402" t="s">
        <v>2484</v>
      </c>
      <c r="C402" t="s">
        <v>2420</v>
      </c>
      <c r="D402" t="s">
        <v>1505</v>
      </c>
      <c r="E402" t="s">
        <v>1236</v>
      </c>
      <c r="F402" t="s">
        <v>2485</v>
      </c>
      <c r="G402" t="s">
        <v>5767</v>
      </c>
      <c r="H402">
        <v>0</v>
      </c>
      <c r="I402">
        <v>0</v>
      </c>
    </row>
    <row r="403" spans="1:9" x14ac:dyDescent="0.3">
      <c r="A403" t="s">
        <v>2486</v>
      </c>
      <c r="B403" t="s">
        <v>2487</v>
      </c>
      <c r="C403" t="s">
        <v>2420</v>
      </c>
      <c r="D403" t="s">
        <v>1505</v>
      </c>
      <c r="E403" t="s">
        <v>1236</v>
      </c>
      <c r="F403" t="s">
        <v>2488</v>
      </c>
      <c r="G403" t="s">
        <v>5768</v>
      </c>
      <c r="H403">
        <v>0</v>
      </c>
      <c r="I403">
        <v>0</v>
      </c>
    </row>
    <row r="404" spans="1:9" x14ac:dyDescent="0.3">
      <c r="A404" t="s">
        <v>2489</v>
      </c>
      <c r="B404" t="s">
        <v>2490</v>
      </c>
      <c r="C404" t="s">
        <v>2420</v>
      </c>
      <c r="D404" t="s">
        <v>1505</v>
      </c>
      <c r="E404" t="s">
        <v>1236</v>
      </c>
      <c r="F404" t="s">
        <v>2491</v>
      </c>
      <c r="G404" t="s">
        <v>5769</v>
      </c>
      <c r="H404">
        <v>0</v>
      </c>
      <c r="I404">
        <v>0</v>
      </c>
    </row>
    <row r="405" spans="1:9" x14ac:dyDescent="0.3">
      <c r="A405" t="s">
        <v>2492</v>
      </c>
      <c r="B405" t="s">
        <v>2493</v>
      </c>
      <c r="C405" t="s">
        <v>2420</v>
      </c>
      <c r="D405" t="s">
        <v>1505</v>
      </c>
      <c r="E405" t="s">
        <v>1236</v>
      </c>
      <c r="F405" t="s">
        <v>2494</v>
      </c>
      <c r="G405" t="s">
        <v>5770</v>
      </c>
      <c r="H405" t="s">
        <v>130</v>
      </c>
      <c r="I405">
        <v>0</v>
      </c>
    </row>
    <row r="406" spans="1:9" x14ac:dyDescent="0.3">
      <c r="A406" t="s">
        <v>2495</v>
      </c>
      <c r="B406" t="s">
        <v>2496</v>
      </c>
      <c r="C406" t="s">
        <v>2420</v>
      </c>
      <c r="D406" t="s">
        <v>1505</v>
      </c>
      <c r="E406" t="s">
        <v>1236</v>
      </c>
      <c r="F406" t="s">
        <v>2497</v>
      </c>
      <c r="G406" t="s">
        <v>5771</v>
      </c>
      <c r="H406" t="s">
        <v>120</v>
      </c>
      <c r="I406">
        <v>0</v>
      </c>
    </row>
    <row r="407" spans="1:9" x14ac:dyDescent="0.3">
      <c r="A407" t="s">
        <v>2498</v>
      </c>
      <c r="B407" t="s">
        <v>2499</v>
      </c>
      <c r="C407" t="s">
        <v>2420</v>
      </c>
      <c r="D407" t="s">
        <v>1505</v>
      </c>
      <c r="E407" t="s">
        <v>1236</v>
      </c>
      <c r="F407" t="s">
        <v>2500</v>
      </c>
      <c r="G407" t="s">
        <v>5772</v>
      </c>
      <c r="H407">
        <v>0</v>
      </c>
      <c r="I407">
        <v>0</v>
      </c>
    </row>
    <row r="408" spans="1:9" x14ac:dyDescent="0.3">
      <c r="A408" t="s">
        <v>2501</v>
      </c>
      <c r="B408" t="s">
        <v>2502</v>
      </c>
      <c r="C408" t="s">
        <v>2420</v>
      </c>
      <c r="D408" t="s">
        <v>1505</v>
      </c>
      <c r="E408" t="s">
        <v>1236</v>
      </c>
      <c r="F408" t="s">
        <v>2503</v>
      </c>
      <c r="G408" t="s">
        <v>5773</v>
      </c>
      <c r="H408">
        <v>0</v>
      </c>
      <c r="I408">
        <v>0</v>
      </c>
    </row>
    <row r="409" spans="1:9" x14ac:dyDescent="0.3">
      <c r="A409" t="s">
        <v>2504</v>
      </c>
      <c r="B409" t="s">
        <v>2505</v>
      </c>
      <c r="C409" t="s">
        <v>2420</v>
      </c>
      <c r="D409" t="s">
        <v>1505</v>
      </c>
      <c r="E409" t="s">
        <v>1236</v>
      </c>
      <c r="F409" t="s">
        <v>2506</v>
      </c>
      <c r="G409" t="s">
        <v>5774</v>
      </c>
      <c r="H409" t="s">
        <v>2431</v>
      </c>
      <c r="I409">
        <v>0</v>
      </c>
    </row>
    <row r="410" spans="1:9" x14ac:dyDescent="0.3">
      <c r="A410" t="s">
        <v>2507</v>
      </c>
      <c r="B410" t="s">
        <v>2508</v>
      </c>
      <c r="C410" t="s">
        <v>2420</v>
      </c>
      <c r="D410" t="s">
        <v>1505</v>
      </c>
      <c r="E410" t="s">
        <v>1236</v>
      </c>
      <c r="F410" t="s">
        <v>2509</v>
      </c>
      <c r="G410" t="s">
        <v>5775</v>
      </c>
      <c r="H410">
        <v>0</v>
      </c>
      <c r="I410">
        <v>0</v>
      </c>
    </row>
    <row r="411" spans="1:9" x14ac:dyDescent="0.3">
      <c r="A411" t="s">
        <v>2510</v>
      </c>
      <c r="B411" t="s">
        <v>2511</v>
      </c>
      <c r="C411" t="s">
        <v>2420</v>
      </c>
      <c r="D411" t="s">
        <v>1505</v>
      </c>
      <c r="E411" t="s">
        <v>1236</v>
      </c>
      <c r="F411" t="s">
        <v>2512</v>
      </c>
      <c r="G411" t="s">
        <v>5776</v>
      </c>
      <c r="H411">
        <v>0</v>
      </c>
      <c r="I411">
        <v>0</v>
      </c>
    </row>
    <row r="412" spans="1:9" x14ac:dyDescent="0.3">
      <c r="A412" t="s">
        <v>2513</v>
      </c>
      <c r="B412" t="s">
        <v>2514</v>
      </c>
      <c r="C412" t="s">
        <v>2420</v>
      </c>
      <c r="D412" t="s">
        <v>1505</v>
      </c>
      <c r="E412" t="s">
        <v>1236</v>
      </c>
      <c r="F412" t="s">
        <v>2515</v>
      </c>
      <c r="G412" t="s">
        <v>5777</v>
      </c>
      <c r="H412">
        <v>0</v>
      </c>
      <c r="I412">
        <v>0</v>
      </c>
    </row>
    <row r="413" spans="1:9" x14ac:dyDescent="0.3">
      <c r="A413" t="s">
        <v>2516</v>
      </c>
      <c r="B413" t="s">
        <v>2517</v>
      </c>
      <c r="C413" t="s">
        <v>2420</v>
      </c>
      <c r="D413" t="s">
        <v>1505</v>
      </c>
      <c r="E413" t="s">
        <v>1236</v>
      </c>
      <c r="F413" t="s">
        <v>2518</v>
      </c>
      <c r="G413" t="s">
        <v>5778</v>
      </c>
      <c r="H413" t="s">
        <v>114</v>
      </c>
      <c r="I413">
        <v>0</v>
      </c>
    </row>
    <row r="414" spans="1:9" x14ac:dyDescent="0.3">
      <c r="A414" t="s">
        <v>2519</v>
      </c>
      <c r="B414" t="s">
        <v>2520</v>
      </c>
      <c r="C414" t="s">
        <v>2420</v>
      </c>
      <c r="D414" t="s">
        <v>1505</v>
      </c>
      <c r="E414" t="s">
        <v>1236</v>
      </c>
      <c r="F414" t="s">
        <v>2521</v>
      </c>
      <c r="G414" t="s">
        <v>5779</v>
      </c>
      <c r="H414">
        <v>0</v>
      </c>
      <c r="I414">
        <v>0</v>
      </c>
    </row>
    <row r="415" spans="1:9" x14ac:dyDescent="0.3">
      <c r="A415" t="s">
        <v>2522</v>
      </c>
      <c r="B415" t="s">
        <v>2523</v>
      </c>
      <c r="C415" t="s">
        <v>2420</v>
      </c>
      <c r="D415" t="s">
        <v>1505</v>
      </c>
      <c r="E415" t="s">
        <v>1236</v>
      </c>
      <c r="F415" t="s">
        <v>2524</v>
      </c>
      <c r="G415" t="s">
        <v>5780</v>
      </c>
      <c r="H415">
        <v>0</v>
      </c>
      <c r="I415">
        <v>0</v>
      </c>
    </row>
    <row r="416" spans="1:9" x14ac:dyDescent="0.3">
      <c r="A416" t="s">
        <v>2525</v>
      </c>
      <c r="B416" t="s">
        <v>2526</v>
      </c>
      <c r="C416" t="s">
        <v>2420</v>
      </c>
      <c r="D416" t="s">
        <v>1505</v>
      </c>
      <c r="E416" t="s">
        <v>1236</v>
      </c>
      <c r="F416" t="s">
        <v>2527</v>
      </c>
      <c r="G416" t="s">
        <v>5781</v>
      </c>
      <c r="H416" t="s">
        <v>120</v>
      </c>
      <c r="I416">
        <v>0</v>
      </c>
    </row>
    <row r="417" spans="1:9" x14ac:dyDescent="0.3">
      <c r="A417" t="s">
        <v>2528</v>
      </c>
      <c r="B417" t="s">
        <v>2529</v>
      </c>
      <c r="C417" t="s">
        <v>2420</v>
      </c>
      <c r="D417" t="s">
        <v>1505</v>
      </c>
      <c r="E417" t="s">
        <v>1236</v>
      </c>
      <c r="F417" t="s">
        <v>2530</v>
      </c>
      <c r="G417" t="s">
        <v>5782</v>
      </c>
      <c r="H417" t="s">
        <v>2431</v>
      </c>
      <c r="I417">
        <v>0</v>
      </c>
    </row>
    <row r="418" spans="1:9" x14ac:dyDescent="0.3">
      <c r="A418" t="s">
        <v>2531</v>
      </c>
      <c r="B418" t="s">
        <v>2532</v>
      </c>
      <c r="C418" t="s">
        <v>2420</v>
      </c>
      <c r="D418" t="s">
        <v>1505</v>
      </c>
      <c r="E418" t="s">
        <v>1236</v>
      </c>
      <c r="F418" t="s">
        <v>2533</v>
      </c>
      <c r="G418" t="s">
        <v>5783</v>
      </c>
      <c r="H418" t="s">
        <v>108</v>
      </c>
      <c r="I418">
        <v>0</v>
      </c>
    </row>
    <row r="419" spans="1:9" x14ac:dyDescent="0.3">
      <c r="A419" t="s">
        <v>2534</v>
      </c>
      <c r="B419" t="s">
        <v>2535</v>
      </c>
      <c r="C419" t="s">
        <v>2420</v>
      </c>
      <c r="D419" t="s">
        <v>1505</v>
      </c>
      <c r="E419" t="s">
        <v>1236</v>
      </c>
      <c r="F419" t="s">
        <v>2536</v>
      </c>
      <c r="G419" t="s">
        <v>5784</v>
      </c>
      <c r="H419" t="s">
        <v>130</v>
      </c>
      <c r="I419">
        <v>0</v>
      </c>
    </row>
    <row r="420" spans="1:9" x14ac:dyDescent="0.3">
      <c r="A420" t="s">
        <v>2537</v>
      </c>
      <c r="B420" t="s">
        <v>2538</v>
      </c>
      <c r="C420" t="s">
        <v>2420</v>
      </c>
      <c r="D420" t="s">
        <v>1505</v>
      </c>
      <c r="E420" t="s">
        <v>1236</v>
      </c>
      <c r="F420" t="s">
        <v>2539</v>
      </c>
      <c r="G420" t="s">
        <v>5785</v>
      </c>
      <c r="H420" t="s">
        <v>120</v>
      </c>
      <c r="I420">
        <v>0</v>
      </c>
    </row>
    <row r="421" spans="1:9" x14ac:dyDescent="0.3">
      <c r="A421" t="s">
        <v>2540</v>
      </c>
      <c r="B421" t="s">
        <v>2541</v>
      </c>
      <c r="C421" t="s">
        <v>2420</v>
      </c>
      <c r="D421" t="s">
        <v>1505</v>
      </c>
      <c r="E421" t="s">
        <v>1236</v>
      </c>
      <c r="F421" t="s">
        <v>2542</v>
      </c>
      <c r="G421" t="s">
        <v>5786</v>
      </c>
      <c r="H421" t="s">
        <v>120</v>
      </c>
      <c r="I421">
        <v>0</v>
      </c>
    </row>
    <row r="422" spans="1:9" x14ac:dyDescent="0.3">
      <c r="A422" t="s">
        <v>2543</v>
      </c>
      <c r="B422" t="s">
        <v>2544</v>
      </c>
      <c r="C422" t="s">
        <v>2420</v>
      </c>
      <c r="D422" t="s">
        <v>1505</v>
      </c>
      <c r="E422" t="s">
        <v>1236</v>
      </c>
      <c r="F422" t="s">
        <v>2545</v>
      </c>
      <c r="G422" t="s">
        <v>5787</v>
      </c>
      <c r="H422" t="s">
        <v>2431</v>
      </c>
      <c r="I422">
        <v>0</v>
      </c>
    </row>
    <row r="423" spans="1:9" x14ac:dyDescent="0.3">
      <c r="A423" t="s">
        <v>2546</v>
      </c>
      <c r="B423" t="s">
        <v>2547</v>
      </c>
      <c r="C423" t="s">
        <v>2420</v>
      </c>
      <c r="D423" t="s">
        <v>1505</v>
      </c>
      <c r="E423" t="s">
        <v>1236</v>
      </c>
      <c r="F423" t="s">
        <v>2548</v>
      </c>
      <c r="G423" t="s">
        <v>5788</v>
      </c>
      <c r="H423" t="s">
        <v>114</v>
      </c>
      <c r="I423">
        <v>0</v>
      </c>
    </row>
    <row r="424" spans="1:9" x14ac:dyDescent="0.3">
      <c r="A424" t="s">
        <v>2549</v>
      </c>
      <c r="B424" t="s">
        <v>2550</v>
      </c>
      <c r="C424" t="s">
        <v>2420</v>
      </c>
      <c r="D424" t="s">
        <v>1505</v>
      </c>
      <c r="E424" t="s">
        <v>1236</v>
      </c>
      <c r="F424" t="s">
        <v>2551</v>
      </c>
      <c r="G424" t="s">
        <v>5789</v>
      </c>
      <c r="H424">
        <v>0</v>
      </c>
      <c r="I424">
        <v>0</v>
      </c>
    </row>
    <row r="425" spans="1:9" x14ac:dyDescent="0.3">
      <c r="A425" t="s">
        <v>2552</v>
      </c>
      <c r="B425" t="s">
        <v>2553</v>
      </c>
      <c r="C425" t="s">
        <v>2420</v>
      </c>
      <c r="D425" t="s">
        <v>1505</v>
      </c>
      <c r="E425" t="s">
        <v>1236</v>
      </c>
      <c r="F425" t="s">
        <v>2554</v>
      </c>
      <c r="G425" t="s">
        <v>5790</v>
      </c>
      <c r="H425">
        <v>0</v>
      </c>
      <c r="I425">
        <v>0</v>
      </c>
    </row>
    <row r="426" spans="1:9" x14ac:dyDescent="0.3">
      <c r="A426" t="s">
        <v>2555</v>
      </c>
      <c r="B426" t="s">
        <v>2556</v>
      </c>
      <c r="C426" t="s">
        <v>2420</v>
      </c>
      <c r="D426" t="s">
        <v>1505</v>
      </c>
      <c r="E426" t="s">
        <v>1236</v>
      </c>
      <c r="F426" t="s">
        <v>2557</v>
      </c>
      <c r="G426" t="s">
        <v>5791</v>
      </c>
      <c r="H426">
        <v>0</v>
      </c>
      <c r="I426">
        <v>0</v>
      </c>
    </row>
    <row r="427" spans="1:9" x14ac:dyDescent="0.3">
      <c r="A427" t="s">
        <v>2558</v>
      </c>
      <c r="B427" t="s">
        <v>2559</v>
      </c>
      <c r="C427" t="s">
        <v>2420</v>
      </c>
      <c r="D427" t="s">
        <v>1505</v>
      </c>
      <c r="E427" t="s">
        <v>1236</v>
      </c>
      <c r="F427" t="s">
        <v>2560</v>
      </c>
      <c r="G427" t="s">
        <v>5792</v>
      </c>
      <c r="H427">
        <v>0</v>
      </c>
      <c r="I427">
        <v>0</v>
      </c>
    </row>
    <row r="428" spans="1:9" x14ac:dyDescent="0.3">
      <c r="A428" t="s">
        <v>2561</v>
      </c>
      <c r="B428" t="s">
        <v>2562</v>
      </c>
      <c r="C428" t="s">
        <v>2420</v>
      </c>
      <c r="D428" t="s">
        <v>1505</v>
      </c>
      <c r="E428" t="s">
        <v>1236</v>
      </c>
      <c r="F428" t="s">
        <v>2563</v>
      </c>
      <c r="G428" t="s">
        <v>5793</v>
      </c>
      <c r="H428" t="s">
        <v>120</v>
      </c>
      <c r="I428">
        <v>0</v>
      </c>
    </row>
    <row r="429" spans="1:9" x14ac:dyDescent="0.3">
      <c r="A429" t="s">
        <v>2564</v>
      </c>
      <c r="B429" t="s">
        <v>2565</v>
      </c>
      <c r="C429" t="s">
        <v>2420</v>
      </c>
      <c r="D429" t="s">
        <v>1505</v>
      </c>
      <c r="E429" t="s">
        <v>1236</v>
      </c>
      <c r="F429" t="s">
        <v>2566</v>
      </c>
      <c r="G429" t="s">
        <v>5794</v>
      </c>
      <c r="H429" t="s">
        <v>114</v>
      </c>
      <c r="I429">
        <v>0</v>
      </c>
    </row>
    <row r="430" spans="1:9" x14ac:dyDescent="0.3">
      <c r="A430" t="s">
        <v>2567</v>
      </c>
      <c r="B430" t="s">
        <v>2568</v>
      </c>
      <c r="C430" t="s">
        <v>2420</v>
      </c>
      <c r="D430" t="s">
        <v>1505</v>
      </c>
      <c r="E430" t="s">
        <v>1236</v>
      </c>
      <c r="F430" t="s">
        <v>2569</v>
      </c>
      <c r="G430" t="s">
        <v>5795</v>
      </c>
      <c r="H430" t="s">
        <v>114</v>
      </c>
      <c r="I430">
        <v>0</v>
      </c>
    </row>
    <row r="431" spans="1:9" x14ac:dyDescent="0.3">
      <c r="A431" t="s">
        <v>2570</v>
      </c>
      <c r="B431" t="s">
        <v>2571</v>
      </c>
      <c r="C431" t="s">
        <v>2420</v>
      </c>
      <c r="D431" t="s">
        <v>1505</v>
      </c>
      <c r="E431" t="s">
        <v>1236</v>
      </c>
      <c r="F431" t="s">
        <v>2572</v>
      </c>
      <c r="G431" t="s">
        <v>5796</v>
      </c>
      <c r="H431">
        <v>0</v>
      </c>
      <c r="I431">
        <v>0</v>
      </c>
    </row>
    <row r="432" spans="1:9" x14ac:dyDescent="0.3">
      <c r="A432" t="s">
        <v>2573</v>
      </c>
      <c r="B432" t="s">
        <v>2574</v>
      </c>
      <c r="C432" t="s">
        <v>2420</v>
      </c>
      <c r="D432" t="s">
        <v>1505</v>
      </c>
      <c r="E432" t="s">
        <v>1236</v>
      </c>
      <c r="F432" t="s">
        <v>2575</v>
      </c>
      <c r="G432" t="s">
        <v>5797</v>
      </c>
      <c r="H432">
        <v>0</v>
      </c>
      <c r="I432">
        <v>0</v>
      </c>
    </row>
    <row r="433" spans="1:9" x14ac:dyDescent="0.3">
      <c r="A433" t="s">
        <v>2576</v>
      </c>
      <c r="B433" t="s">
        <v>2577</v>
      </c>
      <c r="C433" t="s">
        <v>2420</v>
      </c>
      <c r="D433" t="s">
        <v>1505</v>
      </c>
      <c r="E433" t="s">
        <v>1236</v>
      </c>
      <c r="F433" t="s">
        <v>2578</v>
      </c>
      <c r="G433" t="s">
        <v>5798</v>
      </c>
      <c r="H433" t="s">
        <v>2431</v>
      </c>
      <c r="I433">
        <v>0</v>
      </c>
    </row>
    <row r="434" spans="1:9" x14ac:dyDescent="0.3">
      <c r="A434" t="s">
        <v>2579</v>
      </c>
      <c r="B434" t="s">
        <v>2580</v>
      </c>
      <c r="C434" t="s">
        <v>2420</v>
      </c>
      <c r="D434" t="s">
        <v>1505</v>
      </c>
      <c r="E434" t="s">
        <v>1236</v>
      </c>
      <c r="F434" t="s">
        <v>2581</v>
      </c>
      <c r="G434" t="s">
        <v>5799</v>
      </c>
      <c r="H434">
        <v>0</v>
      </c>
      <c r="I434">
        <v>0</v>
      </c>
    </row>
    <row r="435" spans="1:9" x14ac:dyDescent="0.3">
      <c r="A435" t="s">
        <v>2582</v>
      </c>
      <c r="B435" t="s">
        <v>2583</v>
      </c>
      <c r="C435" t="s">
        <v>2420</v>
      </c>
      <c r="D435" t="s">
        <v>1505</v>
      </c>
      <c r="E435" t="s">
        <v>1236</v>
      </c>
      <c r="F435" t="s">
        <v>2584</v>
      </c>
      <c r="G435" t="s">
        <v>5800</v>
      </c>
      <c r="H435" t="s">
        <v>130</v>
      </c>
      <c r="I435">
        <v>0</v>
      </c>
    </row>
    <row r="436" spans="1:9" x14ac:dyDescent="0.3">
      <c r="A436" t="s">
        <v>2585</v>
      </c>
      <c r="B436" t="s">
        <v>2586</v>
      </c>
      <c r="C436" t="s">
        <v>2420</v>
      </c>
      <c r="D436" t="s">
        <v>1505</v>
      </c>
      <c r="E436" t="s">
        <v>1236</v>
      </c>
      <c r="F436" t="s">
        <v>2587</v>
      </c>
      <c r="G436" t="s">
        <v>5801</v>
      </c>
      <c r="H436">
        <v>0</v>
      </c>
      <c r="I436">
        <v>0</v>
      </c>
    </row>
    <row r="437" spans="1:9" x14ac:dyDescent="0.3">
      <c r="A437" t="s">
        <v>2588</v>
      </c>
      <c r="B437" t="s">
        <v>2589</v>
      </c>
      <c r="C437" t="s">
        <v>2420</v>
      </c>
      <c r="D437" t="s">
        <v>1505</v>
      </c>
      <c r="E437" t="s">
        <v>1236</v>
      </c>
      <c r="F437" t="s">
        <v>2590</v>
      </c>
      <c r="G437" t="s">
        <v>5802</v>
      </c>
      <c r="H437">
        <v>0</v>
      </c>
      <c r="I437">
        <v>0</v>
      </c>
    </row>
    <row r="438" spans="1:9" x14ac:dyDescent="0.3">
      <c r="A438" t="s">
        <v>2591</v>
      </c>
      <c r="B438" t="s">
        <v>2592</v>
      </c>
      <c r="C438" t="s">
        <v>2420</v>
      </c>
      <c r="D438" t="s">
        <v>1505</v>
      </c>
      <c r="E438" t="s">
        <v>1236</v>
      </c>
      <c r="F438" t="s">
        <v>2593</v>
      </c>
      <c r="G438" t="s">
        <v>5803</v>
      </c>
      <c r="H438">
        <v>0</v>
      </c>
      <c r="I438">
        <v>0</v>
      </c>
    </row>
    <row r="439" spans="1:9" x14ac:dyDescent="0.3">
      <c r="A439" t="s">
        <v>2594</v>
      </c>
      <c r="B439" t="s">
        <v>2595</v>
      </c>
      <c r="C439" t="s">
        <v>2420</v>
      </c>
      <c r="D439" t="s">
        <v>1505</v>
      </c>
      <c r="E439" t="s">
        <v>1236</v>
      </c>
      <c r="F439" t="s">
        <v>2596</v>
      </c>
      <c r="G439" t="s">
        <v>5804</v>
      </c>
      <c r="H439">
        <v>0</v>
      </c>
      <c r="I439">
        <v>0</v>
      </c>
    </row>
    <row r="440" spans="1:9" x14ac:dyDescent="0.3">
      <c r="A440" t="s">
        <v>2597</v>
      </c>
      <c r="B440" t="s">
        <v>2598</v>
      </c>
      <c r="C440" t="s">
        <v>2420</v>
      </c>
      <c r="D440" t="s">
        <v>1505</v>
      </c>
      <c r="E440" t="s">
        <v>1236</v>
      </c>
      <c r="F440" t="s">
        <v>2599</v>
      </c>
      <c r="G440" t="s">
        <v>5805</v>
      </c>
      <c r="H440">
        <v>0</v>
      </c>
      <c r="I440">
        <v>0</v>
      </c>
    </row>
    <row r="441" spans="1:9" x14ac:dyDescent="0.3">
      <c r="A441" t="s">
        <v>2600</v>
      </c>
      <c r="B441" t="s">
        <v>2601</v>
      </c>
      <c r="C441" t="s">
        <v>2420</v>
      </c>
      <c r="D441" t="s">
        <v>1505</v>
      </c>
      <c r="E441" t="s">
        <v>1236</v>
      </c>
      <c r="F441" t="s">
        <v>2602</v>
      </c>
      <c r="G441" t="s">
        <v>5806</v>
      </c>
      <c r="H441">
        <v>0</v>
      </c>
      <c r="I441">
        <v>0</v>
      </c>
    </row>
    <row r="442" spans="1:9" x14ac:dyDescent="0.3">
      <c r="A442" t="s">
        <v>2603</v>
      </c>
      <c r="B442" t="s">
        <v>2604</v>
      </c>
      <c r="C442" t="s">
        <v>2420</v>
      </c>
      <c r="D442" t="s">
        <v>1505</v>
      </c>
      <c r="E442" t="s">
        <v>1236</v>
      </c>
      <c r="F442" t="s">
        <v>2605</v>
      </c>
      <c r="G442" t="s">
        <v>5807</v>
      </c>
      <c r="H442" t="s">
        <v>120</v>
      </c>
      <c r="I442">
        <v>0</v>
      </c>
    </row>
    <row r="443" spans="1:9" x14ac:dyDescent="0.3">
      <c r="A443" t="s">
        <v>2606</v>
      </c>
      <c r="B443" t="s">
        <v>2607</v>
      </c>
      <c r="C443" t="s">
        <v>2420</v>
      </c>
      <c r="D443" t="s">
        <v>1505</v>
      </c>
      <c r="E443" t="s">
        <v>1236</v>
      </c>
      <c r="F443" t="s">
        <v>2608</v>
      </c>
      <c r="G443" t="s">
        <v>5808</v>
      </c>
      <c r="H443">
        <v>0</v>
      </c>
      <c r="I443">
        <v>0</v>
      </c>
    </row>
    <row r="444" spans="1:9" x14ac:dyDescent="0.3">
      <c r="A444" t="s">
        <v>2609</v>
      </c>
      <c r="B444" t="s">
        <v>2610</v>
      </c>
      <c r="C444" t="s">
        <v>2420</v>
      </c>
      <c r="D444" t="s">
        <v>1505</v>
      </c>
      <c r="E444" t="s">
        <v>1236</v>
      </c>
      <c r="F444" t="s">
        <v>2611</v>
      </c>
      <c r="G444" t="s">
        <v>5809</v>
      </c>
      <c r="H444">
        <v>0</v>
      </c>
      <c r="I444">
        <v>0</v>
      </c>
    </row>
    <row r="445" spans="1:9" x14ac:dyDescent="0.3">
      <c r="A445" t="s">
        <v>2612</v>
      </c>
      <c r="B445" t="s">
        <v>2613</v>
      </c>
      <c r="C445" t="s">
        <v>2420</v>
      </c>
      <c r="D445" t="s">
        <v>1505</v>
      </c>
      <c r="E445" t="s">
        <v>1236</v>
      </c>
      <c r="F445" t="s">
        <v>2614</v>
      </c>
      <c r="G445" t="s">
        <v>5810</v>
      </c>
      <c r="H445">
        <v>0</v>
      </c>
      <c r="I445">
        <v>0</v>
      </c>
    </row>
    <row r="446" spans="1:9" x14ac:dyDescent="0.3">
      <c r="A446" t="s">
        <v>2615</v>
      </c>
      <c r="B446" t="s">
        <v>2616</v>
      </c>
      <c r="C446" t="s">
        <v>2420</v>
      </c>
      <c r="D446" t="s">
        <v>1505</v>
      </c>
      <c r="E446" t="s">
        <v>1236</v>
      </c>
      <c r="F446" t="s">
        <v>2617</v>
      </c>
      <c r="G446" t="s">
        <v>5811</v>
      </c>
      <c r="H446">
        <v>0</v>
      </c>
      <c r="I446">
        <v>0</v>
      </c>
    </row>
    <row r="447" spans="1:9" x14ac:dyDescent="0.3">
      <c r="A447" t="s">
        <v>2618</v>
      </c>
      <c r="B447" t="s">
        <v>2619</v>
      </c>
      <c r="C447" t="s">
        <v>2620</v>
      </c>
      <c r="D447" t="s">
        <v>1326</v>
      </c>
      <c r="E447" t="s">
        <v>1287</v>
      </c>
      <c r="F447" t="s">
        <v>2621</v>
      </c>
      <c r="G447" t="s">
        <v>5812</v>
      </c>
      <c r="H447">
        <v>0</v>
      </c>
      <c r="I447">
        <v>0</v>
      </c>
    </row>
    <row r="448" spans="1:9" x14ac:dyDescent="0.3">
      <c r="A448" t="s">
        <v>2622</v>
      </c>
      <c r="B448" t="s">
        <v>2623</v>
      </c>
      <c r="C448" t="s">
        <v>2620</v>
      </c>
      <c r="D448" t="s">
        <v>1326</v>
      </c>
      <c r="E448" t="s">
        <v>1287</v>
      </c>
      <c r="F448" t="s">
        <v>2624</v>
      </c>
      <c r="G448" t="s">
        <v>5813</v>
      </c>
      <c r="H448" t="s">
        <v>2625</v>
      </c>
      <c r="I448">
        <v>0</v>
      </c>
    </row>
    <row r="449" spans="1:9" x14ac:dyDescent="0.3">
      <c r="A449" t="s">
        <v>2626</v>
      </c>
      <c r="B449" t="s">
        <v>2627</v>
      </c>
      <c r="C449" t="s">
        <v>2620</v>
      </c>
      <c r="D449" t="s">
        <v>1326</v>
      </c>
      <c r="E449" t="s">
        <v>1287</v>
      </c>
      <c r="F449" t="s">
        <v>2628</v>
      </c>
      <c r="G449" t="s">
        <v>5814</v>
      </c>
      <c r="H449" t="s">
        <v>2625</v>
      </c>
      <c r="I449">
        <v>0</v>
      </c>
    </row>
    <row r="450" spans="1:9" x14ac:dyDescent="0.3">
      <c r="A450" t="s">
        <v>2629</v>
      </c>
      <c r="B450" t="s">
        <v>2630</v>
      </c>
      <c r="C450" t="s">
        <v>2620</v>
      </c>
      <c r="D450" t="s">
        <v>1326</v>
      </c>
      <c r="E450" t="s">
        <v>1287</v>
      </c>
      <c r="F450" t="s">
        <v>2631</v>
      </c>
      <c r="G450" t="s">
        <v>5815</v>
      </c>
      <c r="H450">
        <v>0</v>
      </c>
      <c r="I450">
        <v>0</v>
      </c>
    </row>
    <row r="451" spans="1:9" x14ac:dyDescent="0.3">
      <c r="A451" t="s">
        <v>2632</v>
      </c>
      <c r="B451" t="s">
        <v>2633</v>
      </c>
      <c r="C451" t="s">
        <v>2620</v>
      </c>
      <c r="D451" t="s">
        <v>1326</v>
      </c>
      <c r="E451" t="s">
        <v>1287</v>
      </c>
      <c r="F451" t="s">
        <v>2634</v>
      </c>
      <c r="G451" t="s">
        <v>5816</v>
      </c>
      <c r="H451">
        <v>0</v>
      </c>
      <c r="I451">
        <v>0</v>
      </c>
    </row>
    <row r="452" spans="1:9" x14ac:dyDescent="0.3">
      <c r="A452" t="s">
        <v>2635</v>
      </c>
      <c r="B452" t="s">
        <v>2636</v>
      </c>
      <c r="C452" t="s">
        <v>2620</v>
      </c>
      <c r="D452" t="s">
        <v>1326</v>
      </c>
      <c r="E452" t="s">
        <v>1287</v>
      </c>
      <c r="F452" t="s">
        <v>2637</v>
      </c>
      <c r="G452" t="s">
        <v>5817</v>
      </c>
      <c r="H452" t="s">
        <v>2638</v>
      </c>
      <c r="I452">
        <v>0</v>
      </c>
    </row>
    <row r="453" spans="1:9" x14ac:dyDescent="0.3">
      <c r="A453" t="s">
        <v>2639</v>
      </c>
      <c r="B453" t="s">
        <v>2640</v>
      </c>
      <c r="C453" t="s">
        <v>2620</v>
      </c>
      <c r="D453" t="s">
        <v>1326</v>
      </c>
      <c r="E453" t="s">
        <v>1287</v>
      </c>
      <c r="F453" t="s">
        <v>2641</v>
      </c>
      <c r="G453" t="s">
        <v>5818</v>
      </c>
      <c r="H453" t="s">
        <v>2638</v>
      </c>
      <c r="I453">
        <v>0</v>
      </c>
    </row>
    <row r="454" spans="1:9" x14ac:dyDescent="0.3">
      <c r="A454" t="s">
        <v>2642</v>
      </c>
      <c r="B454" t="s">
        <v>2643</v>
      </c>
      <c r="C454" t="s">
        <v>2620</v>
      </c>
      <c r="D454" t="s">
        <v>1326</v>
      </c>
      <c r="E454" t="s">
        <v>1287</v>
      </c>
      <c r="F454" t="s">
        <v>2644</v>
      </c>
      <c r="G454" t="s">
        <v>5819</v>
      </c>
      <c r="H454">
        <v>0</v>
      </c>
      <c r="I454">
        <v>0</v>
      </c>
    </row>
    <row r="455" spans="1:9" x14ac:dyDescent="0.3">
      <c r="A455" t="s">
        <v>2645</v>
      </c>
      <c r="B455" t="s">
        <v>2646</v>
      </c>
      <c r="C455" t="s">
        <v>2620</v>
      </c>
      <c r="D455" t="s">
        <v>1326</v>
      </c>
      <c r="E455" t="s">
        <v>1287</v>
      </c>
      <c r="F455" t="s">
        <v>2647</v>
      </c>
      <c r="G455" t="s">
        <v>5820</v>
      </c>
      <c r="H455">
        <v>0</v>
      </c>
      <c r="I455">
        <v>0</v>
      </c>
    </row>
    <row r="456" spans="1:9" x14ac:dyDescent="0.3">
      <c r="A456" t="s">
        <v>2648</v>
      </c>
      <c r="B456" t="s">
        <v>2649</v>
      </c>
      <c r="C456" t="s">
        <v>2620</v>
      </c>
      <c r="D456" t="s">
        <v>1326</v>
      </c>
      <c r="E456" t="s">
        <v>1287</v>
      </c>
      <c r="F456" t="s">
        <v>2650</v>
      </c>
      <c r="G456" t="s">
        <v>5821</v>
      </c>
      <c r="H456" t="s">
        <v>729</v>
      </c>
      <c r="I456">
        <v>0</v>
      </c>
    </row>
    <row r="457" spans="1:9" x14ac:dyDescent="0.3">
      <c r="A457" t="s">
        <v>2651</v>
      </c>
      <c r="B457" t="s">
        <v>2652</v>
      </c>
      <c r="C457" t="s">
        <v>2620</v>
      </c>
      <c r="D457" t="s">
        <v>1326</v>
      </c>
      <c r="E457" t="s">
        <v>1287</v>
      </c>
      <c r="F457" t="s">
        <v>2653</v>
      </c>
      <c r="G457" t="s">
        <v>5822</v>
      </c>
      <c r="H457">
        <v>0</v>
      </c>
      <c r="I457">
        <v>0</v>
      </c>
    </row>
    <row r="458" spans="1:9" x14ac:dyDescent="0.3">
      <c r="A458" t="s">
        <v>2654</v>
      </c>
      <c r="B458" t="s">
        <v>2655</v>
      </c>
      <c r="C458" t="s">
        <v>2620</v>
      </c>
      <c r="D458" t="s">
        <v>1326</v>
      </c>
      <c r="E458" t="s">
        <v>1287</v>
      </c>
      <c r="F458" t="s">
        <v>2656</v>
      </c>
      <c r="G458" t="s">
        <v>5823</v>
      </c>
      <c r="H458">
        <v>0</v>
      </c>
      <c r="I458">
        <v>0</v>
      </c>
    </row>
    <row r="459" spans="1:9" x14ac:dyDescent="0.3">
      <c r="A459" t="s">
        <v>2657</v>
      </c>
      <c r="B459" t="s">
        <v>2658</v>
      </c>
      <c r="C459" t="s">
        <v>2620</v>
      </c>
      <c r="D459" t="s">
        <v>1326</v>
      </c>
      <c r="E459" t="s">
        <v>1287</v>
      </c>
      <c r="F459" t="s">
        <v>2659</v>
      </c>
      <c r="G459" t="s">
        <v>5824</v>
      </c>
      <c r="H459" t="s">
        <v>724</v>
      </c>
      <c r="I459">
        <v>0</v>
      </c>
    </row>
    <row r="460" spans="1:9" x14ac:dyDescent="0.3">
      <c r="A460" t="s">
        <v>2660</v>
      </c>
      <c r="B460" t="s">
        <v>2661</v>
      </c>
      <c r="C460" t="s">
        <v>2620</v>
      </c>
      <c r="D460" t="s">
        <v>1326</v>
      </c>
      <c r="E460" t="s">
        <v>1287</v>
      </c>
      <c r="F460" t="s">
        <v>2662</v>
      </c>
      <c r="G460" t="s">
        <v>5825</v>
      </c>
      <c r="H460">
        <v>0</v>
      </c>
      <c r="I460">
        <v>0</v>
      </c>
    </row>
    <row r="461" spans="1:9" x14ac:dyDescent="0.3">
      <c r="A461" t="s">
        <v>2663</v>
      </c>
      <c r="B461" t="s">
        <v>2664</v>
      </c>
      <c r="C461" t="s">
        <v>2620</v>
      </c>
      <c r="D461" t="s">
        <v>1326</v>
      </c>
      <c r="E461" t="s">
        <v>1287</v>
      </c>
      <c r="F461" t="s">
        <v>2665</v>
      </c>
      <c r="G461" t="s">
        <v>5826</v>
      </c>
      <c r="H461" t="s">
        <v>2666</v>
      </c>
      <c r="I461">
        <v>0</v>
      </c>
    </row>
    <row r="462" spans="1:9" x14ac:dyDescent="0.3">
      <c r="A462" t="s">
        <v>2667</v>
      </c>
      <c r="B462" t="s">
        <v>2668</v>
      </c>
      <c r="C462" t="s">
        <v>2620</v>
      </c>
      <c r="D462" t="s">
        <v>1326</v>
      </c>
      <c r="E462" t="s">
        <v>1287</v>
      </c>
      <c r="F462" t="s">
        <v>2669</v>
      </c>
      <c r="G462" t="s">
        <v>5827</v>
      </c>
      <c r="H462" t="s">
        <v>2638</v>
      </c>
      <c r="I462">
        <v>0</v>
      </c>
    </row>
    <row r="463" spans="1:9" x14ac:dyDescent="0.3">
      <c r="A463" t="s">
        <v>2670</v>
      </c>
      <c r="B463" t="s">
        <v>2671</v>
      </c>
      <c r="C463" t="s">
        <v>2620</v>
      </c>
      <c r="D463" t="s">
        <v>1326</v>
      </c>
      <c r="E463" t="s">
        <v>1287</v>
      </c>
      <c r="F463" t="s">
        <v>2672</v>
      </c>
      <c r="G463" t="s">
        <v>5828</v>
      </c>
      <c r="H463">
        <v>0</v>
      </c>
      <c r="I463">
        <v>0</v>
      </c>
    </row>
    <row r="464" spans="1:9" x14ac:dyDescent="0.3">
      <c r="A464" t="s">
        <v>2673</v>
      </c>
      <c r="B464" t="s">
        <v>2674</v>
      </c>
      <c r="C464" t="s">
        <v>2620</v>
      </c>
      <c r="D464" t="s">
        <v>1326</v>
      </c>
      <c r="E464" t="s">
        <v>1287</v>
      </c>
      <c r="F464" t="s">
        <v>2675</v>
      </c>
      <c r="G464" t="s">
        <v>5829</v>
      </c>
      <c r="H464">
        <v>0</v>
      </c>
      <c r="I464">
        <v>0</v>
      </c>
    </row>
    <row r="465" spans="1:9" x14ac:dyDescent="0.3">
      <c r="A465" t="s">
        <v>2676</v>
      </c>
      <c r="B465" t="s">
        <v>2677</v>
      </c>
      <c r="C465" t="s">
        <v>2620</v>
      </c>
      <c r="D465" t="s">
        <v>1326</v>
      </c>
      <c r="E465" t="s">
        <v>1287</v>
      </c>
      <c r="F465" t="s">
        <v>2678</v>
      </c>
      <c r="G465" t="s">
        <v>5830</v>
      </c>
      <c r="H465" t="s">
        <v>2625</v>
      </c>
      <c r="I465">
        <v>0</v>
      </c>
    </row>
    <row r="466" spans="1:9" x14ac:dyDescent="0.3">
      <c r="A466" t="s">
        <v>2679</v>
      </c>
      <c r="B466" t="s">
        <v>2680</v>
      </c>
      <c r="C466" t="s">
        <v>2620</v>
      </c>
      <c r="D466" t="s">
        <v>1326</v>
      </c>
      <c r="E466" t="s">
        <v>1287</v>
      </c>
      <c r="F466" t="s">
        <v>2681</v>
      </c>
      <c r="G466" t="s">
        <v>5831</v>
      </c>
      <c r="H466" t="s">
        <v>2625</v>
      </c>
      <c r="I466">
        <v>0</v>
      </c>
    </row>
    <row r="467" spans="1:9" x14ac:dyDescent="0.3">
      <c r="A467" t="s">
        <v>2682</v>
      </c>
      <c r="B467" t="s">
        <v>2683</v>
      </c>
      <c r="C467" t="s">
        <v>2620</v>
      </c>
      <c r="D467" t="s">
        <v>1326</v>
      </c>
      <c r="E467" t="s">
        <v>1287</v>
      </c>
      <c r="F467" t="s">
        <v>2684</v>
      </c>
      <c r="G467" t="s">
        <v>5832</v>
      </c>
      <c r="H467" t="s">
        <v>2685</v>
      </c>
      <c r="I467">
        <v>0</v>
      </c>
    </row>
    <row r="468" spans="1:9" x14ac:dyDescent="0.3">
      <c r="A468" t="s">
        <v>2686</v>
      </c>
      <c r="B468" t="s">
        <v>2687</v>
      </c>
      <c r="C468" t="s">
        <v>2620</v>
      </c>
      <c r="D468" t="s">
        <v>1326</v>
      </c>
      <c r="E468" t="s">
        <v>1287</v>
      </c>
      <c r="F468" t="s">
        <v>2688</v>
      </c>
      <c r="G468" t="s">
        <v>5833</v>
      </c>
      <c r="H468">
        <v>0</v>
      </c>
      <c r="I468">
        <v>0</v>
      </c>
    </row>
    <row r="469" spans="1:9" x14ac:dyDescent="0.3">
      <c r="A469" t="s">
        <v>2689</v>
      </c>
      <c r="B469" t="s">
        <v>2690</v>
      </c>
      <c r="C469" t="s">
        <v>2620</v>
      </c>
      <c r="D469" t="s">
        <v>1326</v>
      </c>
      <c r="E469" t="s">
        <v>1287</v>
      </c>
      <c r="F469" t="s">
        <v>2691</v>
      </c>
      <c r="G469" t="s">
        <v>5834</v>
      </c>
      <c r="H469">
        <v>0</v>
      </c>
      <c r="I469">
        <v>0</v>
      </c>
    </row>
    <row r="470" spans="1:9" x14ac:dyDescent="0.3">
      <c r="A470" t="s">
        <v>2692</v>
      </c>
      <c r="B470" t="s">
        <v>2693</v>
      </c>
      <c r="C470" t="s">
        <v>2620</v>
      </c>
      <c r="D470" t="s">
        <v>1326</v>
      </c>
      <c r="E470" t="s">
        <v>1287</v>
      </c>
      <c r="F470" t="s">
        <v>2694</v>
      </c>
      <c r="G470" t="s">
        <v>5835</v>
      </c>
      <c r="H470">
        <v>0</v>
      </c>
      <c r="I470">
        <v>0</v>
      </c>
    </row>
    <row r="471" spans="1:9" x14ac:dyDescent="0.3">
      <c r="A471" t="s">
        <v>2695</v>
      </c>
      <c r="B471" t="s">
        <v>2696</v>
      </c>
      <c r="C471" t="s">
        <v>2620</v>
      </c>
      <c r="D471" t="s">
        <v>1326</v>
      </c>
      <c r="E471" t="s">
        <v>1287</v>
      </c>
      <c r="F471" t="s">
        <v>2697</v>
      </c>
      <c r="G471" t="s">
        <v>5836</v>
      </c>
      <c r="H471">
        <v>0</v>
      </c>
      <c r="I471">
        <v>0</v>
      </c>
    </row>
    <row r="472" spans="1:9" x14ac:dyDescent="0.3">
      <c r="A472" t="s">
        <v>2698</v>
      </c>
      <c r="B472" t="s">
        <v>2699</v>
      </c>
      <c r="C472" t="s">
        <v>2620</v>
      </c>
      <c r="D472" t="s">
        <v>1326</v>
      </c>
      <c r="E472" t="s">
        <v>1287</v>
      </c>
      <c r="F472" t="s">
        <v>2700</v>
      </c>
      <c r="G472" t="s">
        <v>5837</v>
      </c>
      <c r="H472">
        <v>0</v>
      </c>
      <c r="I472">
        <v>0</v>
      </c>
    </row>
    <row r="473" spans="1:9" x14ac:dyDescent="0.3">
      <c r="A473" t="s">
        <v>2701</v>
      </c>
      <c r="B473" t="s">
        <v>2702</v>
      </c>
      <c r="C473" t="s">
        <v>2620</v>
      </c>
      <c r="D473" t="s">
        <v>1326</v>
      </c>
      <c r="E473" t="s">
        <v>1287</v>
      </c>
      <c r="F473" t="s">
        <v>2703</v>
      </c>
      <c r="G473" t="s">
        <v>5838</v>
      </c>
      <c r="H473">
        <v>0</v>
      </c>
      <c r="I473">
        <v>0</v>
      </c>
    </row>
    <row r="474" spans="1:9" x14ac:dyDescent="0.3">
      <c r="A474" t="s">
        <v>2704</v>
      </c>
      <c r="B474" t="s">
        <v>2705</v>
      </c>
      <c r="C474" t="s">
        <v>2706</v>
      </c>
      <c r="D474" t="s">
        <v>2707</v>
      </c>
      <c r="E474" t="s">
        <v>1236</v>
      </c>
      <c r="F474" t="s">
        <v>2708</v>
      </c>
      <c r="G474" t="s">
        <v>5839</v>
      </c>
      <c r="H474" t="s">
        <v>2709</v>
      </c>
      <c r="I474">
        <v>0</v>
      </c>
    </row>
    <row r="475" spans="1:9" x14ac:dyDescent="0.3">
      <c r="A475" t="s">
        <v>2710</v>
      </c>
      <c r="B475" t="s">
        <v>2711</v>
      </c>
      <c r="C475" t="s">
        <v>2706</v>
      </c>
      <c r="D475" t="s">
        <v>2707</v>
      </c>
      <c r="E475" t="s">
        <v>1236</v>
      </c>
      <c r="F475" t="s">
        <v>2712</v>
      </c>
      <c r="G475" t="s">
        <v>5840</v>
      </c>
      <c r="H475">
        <v>0</v>
      </c>
      <c r="I475">
        <v>0</v>
      </c>
    </row>
    <row r="476" spans="1:9" x14ac:dyDescent="0.3">
      <c r="A476" t="s">
        <v>2713</v>
      </c>
      <c r="B476" t="s">
        <v>2714</v>
      </c>
      <c r="C476" t="s">
        <v>2706</v>
      </c>
      <c r="D476" t="s">
        <v>2707</v>
      </c>
      <c r="E476" t="s">
        <v>1236</v>
      </c>
      <c r="F476" t="s">
        <v>2715</v>
      </c>
      <c r="G476" t="s">
        <v>5841</v>
      </c>
      <c r="H476">
        <v>0</v>
      </c>
      <c r="I476">
        <v>0</v>
      </c>
    </row>
    <row r="477" spans="1:9" x14ac:dyDescent="0.3">
      <c r="A477" t="s">
        <v>2716</v>
      </c>
      <c r="B477" t="s">
        <v>2717</v>
      </c>
      <c r="C477" t="s">
        <v>2706</v>
      </c>
      <c r="D477" t="s">
        <v>2707</v>
      </c>
      <c r="E477" t="s">
        <v>1236</v>
      </c>
      <c r="F477" t="s">
        <v>2718</v>
      </c>
      <c r="G477" t="s">
        <v>5842</v>
      </c>
      <c r="H477" t="s">
        <v>2719</v>
      </c>
      <c r="I477">
        <v>0</v>
      </c>
    </row>
    <row r="478" spans="1:9" x14ac:dyDescent="0.3">
      <c r="A478" t="s">
        <v>2720</v>
      </c>
      <c r="B478" t="s">
        <v>2721</v>
      </c>
      <c r="C478" t="s">
        <v>2706</v>
      </c>
      <c r="D478" t="s">
        <v>2707</v>
      </c>
      <c r="E478" t="s">
        <v>1236</v>
      </c>
      <c r="F478" t="s">
        <v>2718</v>
      </c>
      <c r="G478" t="s">
        <v>5842</v>
      </c>
      <c r="H478" t="s">
        <v>2719</v>
      </c>
      <c r="I478" t="s">
        <v>2722</v>
      </c>
    </row>
    <row r="479" spans="1:9" x14ac:dyDescent="0.3">
      <c r="A479" t="s">
        <v>2723</v>
      </c>
      <c r="B479" t="s">
        <v>2724</v>
      </c>
      <c r="C479" t="s">
        <v>2706</v>
      </c>
      <c r="D479" t="s">
        <v>2707</v>
      </c>
      <c r="E479" t="s">
        <v>1236</v>
      </c>
      <c r="F479" t="s">
        <v>2725</v>
      </c>
      <c r="G479" t="s">
        <v>5843</v>
      </c>
      <c r="H479" t="s">
        <v>2719</v>
      </c>
      <c r="I479">
        <v>0</v>
      </c>
    </row>
    <row r="480" spans="1:9" x14ac:dyDescent="0.3">
      <c r="A480" t="s">
        <v>2726</v>
      </c>
      <c r="B480" t="s">
        <v>2727</v>
      </c>
      <c r="C480" t="s">
        <v>2706</v>
      </c>
      <c r="D480" t="s">
        <v>2707</v>
      </c>
      <c r="E480" t="s">
        <v>1236</v>
      </c>
      <c r="F480" t="s">
        <v>2728</v>
      </c>
      <c r="G480" t="s">
        <v>5844</v>
      </c>
      <c r="H480">
        <v>0</v>
      </c>
      <c r="I480">
        <v>0</v>
      </c>
    </row>
    <row r="481" spans="1:9" x14ac:dyDescent="0.3">
      <c r="A481" t="s">
        <v>2729</v>
      </c>
      <c r="B481" t="s">
        <v>2730</v>
      </c>
      <c r="C481" t="s">
        <v>2706</v>
      </c>
      <c r="D481" t="s">
        <v>2707</v>
      </c>
      <c r="E481" t="s">
        <v>1236</v>
      </c>
      <c r="F481" t="s">
        <v>2731</v>
      </c>
      <c r="G481" t="s">
        <v>5845</v>
      </c>
      <c r="H481">
        <v>0</v>
      </c>
      <c r="I481">
        <v>0</v>
      </c>
    </row>
    <row r="482" spans="1:9" x14ac:dyDescent="0.3">
      <c r="A482" t="s">
        <v>2732</v>
      </c>
      <c r="B482" t="s">
        <v>2733</v>
      </c>
      <c r="C482" t="s">
        <v>2706</v>
      </c>
      <c r="D482" t="s">
        <v>2707</v>
      </c>
      <c r="E482" t="s">
        <v>1236</v>
      </c>
      <c r="F482" t="s">
        <v>2734</v>
      </c>
      <c r="G482" t="s">
        <v>5846</v>
      </c>
      <c r="H482">
        <v>0</v>
      </c>
      <c r="I482">
        <v>0</v>
      </c>
    </row>
    <row r="483" spans="1:9" x14ac:dyDescent="0.3">
      <c r="A483" t="s">
        <v>2735</v>
      </c>
      <c r="B483" t="s">
        <v>2736</v>
      </c>
      <c r="C483" t="s">
        <v>2706</v>
      </c>
      <c r="D483" t="s">
        <v>2707</v>
      </c>
      <c r="E483" t="s">
        <v>1236</v>
      </c>
      <c r="F483" t="s">
        <v>2737</v>
      </c>
      <c r="G483" t="s">
        <v>5847</v>
      </c>
      <c r="H483">
        <v>0</v>
      </c>
      <c r="I483">
        <v>0</v>
      </c>
    </row>
    <row r="484" spans="1:9" x14ac:dyDescent="0.3">
      <c r="A484" t="s">
        <v>2738</v>
      </c>
      <c r="B484" t="s">
        <v>2739</v>
      </c>
      <c r="C484" t="s">
        <v>2706</v>
      </c>
      <c r="D484" t="s">
        <v>2707</v>
      </c>
      <c r="E484" t="s">
        <v>1236</v>
      </c>
      <c r="F484" t="s">
        <v>2740</v>
      </c>
      <c r="G484" t="s">
        <v>5848</v>
      </c>
      <c r="H484" t="s">
        <v>2719</v>
      </c>
      <c r="I484">
        <v>0</v>
      </c>
    </row>
    <row r="485" spans="1:9" x14ac:dyDescent="0.3">
      <c r="A485" t="s">
        <v>2741</v>
      </c>
      <c r="B485" t="s">
        <v>2742</v>
      </c>
      <c r="C485" t="s">
        <v>2706</v>
      </c>
      <c r="D485" t="s">
        <v>2707</v>
      </c>
      <c r="E485" t="s">
        <v>1236</v>
      </c>
      <c r="F485" t="s">
        <v>2743</v>
      </c>
      <c r="G485" t="s">
        <v>5849</v>
      </c>
      <c r="H485" t="s">
        <v>2719</v>
      </c>
      <c r="I485">
        <v>0</v>
      </c>
    </row>
    <row r="486" spans="1:9" x14ac:dyDescent="0.3">
      <c r="A486" t="s">
        <v>2744</v>
      </c>
      <c r="B486" t="s">
        <v>2745</v>
      </c>
      <c r="C486" t="s">
        <v>2706</v>
      </c>
      <c r="D486" t="s">
        <v>2707</v>
      </c>
      <c r="E486" t="s">
        <v>1236</v>
      </c>
      <c r="F486" t="s">
        <v>2746</v>
      </c>
      <c r="G486" t="s">
        <v>5850</v>
      </c>
      <c r="H486" t="s">
        <v>2709</v>
      </c>
      <c r="I486">
        <v>0</v>
      </c>
    </row>
    <row r="487" spans="1:9" x14ac:dyDescent="0.3">
      <c r="A487" t="s">
        <v>2747</v>
      </c>
      <c r="B487" t="s">
        <v>2748</v>
      </c>
      <c r="C487" t="s">
        <v>2706</v>
      </c>
      <c r="D487" t="s">
        <v>2707</v>
      </c>
      <c r="E487" t="s">
        <v>1236</v>
      </c>
      <c r="F487" t="s">
        <v>2749</v>
      </c>
      <c r="G487" t="s">
        <v>5851</v>
      </c>
      <c r="H487" t="s">
        <v>2709</v>
      </c>
      <c r="I487">
        <v>0</v>
      </c>
    </row>
    <row r="488" spans="1:9" x14ac:dyDescent="0.3">
      <c r="A488" t="s">
        <v>2750</v>
      </c>
      <c r="B488" t="s">
        <v>2751</v>
      </c>
      <c r="C488" t="s">
        <v>2706</v>
      </c>
      <c r="D488" t="s">
        <v>2707</v>
      </c>
      <c r="E488" t="s">
        <v>1236</v>
      </c>
      <c r="F488" t="s">
        <v>2752</v>
      </c>
      <c r="G488" t="s">
        <v>5852</v>
      </c>
      <c r="H488" t="s">
        <v>2719</v>
      </c>
      <c r="I488">
        <v>0</v>
      </c>
    </row>
    <row r="489" spans="1:9" x14ac:dyDescent="0.3">
      <c r="A489" t="s">
        <v>2753</v>
      </c>
      <c r="B489" t="s">
        <v>2754</v>
      </c>
      <c r="C489" t="s">
        <v>2706</v>
      </c>
      <c r="D489" t="s">
        <v>2707</v>
      </c>
      <c r="E489" t="s">
        <v>1236</v>
      </c>
      <c r="F489" t="s">
        <v>2755</v>
      </c>
      <c r="G489" t="s">
        <v>5853</v>
      </c>
      <c r="H489" t="s">
        <v>2719</v>
      </c>
      <c r="I489">
        <v>0</v>
      </c>
    </row>
    <row r="490" spans="1:9" x14ac:dyDescent="0.3">
      <c r="A490" t="s">
        <v>2756</v>
      </c>
      <c r="B490" t="s">
        <v>2757</v>
      </c>
      <c r="C490" t="s">
        <v>2706</v>
      </c>
      <c r="D490" t="s">
        <v>2707</v>
      </c>
      <c r="E490" t="s">
        <v>1236</v>
      </c>
      <c r="F490" t="s">
        <v>2758</v>
      </c>
      <c r="G490" t="s">
        <v>5854</v>
      </c>
      <c r="H490" t="s">
        <v>2719</v>
      </c>
      <c r="I490">
        <v>0</v>
      </c>
    </row>
    <row r="491" spans="1:9" x14ac:dyDescent="0.3">
      <c r="A491" t="s">
        <v>2759</v>
      </c>
      <c r="B491" t="s">
        <v>2760</v>
      </c>
      <c r="C491" t="s">
        <v>2706</v>
      </c>
      <c r="D491" t="s">
        <v>2707</v>
      </c>
      <c r="E491" t="s">
        <v>1236</v>
      </c>
      <c r="F491" t="s">
        <v>2758</v>
      </c>
      <c r="G491" t="s">
        <v>5854</v>
      </c>
      <c r="H491" t="s">
        <v>2719</v>
      </c>
      <c r="I491" t="s">
        <v>2761</v>
      </c>
    </row>
    <row r="492" spans="1:9" x14ac:dyDescent="0.3">
      <c r="A492" t="s">
        <v>2762</v>
      </c>
      <c r="B492" t="s">
        <v>2763</v>
      </c>
      <c r="C492" t="s">
        <v>2706</v>
      </c>
      <c r="D492" t="s">
        <v>2707</v>
      </c>
      <c r="E492" t="s">
        <v>1236</v>
      </c>
      <c r="F492" t="s">
        <v>2764</v>
      </c>
      <c r="G492" t="s">
        <v>5855</v>
      </c>
      <c r="H492" t="s">
        <v>2719</v>
      </c>
      <c r="I492">
        <v>0</v>
      </c>
    </row>
    <row r="493" spans="1:9" x14ac:dyDescent="0.3">
      <c r="A493" t="s">
        <v>2765</v>
      </c>
      <c r="B493" t="s">
        <v>2766</v>
      </c>
      <c r="C493" t="s">
        <v>2706</v>
      </c>
      <c r="D493" t="s">
        <v>2707</v>
      </c>
      <c r="E493" t="s">
        <v>1236</v>
      </c>
      <c r="F493" t="s">
        <v>2767</v>
      </c>
      <c r="G493" t="s">
        <v>5856</v>
      </c>
      <c r="H493" t="s">
        <v>2719</v>
      </c>
      <c r="I493">
        <v>0</v>
      </c>
    </row>
    <row r="494" spans="1:9" x14ac:dyDescent="0.3">
      <c r="A494" t="s">
        <v>2768</v>
      </c>
      <c r="B494" t="s">
        <v>2769</v>
      </c>
      <c r="C494" t="s">
        <v>2706</v>
      </c>
      <c r="D494" t="s">
        <v>2707</v>
      </c>
      <c r="E494" t="s">
        <v>1236</v>
      </c>
      <c r="F494" t="s">
        <v>2770</v>
      </c>
      <c r="G494" t="s">
        <v>5857</v>
      </c>
      <c r="H494" t="s">
        <v>2771</v>
      </c>
      <c r="I494">
        <v>0</v>
      </c>
    </row>
    <row r="495" spans="1:9" x14ac:dyDescent="0.3">
      <c r="A495" t="s">
        <v>2772</v>
      </c>
      <c r="B495" t="s">
        <v>2773</v>
      </c>
      <c r="C495" t="s">
        <v>2706</v>
      </c>
      <c r="D495" t="s">
        <v>2707</v>
      </c>
      <c r="E495" t="s">
        <v>1236</v>
      </c>
      <c r="F495" t="s">
        <v>2774</v>
      </c>
      <c r="G495" t="s">
        <v>5858</v>
      </c>
      <c r="H495" t="s">
        <v>2771</v>
      </c>
      <c r="I495">
        <v>0</v>
      </c>
    </row>
    <row r="496" spans="1:9" x14ac:dyDescent="0.3">
      <c r="A496" t="s">
        <v>2775</v>
      </c>
      <c r="B496" t="s">
        <v>2776</v>
      </c>
      <c r="C496" t="s">
        <v>2706</v>
      </c>
      <c r="D496" t="s">
        <v>2707</v>
      </c>
      <c r="E496" t="s">
        <v>1236</v>
      </c>
      <c r="F496" t="s">
        <v>2777</v>
      </c>
      <c r="G496" t="s">
        <v>5859</v>
      </c>
      <c r="H496">
        <v>0</v>
      </c>
      <c r="I496">
        <v>0</v>
      </c>
    </row>
    <row r="497" spans="1:9" x14ac:dyDescent="0.3">
      <c r="A497" t="s">
        <v>2778</v>
      </c>
      <c r="B497" t="s">
        <v>2779</v>
      </c>
      <c r="C497" t="s">
        <v>2706</v>
      </c>
      <c r="D497" t="s">
        <v>2707</v>
      </c>
      <c r="E497" t="s">
        <v>1236</v>
      </c>
      <c r="F497" t="s">
        <v>2780</v>
      </c>
      <c r="G497" t="s">
        <v>5860</v>
      </c>
      <c r="H497">
        <v>0</v>
      </c>
      <c r="I497">
        <v>0</v>
      </c>
    </row>
    <row r="498" spans="1:9" x14ac:dyDescent="0.3">
      <c r="A498" t="s">
        <v>2781</v>
      </c>
      <c r="B498" t="s">
        <v>2782</v>
      </c>
      <c r="C498" t="s">
        <v>2706</v>
      </c>
      <c r="D498" t="s">
        <v>2707</v>
      </c>
      <c r="E498" t="s">
        <v>1236</v>
      </c>
      <c r="F498" t="s">
        <v>2783</v>
      </c>
      <c r="G498" t="s">
        <v>5861</v>
      </c>
      <c r="H498" t="s">
        <v>2719</v>
      </c>
      <c r="I498">
        <v>0</v>
      </c>
    </row>
    <row r="499" spans="1:9" x14ac:dyDescent="0.3">
      <c r="A499" t="s">
        <v>2784</v>
      </c>
      <c r="B499" t="s">
        <v>2785</v>
      </c>
      <c r="C499" t="s">
        <v>2706</v>
      </c>
      <c r="D499" t="s">
        <v>2707</v>
      </c>
      <c r="E499" t="s">
        <v>1236</v>
      </c>
      <c r="F499" t="s">
        <v>2786</v>
      </c>
      <c r="G499" t="s">
        <v>5862</v>
      </c>
      <c r="H499" t="s">
        <v>2719</v>
      </c>
      <c r="I499">
        <v>0</v>
      </c>
    </row>
    <row r="500" spans="1:9" x14ac:dyDescent="0.3">
      <c r="A500" t="s">
        <v>2787</v>
      </c>
      <c r="B500" t="s">
        <v>2788</v>
      </c>
      <c r="C500" t="s">
        <v>2706</v>
      </c>
      <c r="D500" t="s">
        <v>2707</v>
      </c>
      <c r="E500" t="s">
        <v>1236</v>
      </c>
      <c r="F500" t="s">
        <v>2789</v>
      </c>
      <c r="G500" t="s">
        <v>5863</v>
      </c>
      <c r="H500" t="s">
        <v>2709</v>
      </c>
      <c r="I500">
        <v>0</v>
      </c>
    </row>
    <row r="501" spans="1:9" x14ac:dyDescent="0.3">
      <c r="A501" t="s">
        <v>2790</v>
      </c>
      <c r="B501" t="s">
        <v>2791</v>
      </c>
      <c r="C501" t="s">
        <v>2706</v>
      </c>
      <c r="D501" t="s">
        <v>2707</v>
      </c>
      <c r="E501" t="s">
        <v>1236</v>
      </c>
      <c r="F501" t="s">
        <v>2792</v>
      </c>
      <c r="G501" t="s">
        <v>5864</v>
      </c>
      <c r="H501" t="s">
        <v>2771</v>
      </c>
      <c r="I501">
        <v>0</v>
      </c>
    </row>
    <row r="502" spans="1:9" x14ac:dyDescent="0.3">
      <c r="A502" t="s">
        <v>2793</v>
      </c>
      <c r="B502" t="s">
        <v>2794</v>
      </c>
      <c r="C502" t="s">
        <v>2706</v>
      </c>
      <c r="D502" t="s">
        <v>2707</v>
      </c>
      <c r="E502" t="s">
        <v>1236</v>
      </c>
      <c r="F502" t="s">
        <v>2795</v>
      </c>
      <c r="G502" t="s">
        <v>5865</v>
      </c>
      <c r="H502" t="s">
        <v>2771</v>
      </c>
      <c r="I502">
        <v>0</v>
      </c>
    </row>
    <row r="503" spans="1:9" x14ac:dyDescent="0.3">
      <c r="A503" t="s">
        <v>2796</v>
      </c>
      <c r="B503" t="s">
        <v>2797</v>
      </c>
      <c r="C503" t="s">
        <v>2706</v>
      </c>
      <c r="D503" t="s">
        <v>2707</v>
      </c>
      <c r="E503" t="s">
        <v>1236</v>
      </c>
      <c r="F503" t="s">
        <v>2798</v>
      </c>
      <c r="G503" t="s">
        <v>5866</v>
      </c>
      <c r="H503" t="s">
        <v>2719</v>
      </c>
      <c r="I503">
        <v>0</v>
      </c>
    </row>
    <row r="504" spans="1:9" x14ac:dyDescent="0.3">
      <c r="A504" t="s">
        <v>2799</v>
      </c>
      <c r="B504" t="s">
        <v>2800</v>
      </c>
      <c r="C504" t="s">
        <v>2706</v>
      </c>
      <c r="D504" t="s">
        <v>2707</v>
      </c>
      <c r="E504" t="s">
        <v>1236</v>
      </c>
      <c r="F504" t="s">
        <v>2801</v>
      </c>
      <c r="G504" t="s">
        <v>5867</v>
      </c>
      <c r="H504">
        <v>0</v>
      </c>
      <c r="I504">
        <v>0</v>
      </c>
    </row>
    <row r="505" spans="1:9" x14ac:dyDescent="0.3">
      <c r="A505" t="s">
        <v>2802</v>
      </c>
      <c r="B505" t="s">
        <v>2803</v>
      </c>
      <c r="C505" t="s">
        <v>2804</v>
      </c>
      <c r="D505" t="s">
        <v>1286</v>
      </c>
      <c r="E505" t="s">
        <v>1287</v>
      </c>
      <c r="F505" t="s">
        <v>2805</v>
      </c>
      <c r="G505" t="s">
        <v>5868</v>
      </c>
      <c r="H505">
        <v>0</v>
      </c>
      <c r="I505">
        <v>0</v>
      </c>
    </row>
    <row r="506" spans="1:9" x14ac:dyDescent="0.3">
      <c r="A506" t="s">
        <v>2806</v>
      </c>
      <c r="B506" t="s">
        <v>2807</v>
      </c>
      <c r="C506" t="s">
        <v>2804</v>
      </c>
      <c r="D506" t="s">
        <v>1286</v>
      </c>
      <c r="E506" t="s">
        <v>1287</v>
      </c>
      <c r="F506" t="s">
        <v>2808</v>
      </c>
      <c r="G506" t="s">
        <v>5869</v>
      </c>
      <c r="H506" t="s">
        <v>2809</v>
      </c>
      <c r="I506">
        <v>0</v>
      </c>
    </row>
    <row r="507" spans="1:9" x14ac:dyDescent="0.3">
      <c r="A507" t="s">
        <v>2810</v>
      </c>
      <c r="B507" t="s">
        <v>2811</v>
      </c>
      <c r="C507" t="s">
        <v>2804</v>
      </c>
      <c r="D507" t="s">
        <v>1286</v>
      </c>
      <c r="E507" t="s">
        <v>1287</v>
      </c>
      <c r="F507" t="s">
        <v>2812</v>
      </c>
      <c r="G507" t="s">
        <v>5870</v>
      </c>
      <c r="H507" t="s">
        <v>2809</v>
      </c>
      <c r="I507">
        <v>0</v>
      </c>
    </row>
    <row r="508" spans="1:9" x14ac:dyDescent="0.3">
      <c r="A508" t="s">
        <v>2813</v>
      </c>
      <c r="B508" t="s">
        <v>2814</v>
      </c>
      <c r="C508" t="s">
        <v>2804</v>
      </c>
      <c r="D508" t="s">
        <v>1286</v>
      </c>
      <c r="E508" t="s">
        <v>1287</v>
      </c>
      <c r="F508" t="s">
        <v>2815</v>
      </c>
      <c r="G508" t="s">
        <v>5871</v>
      </c>
      <c r="H508">
        <v>0</v>
      </c>
      <c r="I508">
        <v>0</v>
      </c>
    </row>
    <row r="509" spans="1:9" x14ac:dyDescent="0.3">
      <c r="A509" t="s">
        <v>2816</v>
      </c>
      <c r="B509" t="s">
        <v>2817</v>
      </c>
      <c r="C509" t="s">
        <v>2804</v>
      </c>
      <c r="D509" t="s">
        <v>1286</v>
      </c>
      <c r="E509" t="s">
        <v>1287</v>
      </c>
      <c r="F509" t="s">
        <v>2818</v>
      </c>
      <c r="G509" t="s">
        <v>5872</v>
      </c>
      <c r="H509">
        <v>0</v>
      </c>
      <c r="I509">
        <v>0</v>
      </c>
    </row>
    <row r="510" spans="1:9" x14ac:dyDescent="0.3">
      <c r="A510" t="s">
        <v>2819</v>
      </c>
      <c r="B510" t="s">
        <v>2820</v>
      </c>
      <c r="C510" t="s">
        <v>2804</v>
      </c>
      <c r="D510" t="s">
        <v>1286</v>
      </c>
      <c r="E510" t="s">
        <v>1287</v>
      </c>
      <c r="F510" t="s">
        <v>2821</v>
      </c>
      <c r="G510" t="s">
        <v>5873</v>
      </c>
      <c r="H510">
        <v>0</v>
      </c>
      <c r="I510">
        <v>0</v>
      </c>
    </row>
    <row r="511" spans="1:9" x14ac:dyDescent="0.3">
      <c r="A511" t="s">
        <v>2822</v>
      </c>
      <c r="B511" t="s">
        <v>2823</v>
      </c>
      <c r="C511" t="s">
        <v>2804</v>
      </c>
      <c r="D511" t="s">
        <v>1286</v>
      </c>
      <c r="E511" t="s">
        <v>1287</v>
      </c>
      <c r="F511" t="s">
        <v>2824</v>
      </c>
      <c r="G511" t="s">
        <v>5874</v>
      </c>
      <c r="H511" t="s">
        <v>2825</v>
      </c>
      <c r="I511">
        <v>0</v>
      </c>
    </row>
    <row r="512" spans="1:9" x14ac:dyDescent="0.3">
      <c r="A512" t="s">
        <v>2826</v>
      </c>
      <c r="B512" t="s">
        <v>2827</v>
      </c>
      <c r="C512" t="s">
        <v>2804</v>
      </c>
      <c r="D512" t="s">
        <v>1286</v>
      </c>
      <c r="E512" t="s">
        <v>1287</v>
      </c>
      <c r="F512" t="s">
        <v>2828</v>
      </c>
      <c r="G512" t="s">
        <v>5875</v>
      </c>
      <c r="H512">
        <v>0</v>
      </c>
      <c r="I512">
        <v>0</v>
      </c>
    </row>
    <row r="513" spans="1:9" x14ac:dyDescent="0.3">
      <c r="A513" t="s">
        <v>2829</v>
      </c>
      <c r="B513" t="s">
        <v>2830</v>
      </c>
      <c r="C513" t="s">
        <v>2804</v>
      </c>
      <c r="D513" t="s">
        <v>1286</v>
      </c>
      <c r="E513" t="s">
        <v>1287</v>
      </c>
      <c r="F513" t="s">
        <v>2831</v>
      </c>
      <c r="G513" t="s">
        <v>5876</v>
      </c>
      <c r="H513">
        <v>0</v>
      </c>
      <c r="I513">
        <v>0</v>
      </c>
    </row>
    <row r="514" spans="1:9" x14ac:dyDescent="0.3">
      <c r="A514" t="s">
        <v>2832</v>
      </c>
      <c r="B514" t="s">
        <v>2833</v>
      </c>
      <c r="C514" t="s">
        <v>2804</v>
      </c>
      <c r="D514" t="s">
        <v>1286</v>
      </c>
      <c r="E514" t="s">
        <v>1287</v>
      </c>
      <c r="F514" t="s">
        <v>2834</v>
      </c>
      <c r="G514" t="s">
        <v>5877</v>
      </c>
      <c r="H514" t="s">
        <v>1038</v>
      </c>
      <c r="I514">
        <v>0</v>
      </c>
    </row>
    <row r="515" spans="1:9" x14ac:dyDescent="0.3">
      <c r="A515" t="s">
        <v>2835</v>
      </c>
      <c r="B515" t="s">
        <v>2836</v>
      </c>
      <c r="C515" t="s">
        <v>2804</v>
      </c>
      <c r="D515" t="s">
        <v>1286</v>
      </c>
      <c r="E515" t="s">
        <v>1287</v>
      </c>
      <c r="F515" t="s">
        <v>2837</v>
      </c>
      <c r="G515" t="s">
        <v>5878</v>
      </c>
      <c r="H515" t="s">
        <v>2838</v>
      </c>
      <c r="I515">
        <v>0</v>
      </c>
    </row>
    <row r="516" spans="1:9" x14ac:dyDescent="0.3">
      <c r="A516" t="s">
        <v>2839</v>
      </c>
      <c r="B516" t="s">
        <v>2840</v>
      </c>
      <c r="C516" t="s">
        <v>2804</v>
      </c>
      <c r="D516" t="s">
        <v>1286</v>
      </c>
      <c r="E516" t="s">
        <v>1287</v>
      </c>
      <c r="F516" t="s">
        <v>2841</v>
      </c>
      <c r="G516" t="s">
        <v>5879</v>
      </c>
      <c r="H516" t="s">
        <v>2809</v>
      </c>
      <c r="I516">
        <v>0</v>
      </c>
    </row>
    <row r="517" spans="1:9" x14ac:dyDescent="0.3">
      <c r="A517" t="s">
        <v>2842</v>
      </c>
      <c r="B517" t="s">
        <v>2843</v>
      </c>
      <c r="C517" t="s">
        <v>2804</v>
      </c>
      <c r="D517" t="s">
        <v>1286</v>
      </c>
      <c r="E517" t="s">
        <v>1287</v>
      </c>
      <c r="F517" t="s">
        <v>2844</v>
      </c>
      <c r="G517" t="s">
        <v>5880</v>
      </c>
      <c r="H517" t="s">
        <v>2809</v>
      </c>
      <c r="I517">
        <v>0</v>
      </c>
    </row>
    <row r="518" spans="1:9" x14ac:dyDescent="0.3">
      <c r="A518" t="s">
        <v>2845</v>
      </c>
      <c r="B518" t="s">
        <v>2846</v>
      </c>
      <c r="C518" t="s">
        <v>2804</v>
      </c>
      <c r="D518" t="s">
        <v>1286</v>
      </c>
      <c r="E518" t="s">
        <v>1287</v>
      </c>
      <c r="F518" t="s">
        <v>2847</v>
      </c>
      <c r="G518" t="s">
        <v>5881</v>
      </c>
      <c r="H518">
        <v>0</v>
      </c>
      <c r="I518">
        <v>0</v>
      </c>
    </row>
    <row r="519" spans="1:9" x14ac:dyDescent="0.3">
      <c r="A519" t="s">
        <v>2848</v>
      </c>
      <c r="B519" t="s">
        <v>2849</v>
      </c>
      <c r="C519" t="s">
        <v>2804</v>
      </c>
      <c r="D519" t="s">
        <v>1286</v>
      </c>
      <c r="E519" t="s">
        <v>1287</v>
      </c>
      <c r="F519" t="s">
        <v>2850</v>
      </c>
      <c r="G519" t="s">
        <v>5882</v>
      </c>
      <c r="H519">
        <v>0</v>
      </c>
      <c r="I519">
        <v>0</v>
      </c>
    </row>
    <row r="520" spans="1:9" x14ac:dyDescent="0.3">
      <c r="A520" t="s">
        <v>2851</v>
      </c>
      <c r="B520" t="s">
        <v>2852</v>
      </c>
      <c r="C520" t="s">
        <v>2804</v>
      </c>
      <c r="D520" t="s">
        <v>1286</v>
      </c>
      <c r="E520" t="s">
        <v>1287</v>
      </c>
      <c r="F520" t="s">
        <v>2853</v>
      </c>
      <c r="G520" t="s">
        <v>5883</v>
      </c>
      <c r="H520">
        <v>0</v>
      </c>
      <c r="I520">
        <v>0</v>
      </c>
    </row>
    <row r="521" spans="1:9" x14ac:dyDescent="0.3">
      <c r="A521" t="s">
        <v>2854</v>
      </c>
      <c r="B521" t="s">
        <v>2855</v>
      </c>
      <c r="C521" t="s">
        <v>2804</v>
      </c>
      <c r="D521" t="s">
        <v>1286</v>
      </c>
      <c r="E521" t="s">
        <v>1287</v>
      </c>
      <c r="F521" t="s">
        <v>2856</v>
      </c>
      <c r="G521" t="s">
        <v>5884</v>
      </c>
      <c r="H521">
        <v>0</v>
      </c>
      <c r="I521">
        <v>0</v>
      </c>
    </row>
    <row r="522" spans="1:9" x14ac:dyDescent="0.3">
      <c r="A522" t="s">
        <v>2857</v>
      </c>
      <c r="B522" t="s">
        <v>2858</v>
      </c>
      <c r="C522" t="s">
        <v>2804</v>
      </c>
      <c r="D522" t="s">
        <v>1286</v>
      </c>
      <c r="E522" t="s">
        <v>1287</v>
      </c>
      <c r="F522" t="s">
        <v>2859</v>
      </c>
      <c r="G522" t="s">
        <v>5885</v>
      </c>
      <c r="H522" t="s">
        <v>2825</v>
      </c>
      <c r="I522">
        <v>0</v>
      </c>
    </row>
    <row r="523" spans="1:9" x14ac:dyDescent="0.3">
      <c r="A523" t="s">
        <v>2860</v>
      </c>
      <c r="B523" t="s">
        <v>2861</v>
      </c>
      <c r="C523" t="s">
        <v>2804</v>
      </c>
      <c r="D523" t="s">
        <v>1286</v>
      </c>
      <c r="E523" t="s">
        <v>1287</v>
      </c>
      <c r="F523" t="s">
        <v>2862</v>
      </c>
      <c r="G523" t="s">
        <v>5886</v>
      </c>
      <c r="H523">
        <v>0</v>
      </c>
      <c r="I523">
        <v>0</v>
      </c>
    </row>
    <row r="524" spans="1:9" x14ac:dyDescent="0.3">
      <c r="A524" t="s">
        <v>2863</v>
      </c>
      <c r="B524" t="s">
        <v>2864</v>
      </c>
      <c r="C524" t="s">
        <v>2804</v>
      </c>
      <c r="D524" t="s">
        <v>1286</v>
      </c>
      <c r="E524" t="s">
        <v>1287</v>
      </c>
      <c r="F524" t="s">
        <v>2865</v>
      </c>
      <c r="G524" t="s">
        <v>5887</v>
      </c>
      <c r="H524">
        <v>0</v>
      </c>
      <c r="I524">
        <v>0</v>
      </c>
    </row>
    <row r="525" spans="1:9" x14ac:dyDescent="0.3">
      <c r="A525" t="s">
        <v>2866</v>
      </c>
      <c r="B525" t="s">
        <v>2867</v>
      </c>
      <c r="C525" t="s">
        <v>2804</v>
      </c>
      <c r="D525" t="s">
        <v>1286</v>
      </c>
      <c r="E525" t="s">
        <v>1287</v>
      </c>
      <c r="F525" t="s">
        <v>2868</v>
      </c>
      <c r="G525" t="s">
        <v>5888</v>
      </c>
      <c r="H525">
        <v>0</v>
      </c>
      <c r="I525">
        <v>0</v>
      </c>
    </row>
    <row r="526" spans="1:9" x14ac:dyDescent="0.3">
      <c r="A526" t="s">
        <v>2869</v>
      </c>
      <c r="B526" t="s">
        <v>2870</v>
      </c>
      <c r="C526" t="s">
        <v>2804</v>
      </c>
      <c r="D526" t="s">
        <v>1286</v>
      </c>
      <c r="E526" t="s">
        <v>1287</v>
      </c>
      <c r="F526" t="s">
        <v>2871</v>
      </c>
      <c r="G526" t="s">
        <v>5889</v>
      </c>
      <c r="H526">
        <v>0</v>
      </c>
      <c r="I526">
        <v>0</v>
      </c>
    </row>
    <row r="527" spans="1:9" x14ac:dyDescent="0.3">
      <c r="A527" t="s">
        <v>2872</v>
      </c>
      <c r="B527" t="s">
        <v>2873</v>
      </c>
      <c r="C527" t="s">
        <v>2804</v>
      </c>
      <c r="D527" t="s">
        <v>1286</v>
      </c>
      <c r="E527" t="s">
        <v>1287</v>
      </c>
      <c r="F527" t="s">
        <v>2874</v>
      </c>
      <c r="G527" t="s">
        <v>5890</v>
      </c>
      <c r="H527">
        <v>0</v>
      </c>
      <c r="I527">
        <v>0</v>
      </c>
    </row>
    <row r="528" spans="1:9" x14ac:dyDescent="0.3">
      <c r="A528" t="s">
        <v>2875</v>
      </c>
      <c r="B528" t="s">
        <v>2876</v>
      </c>
      <c r="C528" t="s">
        <v>2804</v>
      </c>
      <c r="D528" t="s">
        <v>1286</v>
      </c>
      <c r="E528" t="s">
        <v>1287</v>
      </c>
      <c r="F528" t="s">
        <v>2877</v>
      </c>
      <c r="G528" t="s">
        <v>5891</v>
      </c>
      <c r="H528" t="s">
        <v>1038</v>
      </c>
      <c r="I528">
        <v>0</v>
      </c>
    </row>
    <row r="529" spans="1:9" x14ac:dyDescent="0.3">
      <c r="A529" t="s">
        <v>2878</v>
      </c>
      <c r="B529" t="s">
        <v>2879</v>
      </c>
      <c r="C529" t="s">
        <v>2804</v>
      </c>
      <c r="D529" t="s">
        <v>1286</v>
      </c>
      <c r="E529" t="s">
        <v>1287</v>
      </c>
      <c r="F529" t="s">
        <v>2880</v>
      </c>
      <c r="G529" t="s">
        <v>5892</v>
      </c>
      <c r="H529" t="s">
        <v>1038</v>
      </c>
      <c r="I529">
        <v>0</v>
      </c>
    </row>
    <row r="530" spans="1:9" x14ac:dyDescent="0.3">
      <c r="A530" t="s">
        <v>2881</v>
      </c>
      <c r="B530" t="s">
        <v>2882</v>
      </c>
      <c r="C530" t="s">
        <v>2804</v>
      </c>
      <c r="D530" t="s">
        <v>1286</v>
      </c>
      <c r="E530" t="s">
        <v>1287</v>
      </c>
      <c r="F530" t="s">
        <v>2883</v>
      </c>
      <c r="G530" t="s">
        <v>5893</v>
      </c>
      <c r="H530">
        <v>0</v>
      </c>
      <c r="I530">
        <v>0</v>
      </c>
    </row>
    <row r="531" spans="1:9" x14ac:dyDescent="0.3">
      <c r="A531" t="s">
        <v>2884</v>
      </c>
      <c r="B531" t="s">
        <v>2885</v>
      </c>
      <c r="C531" t="s">
        <v>2804</v>
      </c>
      <c r="D531" t="s">
        <v>1286</v>
      </c>
      <c r="E531" t="s">
        <v>1287</v>
      </c>
      <c r="F531" t="s">
        <v>2886</v>
      </c>
      <c r="G531" t="s">
        <v>5894</v>
      </c>
      <c r="H531" t="s">
        <v>2809</v>
      </c>
      <c r="I531">
        <v>0</v>
      </c>
    </row>
    <row r="532" spans="1:9" x14ac:dyDescent="0.3">
      <c r="A532" t="s">
        <v>2887</v>
      </c>
      <c r="B532" t="s">
        <v>2888</v>
      </c>
      <c r="C532" t="s">
        <v>2804</v>
      </c>
      <c r="D532" t="s">
        <v>1286</v>
      </c>
      <c r="E532" t="s">
        <v>1287</v>
      </c>
      <c r="F532" t="s">
        <v>2889</v>
      </c>
      <c r="G532" t="s">
        <v>5895</v>
      </c>
      <c r="H532">
        <v>0</v>
      </c>
      <c r="I532">
        <v>0</v>
      </c>
    </row>
    <row r="533" spans="1:9" x14ac:dyDescent="0.3">
      <c r="A533" t="s">
        <v>2890</v>
      </c>
      <c r="B533" t="s">
        <v>2891</v>
      </c>
      <c r="C533" t="s">
        <v>2804</v>
      </c>
      <c r="D533" t="s">
        <v>1286</v>
      </c>
      <c r="E533" t="s">
        <v>1287</v>
      </c>
      <c r="F533" t="s">
        <v>2892</v>
      </c>
      <c r="G533" t="s">
        <v>5896</v>
      </c>
      <c r="H533">
        <v>0</v>
      </c>
      <c r="I533">
        <v>0</v>
      </c>
    </row>
    <row r="534" spans="1:9" x14ac:dyDescent="0.3">
      <c r="A534" t="s">
        <v>2893</v>
      </c>
      <c r="B534" t="s">
        <v>2894</v>
      </c>
      <c r="C534" t="s">
        <v>2804</v>
      </c>
      <c r="D534" t="s">
        <v>1286</v>
      </c>
      <c r="E534" t="s">
        <v>1287</v>
      </c>
      <c r="F534" t="s">
        <v>2895</v>
      </c>
      <c r="G534" t="s">
        <v>5897</v>
      </c>
      <c r="H534" t="s">
        <v>384</v>
      </c>
      <c r="I534">
        <v>0</v>
      </c>
    </row>
    <row r="535" spans="1:9" x14ac:dyDescent="0.3">
      <c r="A535" t="s">
        <v>2896</v>
      </c>
      <c r="B535" t="s">
        <v>2897</v>
      </c>
      <c r="C535" t="s">
        <v>2804</v>
      </c>
      <c r="D535" t="s">
        <v>1286</v>
      </c>
      <c r="E535" t="s">
        <v>1287</v>
      </c>
      <c r="F535" t="s">
        <v>2898</v>
      </c>
      <c r="G535" t="s">
        <v>5898</v>
      </c>
      <c r="H535">
        <v>0</v>
      </c>
      <c r="I535">
        <v>0</v>
      </c>
    </row>
    <row r="536" spans="1:9" x14ac:dyDescent="0.3">
      <c r="A536" t="s">
        <v>2899</v>
      </c>
      <c r="B536" t="s">
        <v>2900</v>
      </c>
      <c r="C536" t="s">
        <v>2804</v>
      </c>
      <c r="D536" t="s">
        <v>1286</v>
      </c>
      <c r="E536" t="s">
        <v>1287</v>
      </c>
      <c r="F536" t="s">
        <v>2901</v>
      </c>
      <c r="G536" t="s">
        <v>5899</v>
      </c>
      <c r="H536" t="s">
        <v>2838</v>
      </c>
      <c r="I536">
        <v>0</v>
      </c>
    </row>
    <row r="537" spans="1:9" x14ac:dyDescent="0.3">
      <c r="A537" t="s">
        <v>2902</v>
      </c>
      <c r="B537" t="s">
        <v>2903</v>
      </c>
      <c r="C537" t="s">
        <v>2804</v>
      </c>
      <c r="D537" t="s">
        <v>1286</v>
      </c>
      <c r="E537" t="s">
        <v>1287</v>
      </c>
      <c r="F537" t="s">
        <v>2904</v>
      </c>
      <c r="G537" t="s">
        <v>5900</v>
      </c>
      <c r="H537" t="s">
        <v>2838</v>
      </c>
      <c r="I537">
        <v>0</v>
      </c>
    </row>
    <row r="538" spans="1:9" x14ac:dyDescent="0.3">
      <c r="A538" t="s">
        <v>2905</v>
      </c>
      <c r="B538" t="s">
        <v>2906</v>
      </c>
      <c r="C538" t="s">
        <v>2907</v>
      </c>
      <c r="D538" t="s">
        <v>2908</v>
      </c>
      <c r="E538" t="s">
        <v>1236</v>
      </c>
      <c r="F538" t="s">
        <v>2909</v>
      </c>
      <c r="G538" t="s">
        <v>5901</v>
      </c>
      <c r="H538" t="s">
        <v>2910</v>
      </c>
      <c r="I538">
        <v>0</v>
      </c>
    </row>
    <row r="539" spans="1:9" x14ac:dyDescent="0.3">
      <c r="A539" t="s">
        <v>2911</v>
      </c>
      <c r="B539" t="s">
        <v>2912</v>
      </c>
      <c r="C539" t="s">
        <v>2907</v>
      </c>
      <c r="D539" t="s">
        <v>2908</v>
      </c>
      <c r="E539" t="s">
        <v>1236</v>
      </c>
      <c r="F539" t="s">
        <v>2913</v>
      </c>
      <c r="G539" t="s">
        <v>5902</v>
      </c>
      <c r="H539">
        <v>0</v>
      </c>
      <c r="I539">
        <v>0</v>
      </c>
    </row>
    <row r="540" spans="1:9" x14ac:dyDescent="0.3">
      <c r="A540" t="s">
        <v>2914</v>
      </c>
      <c r="B540" t="s">
        <v>2915</v>
      </c>
      <c r="C540" t="s">
        <v>2907</v>
      </c>
      <c r="D540" t="s">
        <v>2908</v>
      </c>
      <c r="E540" t="s">
        <v>1236</v>
      </c>
      <c r="F540" t="s">
        <v>2916</v>
      </c>
      <c r="G540" t="s">
        <v>5903</v>
      </c>
      <c r="H540">
        <v>0</v>
      </c>
      <c r="I540">
        <v>0</v>
      </c>
    </row>
    <row r="541" spans="1:9" x14ac:dyDescent="0.3">
      <c r="A541" t="s">
        <v>2917</v>
      </c>
      <c r="B541" t="s">
        <v>2918</v>
      </c>
      <c r="C541" t="s">
        <v>2907</v>
      </c>
      <c r="D541" t="s">
        <v>2908</v>
      </c>
      <c r="E541" t="s">
        <v>1236</v>
      </c>
      <c r="F541" t="s">
        <v>2919</v>
      </c>
      <c r="G541" t="s">
        <v>5904</v>
      </c>
      <c r="H541">
        <v>0</v>
      </c>
      <c r="I541">
        <v>0</v>
      </c>
    </row>
    <row r="542" spans="1:9" x14ac:dyDescent="0.3">
      <c r="A542" t="s">
        <v>2920</v>
      </c>
      <c r="B542" t="s">
        <v>2921</v>
      </c>
      <c r="C542" t="s">
        <v>2907</v>
      </c>
      <c r="D542" t="s">
        <v>2908</v>
      </c>
      <c r="E542" t="s">
        <v>1236</v>
      </c>
      <c r="F542" t="s">
        <v>2922</v>
      </c>
      <c r="G542" t="s">
        <v>5905</v>
      </c>
      <c r="H542">
        <v>0</v>
      </c>
      <c r="I542">
        <v>0</v>
      </c>
    </row>
    <row r="543" spans="1:9" x14ac:dyDescent="0.3">
      <c r="A543" t="s">
        <v>2923</v>
      </c>
      <c r="B543" t="s">
        <v>2924</v>
      </c>
      <c r="C543" t="s">
        <v>2907</v>
      </c>
      <c r="D543" t="s">
        <v>2908</v>
      </c>
      <c r="E543" t="s">
        <v>1236</v>
      </c>
      <c r="F543" t="s">
        <v>2925</v>
      </c>
      <c r="G543" t="s">
        <v>5906</v>
      </c>
      <c r="H543" t="s">
        <v>2910</v>
      </c>
      <c r="I543">
        <v>0</v>
      </c>
    </row>
    <row r="544" spans="1:9" x14ac:dyDescent="0.3">
      <c r="A544" t="s">
        <v>2926</v>
      </c>
      <c r="B544" t="s">
        <v>2927</v>
      </c>
      <c r="C544" t="s">
        <v>2907</v>
      </c>
      <c r="D544" t="s">
        <v>2908</v>
      </c>
      <c r="E544" t="s">
        <v>1236</v>
      </c>
      <c r="F544" t="s">
        <v>2928</v>
      </c>
      <c r="G544" t="s">
        <v>5907</v>
      </c>
      <c r="H544" t="s">
        <v>2929</v>
      </c>
      <c r="I544">
        <v>0</v>
      </c>
    </row>
    <row r="545" spans="1:9" x14ac:dyDescent="0.3">
      <c r="A545" t="s">
        <v>2930</v>
      </c>
      <c r="B545" t="s">
        <v>2931</v>
      </c>
      <c r="C545" t="s">
        <v>2907</v>
      </c>
      <c r="D545" t="s">
        <v>2908</v>
      </c>
      <c r="E545" t="s">
        <v>1236</v>
      </c>
      <c r="F545" t="s">
        <v>2932</v>
      </c>
      <c r="G545" t="s">
        <v>5908</v>
      </c>
      <c r="H545">
        <v>0</v>
      </c>
      <c r="I545">
        <v>0</v>
      </c>
    </row>
    <row r="546" spans="1:9" x14ac:dyDescent="0.3">
      <c r="A546" t="s">
        <v>2933</v>
      </c>
      <c r="B546" t="s">
        <v>2934</v>
      </c>
      <c r="C546" t="s">
        <v>2907</v>
      </c>
      <c r="D546" t="s">
        <v>2908</v>
      </c>
      <c r="E546" t="s">
        <v>1236</v>
      </c>
      <c r="F546" t="s">
        <v>2935</v>
      </c>
      <c r="G546" t="s">
        <v>5909</v>
      </c>
      <c r="H546">
        <v>0</v>
      </c>
      <c r="I546">
        <v>0</v>
      </c>
    </row>
    <row r="547" spans="1:9" x14ac:dyDescent="0.3">
      <c r="A547" t="s">
        <v>2936</v>
      </c>
      <c r="B547" t="s">
        <v>2937</v>
      </c>
      <c r="C547" t="s">
        <v>2907</v>
      </c>
      <c r="D547" t="s">
        <v>2908</v>
      </c>
      <c r="E547" t="s">
        <v>1236</v>
      </c>
      <c r="F547" t="s">
        <v>2938</v>
      </c>
      <c r="G547" t="s">
        <v>5910</v>
      </c>
      <c r="H547" t="s">
        <v>2910</v>
      </c>
      <c r="I547">
        <v>0</v>
      </c>
    </row>
    <row r="548" spans="1:9" x14ac:dyDescent="0.3">
      <c r="A548" t="s">
        <v>2939</v>
      </c>
      <c r="B548" t="s">
        <v>2940</v>
      </c>
      <c r="C548" t="s">
        <v>2907</v>
      </c>
      <c r="D548" t="s">
        <v>2908</v>
      </c>
      <c r="E548" t="s">
        <v>1236</v>
      </c>
      <c r="F548" t="s">
        <v>2941</v>
      </c>
      <c r="G548" t="s">
        <v>5911</v>
      </c>
      <c r="H548">
        <v>0</v>
      </c>
      <c r="I548">
        <v>0</v>
      </c>
    </row>
    <row r="549" spans="1:9" x14ac:dyDescent="0.3">
      <c r="A549" t="s">
        <v>2942</v>
      </c>
      <c r="B549" t="s">
        <v>2943</v>
      </c>
      <c r="C549" t="s">
        <v>2907</v>
      </c>
      <c r="D549" t="s">
        <v>2908</v>
      </c>
      <c r="E549" t="s">
        <v>1236</v>
      </c>
      <c r="F549" t="s">
        <v>2944</v>
      </c>
      <c r="G549" t="s">
        <v>5912</v>
      </c>
      <c r="H549">
        <v>0</v>
      </c>
      <c r="I549">
        <v>0</v>
      </c>
    </row>
    <row r="550" spans="1:9" x14ac:dyDescent="0.3">
      <c r="A550" t="s">
        <v>2945</v>
      </c>
      <c r="B550" t="s">
        <v>2946</v>
      </c>
      <c r="C550" t="s">
        <v>2907</v>
      </c>
      <c r="D550" t="s">
        <v>2908</v>
      </c>
      <c r="E550" t="s">
        <v>1236</v>
      </c>
      <c r="F550" t="s">
        <v>2947</v>
      </c>
      <c r="G550" t="s">
        <v>5913</v>
      </c>
      <c r="H550" t="s">
        <v>2929</v>
      </c>
      <c r="I550">
        <v>0</v>
      </c>
    </row>
    <row r="551" spans="1:9" x14ac:dyDescent="0.3">
      <c r="A551" t="s">
        <v>2948</v>
      </c>
      <c r="B551" t="s">
        <v>2949</v>
      </c>
      <c r="C551" t="s">
        <v>2907</v>
      </c>
      <c r="D551" t="s">
        <v>2908</v>
      </c>
      <c r="E551" t="s">
        <v>1236</v>
      </c>
      <c r="F551" t="s">
        <v>2950</v>
      </c>
      <c r="G551" t="s">
        <v>5914</v>
      </c>
      <c r="H551" t="s">
        <v>2929</v>
      </c>
      <c r="I551">
        <v>0</v>
      </c>
    </row>
    <row r="552" spans="1:9" x14ac:dyDescent="0.3">
      <c r="A552" t="s">
        <v>2951</v>
      </c>
      <c r="B552" t="s">
        <v>2952</v>
      </c>
      <c r="C552" t="s">
        <v>2907</v>
      </c>
      <c r="D552" t="s">
        <v>2908</v>
      </c>
      <c r="E552" t="s">
        <v>1236</v>
      </c>
      <c r="F552" t="s">
        <v>2953</v>
      </c>
      <c r="G552" t="s">
        <v>5915</v>
      </c>
      <c r="H552">
        <v>0</v>
      </c>
      <c r="I552">
        <v>0</v>
      </c>
    </row>
    <row r="553" spans="1:9" x14ac:dyDescent="0.3">
      <c r="A553" t="s">
        <v>2954</v>
      </c>
      <c r="B553" t="s">
        <v>2955</v>
      </c>
      <c r="C553" t="s">
        <v>2907</v>
      </c>
      <c r="D553" t="s">
        <v>2908</v>
      </c>
      <c r="E553" t="s">
        <v>1236</v>
      </c>
      <c r="F553" t="s">
        <v>2956</v>
      </c>
      <c r="G553" t="s">
        <v>5916</v>
      </c>
      <c r="H553">
        <v>0</v>
      </c>
      <c r="I553">
        <v>0</v>
      </c>
    </row>
    <row r="554" spans="1:9" x14ac:dyDescent="0.3">
      <c r="A554" t="s">
        <v>2957</v>
      </c>
      <c r="B554" t="s">
        <v>2958</v>
      </c>
      <c r="C554" t="s">
        <v>2907</v>
      </c>
      <c r="D554" t="s">
        <v>2908</v>
      </c>
      <c r="E554" t="s">
        <v>1236</v>
      </c>
      <c r="F554" t="s">
        <v>2959</v>
      </c>
      <c r="G554" t="s">
        <v>5917</v>
      </c>
      <c r="H554">
        <v>0</v>
      </c>
      <c r="I554">
        <v>0</v>
      </c>
    </row>
    <row r="555" spans="1:9" x14ac:dyDescent="0.3">
      <c r="A555" t="s">
        <v>2960</v>
      </c>
      <c r="B555" t="s">
        <v>2961</v>
      </c>
      <c r="C555" t="s">
        <v>2907</v>
      </c>
      <c r="D555" t="s">
        <v>2908</v>
      </c>
      <c r="E555" t="s">
        <v>1236</v>
      </c>
      <c r="F555" t="s">
        <v>2962</v>
      </c>
      <c r="G555" t="s">
        <v>5918</v>
      </c>
      <c r="H555">
        <v>0</v>
      </c>
      <c r="I555">
        <v>0</v>
      </c>
    </row>
    <row r="556" spans="1:9" x14ac:dyDescent="0.3">
      <c r="A556" t="s">
        <v>2963</v>
      </c>
      <c r="B556" t="s">
        <v>2964</v>
      </c>
      <c r="C556" t="s">
        <v>2907</v>
      </c>
      <c r="D556" t="s">
        <v>2908</v>
      </c>
      <c r="E556" t="s">
        <v>1236</v>
      </c>
      <c r="F556" t="s">
        <v>2965</v>
      </c>
      <c r="G556" t="s">
        <v>5919</v>
      </c>
      <c r="H556">
        <v>0</v>
      </c>
      <c r="I556">
        <v>0</v>
      </c>
    </row>
    <row r="557" spans="1:9" x14ac:dyDescent="0.3">
      <c r="A557" t="s">
        <v>2966</v>
      </c>
      <c r="B557" t="s">
        <v>2967</v>
      </c>
      <c r="C557" t="s">
        <v>2907</v>
      </c>
      <c r="D557" t="s">
        <v>2908</v>
      </c>
      <c r="E557" t="s">
        <v>1236</v>
      </c>
      <c r="F557" t="s">
        <v>2968</v>
      </c>
      <c r="G557" t="s">
        <v>5920</v>
      </c>
      <c r="H557" t="s">
        <v>2910</v>
      </c>
      <c r="I557">
        <v>0</v>
      </c>
    </row>
    <row r="558" spans="1:9" x14ac:dyDescent="0.3">
      <c r="A558" t="s">
        <v>2969</v>
      </c>
      <c r="B558" t="s">
        <v>2970</v>
      </c>
      <c r="C558" t="s">
        <v>2907</v>
      </c>
      <c r="D558" t="s">
        <v>2908</v>
      </c>
      <c r="E558" t="s">
        <v>1236</v>
      </c>
      <c r="F558" t="s">
        <v>2971</v>
      </c>
      <c r="G558" t="s">
        <v>5921</v>
      </c>
      <c r="H558">
        <v>0</v>
      </c>
      <c r="I558">
        <v>0</v>
      </c>
    </row>
    <row r="559" spans="1:9" x14ac:dyDescent="0.3">
      <c r="A559" t="s">
        <v>2972</v>
      </c>
      <c r="B559" t="s">
        <v>2973</v>
      </c>
      <c r="C559" t="s">
        <v>2907</v>
      </c>
      <c r="D559" t="s">
        <v>2908</v>
      </c>
      <c r="E559" t="s">
        <v>1236</v>
      </c>
      <c r="F559" t="s">
        <v>2974</v>
      </c>
      <c r="G559" t="s">
        <v>5922</v>
      </c>
      <c r="H559">
        <v>0</v>
      </c>
      <c r="I559">
        <v>0</v>
      </c>
    </row>
    <row r="560" spans="1:9" x14ac:dyDescent="0.3">
      <c r="A560" t="s">
        <v>2975</v>
      </c>
      <c r="B560" t="s">
        <v>2976</v>
      </c>
      <c r="C560" t="s">
        <v>2907</v>
      </c>
      <c r="D560" t="s">
        <v>2908</v>
      </c>
      <c r="E560" t="s">
        <v>1236</v>
      </c>
      <c r="F560" t="s">
        <v>2977</v>
      </c>
      <c r="G560" t="s">
        <v>5923</v>
      </c>
      <c r="H560" t="s">
        <v>2910</v>
      </c>
      <c r="I560">
        <v>0</v>
      </c>
    </row>
    <row r="561" spans="1:9" x14ac:dyDescent="0.3">
      <c r="A561" t="s">
        <v>2978</v>
      </c>
      <c r="B561" t="s">
        <v>2979</v>
      </c>
      <c r="C561" t="s">
        <v>2907</v>
      </c>
      <c r="D561" t="s">
        <v>2908</v>
      </c>
      <c r="E561" t="s">
        <v>1236</v>
      </c>
      <c r="F561" t="s">
        <v>2980</v>
      </c>
      <c r="G561" t="s">
        <v>5924</v>
      </c>
      <c r="H561">
        <v>0</v>
      </c>
      <c r="I561">
        <v>0</v>
      </c>
    </row>
    <row r="562" spans="1:9" x14ac:dyDescent="0.3">
      <c r="A562" t="s">
        <v>2981</v>
      </c>
      <c r="B562" t="s">
        <v>2982</v>
      </c>
      <c r="C562" t="s">
        <v>2983</v>
      </c>
      <c r="D562" t="s">
        <v>1216</v>
      </c>
      <c r="E562" t="s">
        <v>1287</v>
      </c>
      <c r="F562" t="s">
        <v>2984</v>
      </c>
      <c r="G562" t="s">
        <v>5925</v>
      </c>
      <c r="H562">
        <v>0</v>
      </c>
      <c r="I562" t="s">
        <v>2985</v>
      </c>
    </row>
    <row r="563" spans="1:9" x14ac:dyDescent="0.3">
      <c r="A563" t="s">
        <v>2986</v>
      </c>
      <c r="B563" t="s">
        <v>2987</v>
      </c>
      <c r="C563" t="s">
        <v>2983</v>
      </c>
      <c r="D563" t="s">
        <v>1216</v>
      </c>
      <c r="E563" t="s">
        <v>1287</v>
      </c>
      <c r="F563" t="s">
        <v>2988</v>
      </c>
      <c r="G563" t="s">
        <v>5926</v>
      </c>
      <c r="H563" t="s">
        <v>2989</v>
      </c>
      <c r="I563">
        <v>0</v>
      </c>
    </row>
    <row r="564" spans="1:9" x14ac:dyDescent="0.3">
      <c r="A564" t="s">
        <v>2990</v>
      </c>
      <c r="B564" t="s">
        <v>2991</v>
      </c>
      <c r="C564" t="s">
        <v>2983</v>
      </c>
      <c r="D564" t="s">
        <v>1216</v>
      </c>
      <c r="E564" t="s">
        <v>1287</v>
      </c>
      <c r="F564" t="s">
        <v>2992</v>
      </c>
      <c r="G564" t="s">
        <v>5927</v>
      </c>
      <c r="H564" t="s">
        <v>2993</v>
      </c>
      <c r="I564">
        <v>0</v>
      </c>
    </row>
    <row r="565" spans="1:9" x14ac:dyDescent="0.3">
      <c r="A565" t="s">
        <v>2994</v>
      </c>
      <c r="B565" t="s">
        <v>2995</v>
      </c>
      <c r="C565" t="s">
        <v>2983</v>
      </c>
      <c r="D565" t="s">
        <v>1216</v>
      </c>
      <c r="E565" t="s">
        <v>1287</v>
      </c>
      <c r="F565" t="s">
        <v>2988</v>
      </c>
      <c r="G565" t="s">
        <v>5926</v>
      </c>
      <c r="H565" t="s">
        <v>2989</v>
      </c>
      <c r="I565">
        <v>0</v>
      </c>
    </row>
    <row r="566" spans="1:9" x14ac:dyDescent="0.3">
      <c r="A566" t="s">
        <v>2996</v>
      </c>
      <c r="B566" t="s">
        <v>2997</v>
      </c>
      <c r="C566" t="s">
        <v>2983</v>
      </c>
      <c r="D566" t="s">
        <v>1216</v>
      </c>
      <c r="E566" t="s">
        <v>1287</v>
      </c>
      <c r="F566" t="s">
        <v>2998</v>
      </c>
      <c r="G566" t="s">
        <v>5928</v>
      </c>
      <c r="H566" t="s">
        <v>2999</v>
      </c>
      <c r="I566">
        <v>0</v>
      </c>
    </row>
    <row r="567" spans="1:9" x14ac:dyDescent="0.3">
      <c r="A567" t="s">
        <v>3000</v>
      </c>
      <c r="B567" t="s">
        <v>3001</v>
      </c>
      <c r="C567" t="s">
        <v>2983</v>
      </c>
      <c r="D567" t="s">
        <v>1216</v>
      </c>
      <c r="E567" t="s">
        <v>1287</v>
      </c>
      <c r="F567" t="s">
        <v>3002</v>
      </c>
      <c r="G567" t="s">
        <v>5929</v>
      </c>
      <c r="H567" t="s">
        <v>27</v>
      </c>
      <c r="I567">
        <v>0</v>
      </c>
    </row>
    <row r="568" spans="1:9" x14ac:dyDescent="0.3">
      <c r="A568" t="s">
        <v>3003</v>
      </c>
      <c r="B568" t="s">
        <v>3004</v>
      </c>
      <c r="C568" t="s">
        <v>2983</v>
      </c>
      <c r="D568" t="s">
        <v>1216</v>
      </c>
      <c r="E568" t="s">
        <v>1287</v>
      </c>
      <c r="F568" t="s">
        <v>3005</v>
      </c>
      <c r="G568" t="s">
        <v>5930</v>
      </c>
      <c r="H568" t="s">
        <v>18</v>
      </c>
      <c r="I568">
        <v>0</v>
      </c>
    </row>
    <row r="569" spans="1:9" x14ac:dyDescent="0.3">
      <c r="A569" t="s">
        <v>3006</v>
      </c>
      <c r="B569" t="s">
        <v>3007</v>
      </c>
      <c r="C569" t="s">
        <v>3008</v>
      </c>
      <c r="D569" t="s">
        <v>1216</v>
      </c>
      <c r="E569" t="s">
        <v>1287</v>
      </c>
      <c r="F569" t="s">
        <v>3009</v>
      </c>
      <c r="G569" t="s">
        <v>5931</v>
      </c>
      <c r="H569">
        <v>0</v>
      </c>
      <c r="I569" t="s">
        <v>3010</v>
      </c>
    </row>
    <row r="570" spans="1:9" x14ac:dyDescent="0.3">
      <c r="A570" t="s">
        <v>3011</v>
      </c>
      <c r="B570" t="s">
        <v>3012</v>
      </c>
      <c r="C570" t="s">
        <v>2983</v>
      </c>
      <c r="D570" t="s">
        <v>1216</v>
      </c>
      <c r="E570" t="s">
        <v>1287</v>
      </c>
      <c r="F570" t="s">
        <v>3013</v>
      </c>
      <c r="G570" t="s">
        <v>5932</v>
      </c>
      <c r="H570" t="s">
        <v>16</v>
      </c>
      <c r="I570">
        <v>0</v>
      </c>
    </row>
    <row r="571" spans="1:9" x14ac:dyDescent="0.3">
      <c r="A571" t="s">
        <v>3014</v>
      </c>
      <c r="B571" t="s">
        <v>3015</v>
      </c>
      <c r="C571" t="s">
        <v>2983</v>
      </c>
      <c r="D571" t="s">
        <v>1216</v>
      </c>
      <c r="E571" t="s">
        <v>1287</v>
      </c>
      <c r="F571" t="s">
        <v>3016</v>
      </c>
      <c r="G571" t="s">
        <v>5933</v>
      </c>
      <c r="H571" t="s">
        <v>3017</v>
      </c>
      <c r="I571">
        <v>0</v>
      </c>
    </row>
    <row r="572" spans="1:9" x14ac:dyDescent="0.3">
      <c r="A572" t="s">
        <v>3018</v>
      </c>
      <c r="B572" t="s">
        <v>3019</v>
      </c>
      <c r="C572" t="s">
        <v>2983</v>
      </c>
      <c r="D572" t="s">
        <v>1216</v>
      </c>
      <c r="E572" t="s">
        <v>1287</v>
      </c>
      <c r="F572" t="s">
        <v>3020</v>
      </c>
      <c r="G572" t="s">
        <v>5934</v>
      </c>
      <c r="H572" t="s">
        <v>13</v>
      </c>
      <c r="I572">
        <v>0</v>
      </c>
    </row>
    <row r="573" spans="1:9" x14ac:dyDescent="0.3">
      <c r="A573" t="s">
        <v>3021</v>
      </c>
      <c r="B573" t="s">
        <v>3022</v>
      </c>
      <c r="C573" t="s">
        <v>2983</v>
      </c>
      <c r="D573" t="s">
        <v>1216</v>
      </c>
      <c r="E573" t="s">
        <v>1287</v>
      </c>
      <c r="F573" t="s">
        <v>3016</v>
      </c>
      <c r="G573" t="s">
        <v>5933</v>
      </c>
      <c r="H573" t="s">
        <v>3017</v>
      </c>
      <c r="I573">
        <v>0</v>
      </c>
    </row>
    <row r="574" spans="1:9" x14ac:dyDescent="0.3">
      <c r="A574" t="s">
        <v>3023</v>
      </c>
      <c r="B574" t="s">
        <v>3024</v>
      </c>
      <c r="C574" t="s">
        <v>2983</v>
      </c>
      <c r="D574" t="s">
        <v>1216</v>
      </c>
      <c r="E574" t="s">
        <v>1287</v>
      </c>
      <c r="F574" t="s">
        <v>3025</v>
      </c>
      <c r="G574" t="s">
        <v>5935</v>
      </c>
      <c r="H574" t="s">
        <v>3026</v>
      </c>
      <c r="I574">
        <v>0</v>
      </c>
    </row>
    <row r="575" spans="1:9" x14ac:dyDescent="0.3">
      <c r="A575" t="s">
        <v>3027</v>
      </c>
      <c r="B575" t="s">
        <v>3028</v>
      </c>
      <c r="C575" t="s">
        <v>2983</v>
      </c>
      <c r="D575" t="s">
        <v>1216</v>
      </c>
      <c r="E575" t="s">
        <v>1287</v>
      </c>
      <c r="F575" t="s">
        <v>3025</v>
      </c>
      <c r="G575" t="s">
        <v>5935</v>
      </c>
      <c r="H575" t="s">
        <v>3026</v>
      </c>
      <c r="I575">
        <v>0</v>
      </c>
    </row>
    <row r="576" spans="1:9" x14ac:dyDescent="0.3">
      <c r="A576" t="s">
        <v>3029</v>
      </c>
      <c r="B576" t="s">
        <v>3030</v>
      </c>
      <c r="C576" t="s">
        <v>3008</v>
      </c>
      <c r="D576" t="s">
        <v>1216</v>
      </c>
      <c r="E576" t="s">
        <v>1287</v>
      </c>
      <c r="F576" t="s">
        <v>3031</v>
      </c>
      <c r="G576" t="s">
        <v>5936</v>
      </c>
      <c r="H576" t="s">
        <v>3032</v>
      </c>
      <c r="I576">
        <v>0</v>
      </c>
    </row>
    <row r="577" spans="1:9" x14ac:dyDescent="0.3">
      <c r="A577" t="s">
        <v>3033</v>
      </c>
      <c r="B577" t="s">
        <v>3034</v>
      </c>
      <c r="C577" t="s">
        <v>2983</v>
      </c>
      <c r="D577" t="s">
        <v>1216</v>
      </c>
      <c r="E577" t="s">
        <v>1287</v>
      </c>
      <c r="F577" t="s">
        <v>3013</v>
      </c>
      <c r="G577" t="s">
        <v>5932</v>
      </c>
      <c r="H577" t="s">
        <v>16</v>
      </c>
      <c r="I577">
        <v>0</v>
      </c>
    </row>
    <row r="578" spans="1:9" x14ac:dyDescent="0.3">
      <c r="A578" t="s">
        <v>3035</v>
      </c>
      <c r="B578" t="s">
        <v>3036</v>
      </c>
      <c r="C578" t="s">
        <v>2983</v>
      </c>
      <c r="D578" t="s">
        <v>1216</v>
      </c>
      <c r="E578" t="s">
        <v>1287</v>
      </c>
      <c r="F578" t="s">
        <v>2998</v>
      </c>
      <c r="G578" t="s">
        <v>5928</v>
      </c>
      <c r="H578" t="s">
        <v>2999</v>
      </c>
      <c r="I578">
        <v>0</v>
      </c>
    </row>
    <row r="579" spans="1:9" x14ac:dyDescent="0.3">
      <c r="A579" t="s">
        <v>3037</v>
      </c>
      <c r="B579" t="s">
        <v>3038</v>
      </c>
      <c r="C579" t="s">
        <v>2983</v>
      </c>
      <c r="D579" t="s">
        <v>1216</v>
      </c>
      <c r="E579" t="s">
        <v>1287</v>
      </c>
      <c r="F579" t="s">
        <v>3039</v>
      </c>
      <c r="G579" t="s">
        <v>5937</v>
      </c>
      <c r="H579">
        <v>0</v>
      </c>
      <c r="I579" t="s">
        <v>2985</v>
      </c>
    </row>
    <row r="580" spans="1:9" x14ac:dyDescent="0.3">
      <c r="A580" t="s">
        <v>3040</v>
      </c>
      <c r="B580" t="s">
        <v>3041</v>
      </c>
      <c r="C580" t="s">
        <v>2983</v>
      </c>
      <c r="D580" t="s">
        <v>1216</v>
      </c>
      <c r="E580" t="s">
        <v>1287</v>
      </c>
      <c r="F580" t="s">
        <v>3005</v>
      </c>
      <c r="G580" t="s">
        <v>5930</v>
      </c>
      <c r="H580" t="s">
        <v>18</v>
      </c>
      <c r="I580">
        <v>0</v>
      </c>
    </row>
    <row r="581" spans="1:9" x14ac:dyDescent="0.3">
      <c r="A581" t="s">
        <v>3042</v>
      </c>
      <c r="B581" t="s">
        <v>3043</v>
      </c>
      <c r="C581" t="s">
        <v>2983</v>
      </c>
      <c r="D581" t="s">
        <v>1216</v>
      </c>
      <c r="E581" t="s">
        <v>1287</v>
      </c>
      <c r="F581" t="s">
        <v>3044</v>
      </c>
      <c r="G581" t="s">
        <v>5938</v>
      </c>
      <c r="H581" t="s">
        <v>59</v>
      </c>
      <c r="I581">
        <v>0</v>
      </c>
    </row>
    <row r="582" spans="1:9" x14ac:dyDescent="0.3">
      <c r="A582" t="s">
        <v>3045</v>
      </c>
      <c r="B582" t="s">
        <v>3046</v>
      </c>
      <c r="C582" t="s">
        <v>2983</v>
      </c>
      <c r="D582" t="s">
        <v>1216</v>
      </c>
      <c r="E582" t="s">
        <v>1287</v>
      </c>
      <c r="F582" t="s">
        <v>2992</v>
      </c>
      <c r="G582" t="s">
        <v>5927</v>
      </c>
      <c r="H582" t="s">
        <v>2993</v>
      </c>
      <c r="I582">
        <v>0</v>
      </c>
    </row>
    <row r="583" spans="1:9" x14ac:dyDescent="0.3">
      <c r="A583" t="s">
        <v>3047</v>
      </c>
      <c r="B583" t="s">
        <v>3048</v>
      </c>
      <c r="C583" t="s">
        <v>2983</v>
      </c>
      <c r="D583" t="s">
        <v>1216</v>
      </c>
      <c r="E583" t="s">
        <v>1287</v>
      </c>
      <c r="F583" t="s">
        <v>3020</v>
      </c>
      <c r="G583" t="s">
        <v>5934</v>
      </c>
      <c r="H583" t="s">
        <v>13</v>
      </c>
      <c r="I583">
        <v>0</v>
      </c>
    </row>
    <row r="584" spans="1:9" x14ac:dyDescent="0.3">
      <c r="A584" t="s">
        <v>3049</v>
      </c>
      <c r="B584" t="s">
        <v>3050</v>
      </c>
      <c r="C584" t="s">
        <v>2983</v>
      </c>
      <c r="D584" t="s">
        <v>1216</v>
      </c>
      <c r="E584" t="s">
        <v>1287</v>
      </c>
      <c r="F584" t="s">
        <v>2988</v>
      </c>
      <c r="G584" t="s">
        <v>5926</v>
      </c>
      <c r="H584" t="s">
        <v>2989</v>
      </c>
      <c r="I584">
        <v>0</v>
      </c>
    </row>
    <row r="585" spans="1:9" x14ac:dyDescent="0.3">
      <c r="A585" t="s">
        <v>3051</v>
      </c>
      <c r="B585" t="s">
        <v>3052</v>
      </c>
      <c r="C585" t="s">
        <v>2983</v>
      </c>
      <c r="D585" t="s">
        <v>1216</v>
      </c>
      <c r="E585" t="s">
        <v>1287</v>
      </c>
      <c r="F585" t="s">
        <v>3044</v>
      </c>
      <c r="G585" t="s">
        <v>5938</v>
      </c>
      <c r="H585" t="s">
        <v>59</v>
      </c>
      <c r="I585">
        <v>0</v>
      </c>
    </row>
    <row r="586" spans="1:9" x14ac:dyDescent="0.3">
      <c r="A586" t="s">
        <v>3053</v>
      </c>
      <c r="B586" t="s">
        <v>3054</v>
      </c>
      <c r="C586" t="s">
        <v>2983</v>
      </c>
      <c r="D586" t="s">
        <v>1216</v>
      </c>
      <c r="E586" t="s">
        <v>1287</v>
      </c>
      <c r="F586" t="s">
        <v>3025</v>
      </c>
      <c r="G586" t="s">
        <v>5935</v>
      </c>
      <c r="H586" t="s">
        <v>3026</v>
      </c>
      <c r="I586">
        <v>0</v>
      </c>
    </row>
    <row r="587" spans="1:9" x14ac:dyDescent="0.3">
      <c r="A587" t="s">
        <v>3055</v>
      </c>
      <c r="B587" t="s">
        <v>3056</v>
      </c>
      <c r="C587" t="s">
        <v>2983</v>
      </c>
      <c r="D587" t="s">
        <v>1216</v>
      </c>
      <c r="E587" t="s">
        <v>1287</v>
      </c>
      <c r="F587" t="s">
        <v>2992</v>
      </c>
      <c r="G587" t="s">
        <v>5927</v>
      </c>
      <c r="H587" t="s">
        <v>2993</v>
      </c>
      <c r="I587">
        <v>0</v>
      </c>
    </row>
    <row r="588" spans="1:9" x14ac:dyDescent="0.3">
      <c r="A588" t="s">
        <v>3057</v>
      </c>
      <c r="B588" t="s">
        <v>3058</v>
      </c>
      <c r="C588" t="s">
        <v>2983</v>
      </c>
      <c r="D588" t="s">
        <v>1216</v>
      </c>
      <c r="E588" t="s">
        <v>1287</v>
      </c>
      <c r="F588" t="s">
        <v>3020</v>
      </c>
      <c r="G588" t="s">
        <v>5934</v>
      </c>
      <c r="H588" t="s">
        <v>13</v>
      </c>
      <c r="I588">
        <v>0</v>
      </c>
    </row>
    <row r="589" spans="1:9" x14ac:dyDescent="0.3">
      <c r="A589" t="s">
        <v>3059</v>
      </c>
      <c r="B589" t="s">
        <v>3060</v>
      </c>
      <c r="C589" t="s">
        <v>3008</v>
      </c>
      <c r="D589" t="s">
        <v>1216</v>
      </c>
      <c r="E589" t="s">
        <v>1287</v>
      </c>
      <c r="F589" t="s">
        <v>3031</v>
      </c>
      <c r="G589" t="s">
        <v>5936</v>
      </c>
      <c r="H589" t="s">
        <v>3032</v>
      </c>
      <c r="I589">
        <v>0</v>
      </c>
    </row>
    <row r="590" spans="1:9" x14ac:dyDescent="0.3">
      <c r="A590" t="s">
        <v>3061</v>
      </c>
      <c r="B590" t="s">
        <v>3062</v>
      </c>
      <c r="C590" t="s">
        <v>2983</v>
      </c>
      <c r="D590" t="s">
        <v>1216</v>
      </c>
      <c r="E590" t="s">
        <v>1287</v>
      </c>
      <c r="F590" t="s">
        <v>2984</v>
      </c>
      <c r="G590" t="s">
        <v>5925</v>
      </c>
      <c r="H590">
        <v>0</v>
      </c>
      <c r="I590" t="s">
        <v>2985</v>
      </c>
    </row>
    <row r="591" spans="1:9" x14ac:dyDescent="0.3">
      <c r="A591" t="s">
        <v>3063</v>
      </c>
      <c r="B591" t="s">
        <v>3064</v>
      </c>
      <c r="C591" t="s">
        <v>3008</v>
      </c>
      <c r="D591" t="s">
        <v>1216</v>
      </c>
      <c r="E591" t="s">
        <v>1287</v>
      </c>
      <c r="F591" t="s">
        <v>3009</v>
      </c>
      <c r="G591" t="s">
        <v>5931</v>
      </c>
      <c r="H591">
        <v>0</v>
      </c>
      <c r="I591">
        <v>0</v>
      </c>
    </row>
    <row r="592" spans="1:9" x14ac:dyDescent="0.3">
      <c r="A592" t="s">
        <v>3065</v>
      </c>
      <c r="B592" t="s">
        <v>3066</v>
      </c>
      <c r="C592" t="s">
        <v>2983</v>
      </c>
      <c r="D592" t="s">
        <v>1216</v>
      </c>
      <c r="E592" t="s">
        <v>1287</v>
      </c>
      <c r="F592" t="s">
        <v>3044</v>
      </c>
      <c r="G592" t="s">
        <v>5938</v>
      </c>
      <c r="H592" t="s">
        <v>59</v>
      </c>
      <c r="I592">
        <v>0</v>
      </c>
    </row>
    <row r="593" spans="1:9" x14ac:dyDescent="0.3">
      <c r="A593" t="s">
        <v>3067</v>
      </c>
      <c r="B593" t="s">
        <v>3068</v>
      </c>
      <c r="C593" t="s">
        <v>3008</v>
      </c>
      <c r="D593" t="s">
        <v>1216</v>
      </c>
      <c r="E593" t="s">
        <v>1287</v>
      </c>
      <c r="F593" t="s">
        <v>3031</v>
      </c>
      <c r="G593" t="s">
        <v>5936</v>
      </c>
      <c r="H593" t="s">
        <v>3032</v>
      </c>
      <c r="I593">
        <v>0</v>
      </c>
    </row>
    <row r="594" spans="1:9" x14ac:dyDescent="0.3">
      <c r="A594" t="s">
        <v>3069</v>
      </c>
      <c r="B594" t="s">
        <v>3070</v>
      </c>
      <c r="C594" t="s">
        <v>3071</v>
      </c>
      <c r="D594" t="s">
        <v>1326</v>
      </c>
      <c r="E594" t="s">
        <v>1287</v>
      </c>
      <c r="F594" t="s">
        <v>3072</v>
      </c>
      <c r="G594" t="s">
        <v>5939</v>
      </c>
      <c r="H594" t="s">
        <v>3073</v>
      </c>
      <c r="I594">
        <v>0</v>
      </c>
    </row>
    <row r="595" spans="1:9" x14ac:dyDescent="0.3">
      <c r="A595" t="s">
        <v>3074</v>
      </c>
      <c r="B595" t="s">
        <v>3075</v>
      </c>
      <c r="C595" t="s">
        <v>3071</v>
      </c>
      <c r="D595" t="s">
        <v>1326</v>
      </c>
      <c r="E595" t="s">
        <v>1287</v>
      </c>
      <c r="F595" t="s">
        <v>3076</v>
      </c>
      <c r="G595" t="s">
        <v>5940</v>
      </c>
      <c r="H595" t="s">
        <v>3073</v>
      </c>
      <c r="I595">
        <v>0</v>
      </c>
    </row>
    <row r="596" spans="1:9" x14ac:dyDescent="0.3">
      <c r="A596" t="s">
        <v>3077</v>
      </c>
      <c r="B596" t="s">
        <v>3078</v>
      </c>
      <c r="C596" t="s">
        <v>3071</v>
      </c>
      <c r="D596" t="s">
        <v>1326</v>
      </c>
      <c r="E596" t="s">
        <v>1287</v>
      </c>
      <c r="F596" t="s">
        <v>3079</v>
      </c>
      <c r="G596" t="s">
        <v>5941</v>
      </c>
      <c r="H596" t="s">
        <v>3073</v>
      </c>
      <c r="I596">
        <v>0</v>
      </c>
    </row>
    <row r="597" spans="1:9" x14ac:dyDescent="0.3">
      <c r="A597" t="s">
        <v>3080</v>
      </c>
      <c r="B597" t="s">
        <v>3081</v>
      </c>
      <c r="C597" t="s">
        <v>3071</v>
      </c>
      <c r="D597" t="s">
        <v>1326</v>
      </c>
      <c r="E597" t="s">
        <v>1287</v>
      </c>
      <c r="F597" t="s">
        <v>3082</v>
      </c>
      <c r="G597" t="s">
        <v>5942</v>
      </c>
      <c r="H597" t="s">
        <v>3073</v>
      </c>
      <c r="I597">
        <v>0</v>
      </c>
    </row>
    <row r="598" spans="1:9" x14ac:dyDescent="0.3">
      <c r="A598" t="s">
        <v>3083</v>
      </c>
      <c r="B598" t="s">
        <v>3084</v>
      </c>
      <c r="C598" t="s">
        <v>3071</v>
      </c>
      <c r="D598" t="s">
        <v>1326</v>
      </c>
      <c r="E598" t="s">
        <v>1287</v>
      </c>
      <c r="F598" t="s">
        <v>3085</v>
      </c>
      <c r="G598" t="s">
        <v>5943</v>
      </c>
      <c r="H598" t="s">
        <v>3073</v>
      </c>
      <c r="I598">
        <v>0</v>
      </c>
    </row>
    <row r="599" spans="1:9" x14ac:dyDescent="0.3">
      <c r="A599" t="s">
        <v>3086</v>
      </c>
      <c r="B599" t="s">
        <v>3087</v>
      </c>
      <c r="C599" t="s">
        <v>3071</v>
      </c>
      <c r="D599" t="s">
        <v>1326</v>
      </c>
      <c r="E599" t="s">
        <v>1287</v>
      </c>
      <c r="F599" t="s">
        <v>3088</v>
      </c>
      <c r="G599" t="s">
        <v>5944</v>
      </c>
      <c r="H599" t="s">
        <v>3073</v>
      </c>
      <c r="I599">
        <v>0</v>
      </c>
    </row>
    <row r="600" spans="1:9" x14ac:dyDescent="0.3">
      <c r="A600" t="s">
        <v>3089</v>
      </c>
      <c r="B600" t="s">
        <v>3090</v>
      </c>
      <c r="C600" t="s">
        <v>1215</v>
      </c>
      <c r="D600" t="s">
        <v>1326</v>
      </c>
      <c r="E600" t="s">
        <v>1287</v>
      </c>
      <c r="F600" t="s">
        <v>3091</v>
      </c>
      <c r="G600" t="s">
        <v>5945</v>
      </c>
      <c r="H600" t="s">
        <v>446</v>
      </c>
      <c r="I600">
        <v>0</v>
      </c>
    </row>
    <row r="601" spans="1:9" x14ac:dyDescent="0.3">
      <c r="A601" t="s">
        <v>3092</v>
      </c>
      <c r="B601" t="s">
        <v>3093</v>
      </c>
      <c r="C601" t="s">
        <v>1215</v>
      </c>
      <c r="D601" t="s">
        <v>1326</v>
      </c>
      <c r="E601" t="s">
        <v>1287</v>
      </c>
      <c r="F601" t="s">
        <v>3094</v>
      </c>
      <c r="G601" t="s">
        <v>5946</v>
      </c>
      <c r="H601" t="s">
        <v>82</v>
      </c>
      <c r="I601">
        <v>0</v>
      </c>
    </row>
    <row r="602" spans="1:9" x14ac:dyDescent="0.3">
      <c r="A602" t="s">
        <v>3095</v>
      </c>
      <c r="B602" t="s">
        <v>3096</v>
      </c>
      <c r="C602" t="s">
        <v>1215</v>
      </c>
      <c r="D602" t="s">
        <v>1326</v>
      </c>
      <c r="E602" t="s">
        <v>1287</v>
      </c>
      <c r="F602" t="s">
        <v>3097</v>
      </c>
      <c r="G602" t="s">
        <v>5947</v>
      </c>
      <c r="H602">
        <v>0</v>
      </c>
      <c r="I602">
        <v>0</v>
      </c>
    </row>
    <row r="603" spans="1:9" x14ac:dyDescent="0.3">
      <c r="A603" t="s">
        <v>3098</v>
      </c>
      <c r="B603" t="s">
        <v>3099</v>
      </c>
      <c r="C603" t="s">
        <v>1215</v>
      </c>
      <c r="D603" t="s">
        <v>1326</v>
      </c>
      <c r="E603" t="s">
        <v>1287</v>
      </c>
      <c r="F603" t="s">
        <v>3100</v>
      </c>
      <c r="G603" t="s">
        <v>5948</v>
      </c>
      <c r="H603" t="s">
        <v>82</v>
      </c>
      <c r="I603">
        <v>0</v>
      </c>
    </row>
    <row r="604" spans="1:9" x14ac:dyDescent="0.3">
      <c r="A604" t="s">
        <v>3101</v>
      </c>
      <c r="B604" t="s">
        <v>3102</v>
      </c>
      <c r="C604" t="s">
        <v>1215</v>
      </c>
      <c r="D604" t="s">
        <v>1326</v>
      </c>
      <c r="E604" t="s">
        <v>1287</v>
      </c>
      <c r="F604" t="s">
        <v>3103</v>
      </c>
      <c r="G604" t="s">
        <v>5949</v>
      </c>
      <c r="H604">
        <v>0</v>
      </c>
      <c r="I604">
        <v>0</v>
      </c>
    </row>
    <row r="605" spans="1:9" x14ac:dyDescent="0.3">
      <c r="A605" t="s">
        <v>3104</v>
      </c>
      <c r="B605" t="s">
        <v>3105</v>
      </c>
      <c r="C605" t="s">
        <v>1215</v>
      </c>
      <c r="D605" t="s">
        <v>1326</v>
      </c>
      <c r="E605" t="s">
        <v>1287</v>
      </c>
      <c r="F605" t="s">
        <v>3106</v>
      </c>
      <c r="G605" t="s">
        <v>5950</v>
      </c>
      <c r="H605">
        <v>0</v>
      </c>
      <c r="I605">
        <v>0</v>
      </c>
    </row>
    <row r="606" spans="1:9" x14ac:dyDescent="0.3">
      <c r="A606" t="s">
        <v>3107</v>
      </c>
      <c r="B606" t="s">
        <v>3108</v>
      </c>
      <c r="C606" t="s">
        <v>1215</v>
      </c>
      <c r="D606" t="s">
        <v>1326</v>
      </c>
      <c r="E606" t="s">
        <v>1287</v>
      </c>
      <c r="F606" t="s">
        <v>3109</v>
      </c>
      <c r="G606" t="s">
        <v>5951</v>
      </c>
      <c r="H606" t="s">
        <v>427</v>
      </c>
      <c r="I606">
        <v>0</v>
      </c>
    </row>
    <row r="607" spans="1:9" x14ac:dyDescent="0.3">
      <c r="A607" t="s">
        <v>3110</v>
      </c>
      <c r="B607" t="s">
        <v>3111</v>
      </c>
      <c r="C607" t="s">
        <v>1215</v>
      </c>
      <c r="D607" t="s">
        <v>1326</v>
      </c>
      <c r="E607" t="s">
        <v>1287</v>
      </c>
      <c r="F607" t="s">
        <v>3112</v>
      </c>
      <c r="G607" t="s">
        <v>5952</v>
      </c>
      <c r="H607" t="s">
        <v>427</v>
      </c>
      <c r="I607">
        <v>0</v>
      </c>
    </row>
    <row r="608" spans="1:9" x14ac:dyDescent="0.3">
      <c r="A608" t="s">
        <v>3113</v>
      </c>
      <c r="B608" t="s">
        <v>3114</v>
      </c>
      <c r="C608" t="s">
        <v>1215</v>
      </c>
      <c r="D608" t="s">
        <v>1326</v>
      </c>
      <c r="E608" t="s">
        <v>1287</v>
      </c>
      <c r="F608" t="s">
        <v>3115</v>
      </c>
      <c r="G608" t="s">
        <v>5953</v>
      </c>
      <c r="H608">
        <v>0</v>
      </c>
      <c r="I608">
        <v>0</v>
      </c>
    </row>
    <row r="609" spans="1:9" x14ac:dyDescent="0.3">
      <c r="A609" t="s">
        <v>3116</v>
      </c>
      <c r="B609" t="s">
        <v>3117</v>
      </c>
      <c r="C609" t="s">
        <v>1215</v>
      </c>
      <c r="D609" t="s">
        <v>1326</v>
      </c>
      <c r="E609" t="s">
        <v>1287</v>
      </c>
      <c r="F609" t="s">
        <v>3118</v>
      </c>
      <c r="G609" t="s">
        <v>5954</v>
      </c>
      <c r="H609">
        <v>0</v>
      </c>
      <c r="I609">
        <v>0</v>
      </c>
    </row>
    <row r="610" spans="1:9" x14ac:dyDescent="0.3">
      <c r="A610" t="s">
        <v>3119</v>
      </c>
      <c r="B610" t="s">
        <v>3120</v>
      </c>
      <c r="C610" t="s">
        <v>1215</v>
      </c>
      <c r="D610" t="s">
        <v>1326</v>
      </c>
      <c r="E610" t="s">
        <v>1287</v>
      </c>
      <c r="F610" t="s">
        <v>3121</v>
      </c>
      <c r="G610" t="s">
        <v>5955</v>
      </c>
      <c r="H610">
        <v>0</v>
      </c>
      <c r="I610">
        <v>0</v>
      </c>
    </row>
    <row r="611" spans="1:9" x14ac:dyDescent="0.3">
      <c r="A611" t="s">
        <v>3122</v>
      </c>
      <c r="B611" t="s">
        <v>3123</v>
      </c>
      <c r="C611" t="s">
        <v>1215</v>
      </c>
      <c r="D611" t="s">
        <v>1326</v>
      </c>
      <c r="E611" t="s">
        <v>1287</v>
      </c>
      <c r="F611" t="s">
        <v>3124</v>
      </c>
      <c r="G611" t="s">
        <v>5956</v>
      </c>
      <c r="H611" t="s">
        <v>446</v>
      </c>
      <c r="I611">
        <v>0</v>
      </c>
    </row>
    <row r="612" spans="1:9" x14ac:dyDescent="0.3">
      <c r="A612" t="s">
        <v>3125</v>
      </c>
      <c r="B612" t="s">
        <v>3126</v>
      </c>
      <c r="C612" t="s">
        <v>1215</v>
      </c>
      <c r="D612" t="s">
        <v>1326</v>
      </c>
      <c r="E612" t="s">
        <v>1287</v>
      </c>
      <c r="F612" t="s">
        <v>3127</v>
      </c>
      <c r="G612" t="s">
        <v>5957</v>
      </c>
      <c r="H612">
        <v>0</v>
      </c>
      <c r="I612">
        <v>0</v>
      </c>
    </row>
    <row r="613" spans="1:9" x14ac:dyDescent="0.3">
      <c r="A613" t="s">
        <v>3128</v>
      </c>
      <c r="B613" t="s">
        <v>3129</v>
      </c>
      <c r="C613" t="s">
        <v>1215</v>
      </c>
      <c r="D613" t="s">
        <v>1326</v>
      </c>
      <c r="E613" t="s">
        <v>1287</v>
      </c>
      <c r="F613" t="s">
        <v>3130</v>
      </c>
      <c r="G613" t="s">
        <v>5958</v>
      </c>
      <c r="H613" t="s">
        <v>3131</v>
      </c>
      <c r="I613">
        <v>0</v>
      </c>
    </row>
    <row r="614" spans="1:9" x14ac:dyDescent="0.3">
      <c r="A614" t="s">
        <v>3132</v>
      </c>
      <c r="B614" t="s">
        <v>3133</v>
      </c>
      <c r="C614" t="s">
        <v>1215</v>
      </c>
      <c r="D614" t="s">
        <v>1326</v>
      </c>
      <c r="E614" t="s">
        <v>1287</v>
      </c>
      <c r="F614" t="s">
        <v>3134</v>
      </c>
      <c r="G614" t="s">
        <v>5959</v>
      </c>
      <c r="H614" t="s">
        <v>1053</v>
      </c>
      <c r="I614">
        <v>0</v>
      </c>
    </row>
    <row r="615" spans="1:9" x14ac:dyDescent="0.3">
      <c r="A615" t="s">
        <v>3135</v>
      </c>
      <c r="B615" t="s">
        <v>3136</v>
      </c>
      <c r="C615" t="s">
        <v>1215</v>
      </c>
      <c r="D615" t="s">
        <v>1326</v>
      </c>
      <c r="E615" t="s">
        <v>1287</v>
      </c>
      <c r="F615" t="s">
        <v>3137</v>
      </c>
      <c r="G615" t="s">
        <v>5960</v>
      </c>
      <c r="H615" t="s">
        <v>3131</v>
      </c>
      <c r="I615">
        <v>0</v>
      </c>
    </row>
    <row r="616" spans="1:9" x14ac:dyDescent="0.3">
      <c r="A616" t="s">
        <v>3138</v>
      </c>
      <c r="B616" t="s">
        <v>3139</v>
      </c>
      <c r="C616" t="s">
        <v>1215</v>
      </c>
      <c r="D616" t="s">
        <v>1326</v>
      </c>
      <c r="E616" t="s">
        <v>1287</v>
      </c>
      <c r="F616" t="s">
        <v>3140</v>
      </c>
      <c r="G616" t="s">
        <v>5961</v>
      </c>
      <c r="H616">
        <v>0</v>
      </c>
      <c r="I616">
        <v>0</v>
      </c>
    </row>
    <row r="617" spans="1:9" x14ac:dyDescent="0.3">
      <c r="A617" t="s">
        <v>3141</v>
      </c>
      <c r="B617" t="s">
        <v>3142</v>
      </c>
      <c r="C617" t="s">
        <v>1215</v>
      </c>
      <c r="D617" t="s">
        <v>1326</v>
      </c>
      <c r="E617" t="s">
        <v>1287</v>
      </c>
      <c r="F617" t="s">
        <v>3143</v>
      </c>
      <c r="G617" t="s">
        <v>5962</v>
      </c>
      <c r="H617">
        <v>0</v>
      </c>
      <c r="I617">
        <v>0</v>
      </c>
    </row>
    <row r="618" spans="1:9" x14ac:dyDescent="0.3">
      <c r="A618" t="s">
        <v>3144</v>
      </c>
      <c r="B618" t="s">
        <v>3145</v>
      </c>
      <c r="C618" t="s">
        <v>1215</v>
      </c>
      <c r="D618" t="s">
        <v>1326</v>
      </c>
      <c r="E618" t="s">
        <v>1287</v>
      </c>
      <c r="F618" t="s">
        <v>3146</v>
      </c>
      <c r="G618" t="s">
        <v>5963</v>
      </c>
      <c r="H618" t="s">
        <v>82</v>
      </c>
      <c r="I618">
        <v>0</v>
      </c>
    </row>
    <row r="619" spans="1:9" x14ac:dyDescent="0.3">
      <c r="A619" t="s">
        <v>3147</v>
      </c>
      <c r="B619" t="s">
        <v>3148</v>
      </c>
      <c r="C619" t="s">
        <v>1215</v>
      </c>
      <c r="D619" t="s">
        <v>1326</v>
      </c>
      <c r="E619" t="s">
        <v>1287</v>
      </c>
      <c r="F619" t="s">
        <v>3149</v>
      </c>
      <c r="G619" t="s">
        <v>5964</v>
      </c>
      <c r="H619">
        <v>0</v>
      </c>
      <c r="I619">
        <v>0</v>
      </c>
    </row>
    <row r="620" spans="1:9" x14ac:dyDescent="0.3">
      <c r="A620" t="s">
        <v>3150</v>
      </c>
      <c r="B620" t="s">
        <v>3151</v>
      </c>
      <c r="C620" t="s">
        <v>1215</v>
      </c>
      <c r="D620" t="s">
        <v>1326</v>
      </c>
      <c r="E620" t="s">
        <v>1287</v>
      </c>
      <c r="F620" t="s">
        <v>3152</v>
      </c>
      <c r="G620" t="s">
        <v>5965</v>
      </c>
      <c r="H620" t="s">
        <v>3131</v>
      </c>
      <c r="I620">
        <v>0</v>
      </c>
    </row>
    <row r="621" spans="1:9" x14ac:dyDescent="0.3">
      <c r="A621" t="s">
        <v>3153</v>
      </c>
      <c r="B621" t="s">
        <v>3154</v>
      </c>
      <c r="C621" t="s">
        <v>1215</v>
      </c>
      <c r="D621" t="s">
        <v>1326</v>
      </c>
      <c r="E621" t="s">
        <v>1287</v>
      </c>
      <c r="F621" t="s">
        <v>3155</v>
      </c>
      <c r="G621" t="s">
        <v>5966</v>
      </c>
      <c r="H621" t="s">
        <v>3131</v>
      </c>
      <c r="I621">
        <v>0</v>
      </c>
    </row>
    <row r="622" spans="1:9" x14ac:dyDescent="0.3">
      <c r="A622" t="s">
        <v>3156</v>
      </c>
      <c r="B622" t="s">
        <v>3157</v>
      </c>
      <c r="C622" t="s">
        <v>1215</v>
      </c>
      <c r="D622" t="s">
        <v>1326</v>
      </c>
      <c r="E622" t="s">
        <v>1287</v>
      </c>
      <c r="F622" t="s">
        <v>3158</v>
      </c>
      <c r="G622" t="s">
        <v>5967</v>
      </c>
      <c r="H622">
        <v>0</v>
      </c>
      <c r="I622">
        <v>0</v>
      </c>
    </row>
    <row r="623" spans="1:9" x14ac:dyDescent="0.3">
      <c r="A623" t="s">
        <v>3159</v>
      </c>
      <c r="B623" t="s">
        <v>3160</v>
      </c>
      <c r="C623" t="s">
        <v>1215</v>
      </c>
      <c r="D623" t="s">
        <v>1326</v>
      </c>
      <c r="E623" t="s">
        <v>1287</v>
      </c>
      <c r="F623" t="s">
        <v>3161</v>
      </c>
      <c r="G623" t="s">
        <v>5968</v>
      </c>
      <c r="H623">
        <v>0</v>
      </c>
      <c r="I623">
        <v>0</v>
      </c>
    </row>
    <row r="624" spans="1:9" x14ac:dyDescent="0.3">
      <c r="A624" t="s">
        <v>3162</v>
      </c>
      <c r="B624" t="s">
        <v>3163</v>
      </c>
      <c r="C624" t="s">
        <v>1215</v>
      </c>
      <c r="D624" t="s">
        <v>1326</v>
      </c>
      <c r="E624" t="s">
        <v>1287</v>
      </c>
      <c r="F624" t="s">
        <v>3164</v>
      </c>
      <c r="G624" t="s">
        <v>5969</v>
      </c>
      <c r="H624">
        <v>0</v>
      </c>
      <c r="I624">
        <v>0</v>
      </c>
    </row>
    <row r="625" spans="1:9" x14ac:dyDescent="0.3">
      <c r="A625" t="s">
        <v>3165</v>
      </c>
      <c r="B625" t="s">
        <v>3166</v>
      </c>
      <c r="C625" t="s">
        <v>1215</v>
      </c>
      <c r="D625" t="s">
        <v>1326</v>
      </c>
      <c r="E625" t="s">
        <v>1287</v>
      </c>
      <c r="F625" t="s">
        <v>3167</v>
      </c>
      <c r="G625" t="s">
        <v>5970</v>
      </c>
      <c r="H625">
        <v>0</v>
      </c>
      <c r="I625">
        <v>0</v>
      </c>
    </row>
    <row r="626" spans="1:9" x14ac:dyDescent="0.3">
      <c r="A626" t="s">
        <v>3168</v>
      </c>
      <c r="B626" t="s">
        <v>3169</v>
      </c>
      <c r="C626" t="s">
        <v>1215</v>
      </c>
      <c r="D626" t="s">
        <v>1326</v>
      </c>
      <c r="E626" t="s">
        <v>1287</v>
      </c>
      <c r="F626" t="s">
        <v>3170</v>
      </c>
      <c r="G626" t="s">
        <v>5971</v>
      </c>
      <c r="H626" t="s">
        <v>3131</v>
      </c>
      <c r="I626">
        <v>0</v>
      </c>
    </row>
    <row r="627" spans="1:9" x14ac:dyDescent="0.3">
      <c r="A627" t="s">
        <v>3171</v>
      </c>
      <c r="B627" t="s">
        <v>3172</v>
      </c>
      <c r="C627" t="s">
        <v>1215</v>
      </c>
      <c r="D627" t="s">
        <v>1326</v>
      </c>
      <c r="E627" t="s">
        <v>1287</v>
      </c>
      <c r="F627" t="s">
        <v>3173</v>
      </c>
      <c r="G627" t="s">
        <v>5972</v>
      </c>
      <c r="H627">
        <v>0</v>
      </c>
      <c r="I627">
        <v>0</v>
      </c>
    </row>
    <row r="628" spans="1:9" x14ac:dyDescent="0.3">
      <c r="A628" t="s">
        <v>3174</v>
      </c>
      <c r="B628" t="s">
        <v>3175</v>
      </c>
      <c r="C628" t="s">
        <v>1215</v>
      </c>
      <c r="D628" t="s">
        <v>1326</v>
      </c>
      <c r="E628" t="s">
        <v>1287</v>
      </c>
      <c r="F628" t="s">
        <v>3176</v>
      </c>
      <c r="G628" t="s">
        <v>5973</v>
      </c>
      <c r="H628" t="s">
        <v>1053</v>
      </c>
      <c r="I628" t="s">
        <v>3177</v>
      </c>
    </row>
    <row r="629" spans="1:9" x14ac:dyDescent="0.3">
      <c r="A629" t="s">
        <v>3178</v>
      </c>
      <c r="B629" t="s">
        <v>3179</v>
      </c>
      <c r="C629" t="s">
        <v>1215</v>
      </c>
      <c r="D629" t="s">
        <v>1326</v>
      </c>
      <c r="E629" t="s">
        <v>1287</v>
      </c>
      <c r="F629" t="s">
        <v>3180</v>
      </c>
      <c r="G629" t="s">
        <v>5974</v>
      </c>
      <c r="H629">
        <v>0</v>
      </c>
      <c r="I629">
        <v>0</v>
      </c>
    </row>
    <row r="630" spans="1:9" x14ac:dyDescent="0.3">
      <c r="A630" t="s">
        <v>3181</v>
      </c>
      <c r="B630" t="s">
        <v>3182</v>
      </c>
      <c r="C630" t="s">
        <v>1215</v>
      </c>
      <c r="D630" t="s">
        <v>1326</v>
      </c>
      <c r="E630" t="s">
        <v>1287</v>
      </c>
      <c r="F630" t="s">
        <v>3183</v>
      </c>
      <c r="G630" t="s">
        <v>5975</v>
      </c>
      <c r="H630">
        <v>0</v>
      </c>
      <c r="I630">
        <v>0</v>
      </c>
    </row>
    <row r="631" spans="1:9" x14ac:dyDescent="0.3">
      <c r="A631" t="s">
        <v>3184</v>
      </c>
      <c r="B631" t="s">
        <v>3185</v>
      </c>
      <c r="C631" t="s">
        <v>1215</v>
      </c>
      <c r="D631" t="s">
        <v>1326</v>
      </c>
      <c r="E631" t="s">
        <v>1287</v>
      </c>
      <c r="F631" t="s">
        <v>3186</v>
      </c>
      <c r="G631" t="s">
        <v>5976</v>
      </c>
      <c r="H631" t="s">
        <v>3131</v>
      </c>
      <c r="I631">
        <v>0</v>
      </c>
    </row>
    <row r="632" spans="1:9" x14ac:dyDescent="0.3">
      <c r="A632" t="s">
        <v>3187</v>
      </c>
      <c r="B632" t="s">
        <v>3188</v>
      </c>
      <c r="C632" t="s">
        <v>1215</v>
      </c>
      <c r="D632" t="s">
        <v>1326</v>
      </c>
      <c r="E632" t="s">
        <v>1287</v>
      </c>
      <c r="F632" t="s">
        <v>3189</v>
      </c>
      <c r="G632" t="s">
        <v>5977</v>
      </c>
      <c r="H632">
        <v>0</v>
      </c>
      <c r="I632">
        <v>0</v>
      </c>
    </row>
    <row r="633" spans="1:9" x14ac:dyDescent="0.3">
      <c r="A633" t="s">
        <v>3190</v>
      </c>
      <c r="B633" t="s">
        <v>3191</v>
      </c>
      <c r="C633" t="s">
        <v>1215</v>
      </c>
      <c r="D633" t="s">
        <v>1326</v>
      </c>
      <c r="E633" t="s">
        <v>1287</v>
      </c>
      <c r="F633" t="s">
        <v>3192</v>
      </c>
      <c r="G633" t="s">
        <v>5978</v>
      </c>
      <c r="H633">
        <v>0</v>
      </c>
      <c r="I633">
        <v>0</v>
      </c>
    </row>
    <row r="634" spans="1:9" x14ac:dyDescent="0.3">
      <c r="A634" t="s">
        <v>3193</v>
      </c>
      <c r="B634" t="s">
        <v>3194</v>
      </c>
      <c r="C634" t="s">
        <v>1215</v>
      </c>
      <c r="D634" t="s">
        <v>1326</v>
      </c>
      <c r="E634" t="s">
        <v>1287</v>
      </c>
      <c r="F634" t="s">
        <v>3195</v>
      </c>
      <c r="G634" t="s">
        <v>5979</v>
      </c>
      <c r="H634" t="s">
        <v>454</v>
      </c>
      <c r="I634">
        <v>0</v>
      </c>
    </row>
    <row r="635" spans="1:9" x14ac:dyDescent="0.3">
      <c r="A635" t="s">
        <v>3196</v>
      </c>
      <c r="B635" t="s">
        <v>3197</v>
      </c>
      <c r="C635" t="s">
        <v>1215</v>
      </c>
      <c r="D635" t="s">
        <v>1326</v>
      </c>
      <c r="E635" t="s">
        <v>1287</v>
      </c>
      <c r="F635" t="s">
        <v>3198</v>
      </c>
      <c r="G635" t="s">
        <v>5980</v>
      </c>
      <c r="H635" t="s">
        <v>454</v>
      </c>
      <c r="I635">
        <v>0</v>
      </c>
    </row>
    <row r="636" spans="1:9" x14ac:dyDescent="0.3">
      <c r="A636" t="s">
        <v>3199</v>
      </c>
      <c r="B636" t="s">
        <v>3200</v>
      </c>
      <c r="C636" t="s">
        <v>1215</v>
      </c>
      <c r="D636" t="s">
        <v>1326</v>
      </c>
      <c r="E636" t="s">
        <v>1287</v>
      </c>
      <c r="F636" t="s">
        <v>3176</v>
      </c>
      <c r="G636" t="s">
        <v>5973</v>
      </c>
      <c r="H636" t="s">
        <v>1053</v>
      </c>
      <c r="I636" t="s">
        <v>3177</v>
      </c>
    </row>
    <row r="637" spans="1:9" x14ac:dyDescent="0.3">
      <c r="A637" t="s">
        <v>3201</v>
      </c>
      <c r="B637" t="s">
        <v>3202</v>
      </c>
      <c r="C637" t="s">
        <v>1215</v>
      </c>
      <c r="D637" t="s">
        <v>1326</v>
      </c>
      <c r="E637" t="s">
        <v>1287</v>
      </c>
      <c r="F637" t="s">
        <v>3176</v>
      </c>
      <c r="G637" t="s">
        <v>5973</v>
      </c>
      <c r="H637" t="s">
        <v>1053</v>
      </c>
      <c r="I637" t="s">
        <v>3177</v>
      </c>
    </row>
    <row r="638" spans="1:9" x14ac:dyDescent="0.3">
      <c r="A638" t="s">
        <v>3203</v>
      </c>
      <c r="B638" t="s">
        <v>3204</v>
      </c>
      <c r="C638" t="s">
        <v>1215</v>
      </c>
      <c r="D638" t="s">
        <v>1326</v>
      </c>
      <c r="E638" t="s">
        <v>1287</v>
      </c>
      <c r="F638" t="s">
        <v>3205</v>
      </c>
      <c r="G638" t="s">
        <v>5981</v>
      </c>
      <c r="H638" t="s">
        <v>1053</v>
      </c>
      <c r="I638">
        <v>0</v>
      </c>
    </row>
    <row r="639" spans="1:9" x14ac:dyDescent="0.3">
      <c r="A639" t="s">
        <v>3206</v>
      </c>
      <c r="B639" t="s">
        <v>3207</v>
      </c>
      <c r="C639" t="s">
        <v>1215</v>
      </c>
      <c r="D639" t="s">
        <v>1326</v>
      </c>
      <c r="E639" t="s">
        <v>1287</v>
      </c>
      <c r="F639" t="s">
        <v>3208</v>
      </c>
      <c r="G639" t="s">
        <v>5982</v>
      </c>
      <c r="H639">
        <v>0</v>
      </c>
      <c r="I639">
        <v>0</v>
      </c>
    </row>
    <row r="640" spans="1:9" x14ac:dyDescent="0.3">
      <c r="A640" t="s">
        <v>3209</v>
      </c>
      <c r="B640" t="s">
        <v>3210</v>
      </c>
      <c r="C640" t="s">
        <v>1215</v>
      </c>
      <c r="D640" t="s">
        <v>1326</v>
      </c>
      <c r="E640" t="s">
        <v>1287</v>
      </c>
      <c r="F640" t="s">
        <v>3211</v>
      </c>
      <c r="G640" t="s">
        <v>5983</v>
      </c>
      <c r="H640">
        <v>0</v>
      </c>
      <c r="I640">
        <v>0</v>
      </c>
    </row>
    <row r="641" spans="1:9" x14ac:dyDescent="0.3">
      <c r="A641" t="s">
        <v>3212</v>
      </c>
      <c r="B641" t="s">
        <v>3213</v>
      </c>
      <c r="C641" t="s">
        <v>1215</v>
      </c>
      <c r="D641" t="s">
        <v>1326</v>
      </c>
      <c r="E641" t="s">
        <v>1287</v>
      </c>
      <c r="F641" t="s">
        <v>3214</v>
      </c>
      <c r="G641" t="s">
        <v>5984</v>
      </c>
      <c r="H641" t="s">
        <v>1053</v>
      </c>
      <c r="I641">
        <v>0</v>
      </c>
    </row>
    <row r="642" spans="1:9" x14ac:dyDescent="0.3">
      <c r="A642" t="s">
        <v>3215</v>
      </c>
      <c r="B642" t="s">
        <v>3216</v>
      </c>
      <c r="C642" t="s">
        <v>1215</v>
      </c>
      <c r="D642" t="s">
        <v>1326</v>
      </c>
      <c r="E642" t="s">
        <v>1287</v>
      </c>
      <c r="F642" t="s">
        <v>3217</v>
      </c>
      <c r="G642" t="s">
        <v>5985</v>
      </c>
      <c r="H642" t="s">
        <v>427</v>
      </c>
      <c r="I642">
        <v>0</v>
      </c>
    </row>
    <row r="643" spans="1:9" x14ac:dyDescent="0.3">
      <c r="A643" t="s">
        <v>3218</v>
      </c>
      <c r="B643" t="s">
        <v>3219</v>
      </c>
      <c r="C643" t="s">
        <v>1215</v>
      </c>
      <c r="D643" t="s">
        <v>1326</v>
      </c>
      <c r="E643" t="s">
        <v>1287</v>
      </c>
      <c r="F643" t="s">
        <v>3220</v>
      </c>
      <c r="G643" t="s">
        <v>5986</v>
      </c>
      <c r="H643" t="s">
        <v>446</v>
      </c>
      <c r="I643">
        <v>0</v>
      </c>
    </row>
    <row r="644" spans="1:9" x14ac:dyDescent="0.3">
      <c r="A644" t="s">
        <v>3221</v>
      </c>
      <c r="B644" t="s">
        <v>3222</v>
      </c>
      <c r="C644" t="s">
        <v>1215</v>
      </c>
      <c r="D644" t="s">
        <v>1326</v>
      </c>
      <c r="E644" t="s">
        <v>1287</v>
      </c>
      <c r="F644" t="s">
        <v>3223</v>
      </c>
      <c r="G644" t="s">
        <v>5987</v>
      </c>
      <c r="H644" t="s">
        <v>446</v>
      </c>
      <c r="I644">
        <v>0</v>
      </c>
    </row>
    <row r="645" spans="1:9" x14ac:dyDescent="0.3">
      <c r="A645" t="s">
        <v>3224</v>
      </c>
      <c r="B645" t="s">
        <v>3225</v>
      </c>
      <c r="C645" t="s">
        <v>1215</v>
      </c>
      <c r="D645" t="s">
        <v>1326</v>
      </c>
      <c r="E645" t="s">
        <v>1287</v>
      </c>
      <c r="F645" t="s">
        <v>3226</v>
      </c>
      <c r="G645" t="s">
        <v>5988</v>
      </c>
      <c r="H645">
        <v>0</v>
      </c>
      <c r="I645">
        <v>0</v>
      </c>
    </row>
    <row r="646" spans="1:9" x14ac:dyDescent="0.3">
      <c r="A646" t="s">
        <v>3227</v>
      </c>
      <c r="B646" t="s">
        <v>3228</v>
      </c>
      <c r="C646" t="s">
        <v>1215</v>
      </c>
      <c r="D646" t="s">
        <v>1326</v>
      </c>
      <c r="E646" t="s">
        <v>1287</v>
      </c>
      <c r="F646" t="s">
        <v>3229</v>
      </c>
      <c r="G646" t="s">
        <v>5989</v>
      </c>
      <c r="H646">
        <v>0</v>
      </c>
      <c r="I646">
        <v>0</v>
      </c>
    </row>
    <row r="647" spans="1:9" x14ac:dyDescent="0.3">
      <c r="A647" t="s">
        <v>3230</v>
      </c>
      <c r="B647" t="s">
        <v>3231</v>
      </c>
      <c r="C647" t="s">
        <v>1215</v>
      </c>
      <c r="D647" t="s">
        <v>1326</v>
      </c>
      <c r="E647" t="s">
        <v>1287</v>
      </c>
      <c r="F647" t="s">
        <v>3232</v>
      </c>
      <c r="G647" t="s">
        <v>5990</v>
      </c>
      <c r="H647" t="s">
        <v>446</v>
      </c>
      <c r="I647">
        <v>0</v>
      </c>
    </row>
    <row r="648" spans="1:9" x14ac:dyDescent="0.3">
      <c r="A648" t="s">
        <v>3233</v>
      </c>
      <c r="B648" t="s">
        <v>3234</v>
      </c>
      <c r="C648" t="s">
        <v>1215</v>
      </c>
      <c r="D648" t="s">
        <v>1326</v>
      </c>
      <c r="E648" t="s">
        <v>1287</v>
      </c>
      <c r="F648" t="s">
        <v>3235</v>
      </c>
      <c r="G648" t="s">
        <v>5991</v>
      </c>
      <c r="H648" t="s">
        <v>82</v>
      </c>
      <c r="I648">
        <v>0</v>
      </c>
    </row>
    <row r="649" spans="1:9" x14ac:dyDescent="0.3">
      <c r="A649" t="s">
        <v>3236</v>
      </c>
      <c r="B649" t="s">
        <v>3237</v>
      </c>
      <c r="C649" t="s">
        <v>3238</v>
      </c>
      <c r="D649" t="s">
        <v>1505</v>
      </c>
      <c r="E649" t="s">
        <v>1236</v>
      </c>
      <c r="F649" t="s">
        <v>3239</v>
      </c>
      <c r="G649" t="s">
        <v>5992</v>
      </c>
      <c r="H649">
        <v>0</v>
      </c>
      <c r="I649">
        <v>0</v>
      </c>
    </row>
    <row r="650" spans="1:9" x14ac:dyDescent="0.3">
      <c r="A650" t="s">
        <v>3240</v>
      </c>
      <c r="B650" t="s">
        <v>3241</v>
      </c>
      <c r="C650" t="s">
        <v>3238</v>
      </c>
      <c r="D650" t="s">
        <v>1505</v>
      </c>
      <c r="E650" t="s">
        <v>1236</v>
      </c>
      <c r="F650" t="s">
        <v>3242</v>
      </c>
      <c r="G650" t="s">
        <v>5993</v>
      </c>
      <c r="H650">
        <v>0</v>
      </c>
      <c r="I650">
        <v>0</v>
      </c>
    </row>
    <row r="651" spans="1:9" x14ac:dyDescent="0.3">
      <c r="A651" t="s">
        <v>3243</v>
      </c>
      <c r="B651" t="s">
        <v>3244</v>
      </c>
      <c r="C651" t="s">
        <v>3238</v>
      </c>
      <c r="D651" t="s">
        <v>1505</v>
      </c>
      <c r="E651" t="s">
        <v>1236</v>
      </c>
      <c r="F651" t="s">
        <v>3245</v>
      </c>
      <c r="G651" t="s">
        <v>5994</v>
      </c>
      <c r="H651">
        <v>0</v>
      </c>
      <c r="I651">
        <v>0</v>
      </c>
    </row>
    <row r="652" spans="1:9" x14ac:dyDescent="0.3">
      <c r="A652" t="s">
        <v>3246</v>
      </c>
      <c r="B652" t="s">
        <v>3247</v>
      </c>
      <c r="C652" t="s">
        <v>3238</v>
      </c>
      <c r="D652" t="s">
        <v>1505</v>
      </c>
      <c r="E652" t="s">
        <v>1236</v>
      </c>
      <c r="F652" t="s">
        <v>3248</v>
      </c>
      <c r="G652" t="s">
        <v>5995</v>
      </c>
      <c r="H652">
        <v>0</v>
      </c>
      <c r="I652">
        <v>0</v>
      </c>
    </row>
    <row r="653" spans="1:9" x14ac:dyDescent="0.3">
      <c r="A653" t="s">
        <v>3249</v>
      </c>
      <c r="B653" t="s">
        <v>3250</v>
      </c>
      <c r="C653" t="s">
        <v>3238</v>
      </c>
      <c r="D653" t="s">
        <v>1505</v>
      </c>
      <c r="E653" t="s">
        <v>1236</v>
      </c>
      <c r="F653" t="s">
        <v>3251</v>
      </c>
      <c r="G653" t="s">
        <v>5996</v>
      </c>
      <c r="H653">
        <v>0</v>
      </c>
      <c r="I653">
        <v>0</v>
      </c>
    </row>
    <row r="654" spans="1:9" x14ac:dyDescent="0.3">
      <c r="A654" t="s">
        <v>3252</v>
      </c>
      <c r="B654" t="s">
        <v>3253</v>
      </c>
      <c r="C654" t="s">
        <v>3238</v>
      </c>
      <c r="D654" t="s">
        <v>1505</v>
      </c>
      <c r="E654" t="s">
        <v>1236</v>
      </c>
      <c r="F654" t="s">
        <v>3254</v>
      </c>
      <c r="G654" t="s">
        <v>5997</v>
      </c>
      <c r="H654">
        <v>0</v>
      </c>
      <c r="I654">
        <v>0</v>
      </c>
    </row>
    <row r="655" spans="1:9" x14ac:dyDescent="0.3">
      <c r="A655" t="s">
        <v>3255</v>
      </c>
      <c r="B655" t="s">
        <v>3256</v>
      </c>
      <c r="C655" t="s">
        <v>3238</v>
      </c>
      <c r="D655" t="s">
        <v>1505</v>
      </c>
      <c r="E655" t="s">
        <v>1236</v>
      </c>
      <c r="F655" t="s">
        <v>3257</v>
      </c>
      <c r="G655" t="s">
        <v>5998</v>
      </c>
      <c r="H655">
        <v>0</v>
      </c>
      <c r="I655">
        <v>0</v>
      </c>
    </row>
    <row r="656" spans="1:9" x14ac:dyDescent="0.3">
      <c r="A656" t="s">
        <v>3258</v>
      </c>
      <c r="B656" t="s">
        <v>3259</v>
      </c>
      <c r="C656" t="s">
        <v>3238</v>
      </c>
      <c r="D656" t="s">
        <v>1505</v>
      </c>
      <c r="E656" t="s">
        <v>1236</v>
      </c>
      <c r="F656" t="s">
        <v>3260</v>
      </c>
      <c r="G656" t="s">
        <v>5999</v>
      </c>
      <c r="H656" t="s">
        <v>72</v>
      </c>
      <c r="I656">
        <v>0</v>
      </c>
    </row>
    <row r="657" spans="1:9" x14ac:dyDescent="0.3">
      <c r="A657" t="s">
        <v>3261</v>
      </c>
      <c r="B657" t="s">
        <v>3262</v>
      </c>
      <c r="C657" t="s">
        <v>3238</v>
      </c>
      <c r="D657" t="s">
        <v>1505</v>
      </c>
      <c r="E657" t="s">
        <v>1236</v>
      </c>
      <c r="F657" t="s">
        <v>3263</v>
      </c>
      <c r="G657" t="s">
        <v>6000</v>
      </c>
      <c r="H657">
        <v>0</v>
      </c>
      <c r="I657">
        <v>0</v>
      </c>
    </row>
    <row r="658" spans="1:9" x14ac:dyDescent="0.3">
      <c r="A658" t="s">
        <v>3264</v>
      </c>
      <c r="B658" t="s">
        <v>3265</v>
      </c>
      <c r="C658" t="s">
        <v>3238</v>
      </c>
      <c r="D658" t="s">
        <v>1505</v>
      </c>
      <c r="E658" t="s">
        <v>1236</v>
      </c>
      <c r="F658" t="s">
        <v>3266</v>
      </c>
      <c r="G658" t="s">
        <v>6001</v>
      </c>
      <c r="H658">
        <v>0</v>
      </c>
      <c r="I658">
        <v>0</v>
      </c>
    </row>
    <row r="659" spans="1:9" x14ac:dyDescent="0.3">
      <c r="A659" t="s">
        <v>3267</v>
      </c>
      <c r="B659" t="s">
        <v>3268</v>
      </c>
      <c r="C659" t="s">
        <v>3238</v>
      </c>
      <c r="D659" t="s">
        <v>1505</v>
      </c>
      <c r="E659" t="s">
        <v>1236</v>
      </c>
      <c r="F659" t="s">
        <v>3269</v>
      </c>
      <c r="G659" t="s">
        <v>6002</v>
      </c>
      <c r="H659">
        <v>0</v>
      </c>
      <c r="I659">
        <v>0</v>
      </c>
    </row>
    <row r="660" spans="1:9" x14ac:dyDescent="0.3">
      <c r="A660" t="s">
        <v>3270</v>
      </c>
      <c r="B660" t="s">
        <v>3271</v>
      </c>
      <c r="C660" t="s">
        <v>3238</v>
      </c>
      <c r="D660" t="s">
        <v>1505</v>
      </c>
      <c r="E660" t="s">
        <v>1236</v>
      </c>
      <c r="F660" t="s">
        <v>3272</v>
      </c>
      <c r="G660" t="s">
        <v>6003</v>
      </c>
      <c r="H660">
        <v>0</v>
      </c>
      <c r="I660">
        <v>0</v>
      </c>
    </row>
    <row r="661" spans="1:9" x14ac:dyDescent="0.3">
      <c r="A661" t="s">
        <v>3273</v>
      </c>
      <c r="B661" t="s">
        <v>3274</v>
      </c>
      <c r="C661" t="s">
        <v>3238</v>
      </c>
      <c r="D661" t="s">
        <v>1505</v>
      </c>
      <c r="E661" t="s">
        <v>1236</v>
      </c>
      <c r="F661" t="s">
        <v>3275</v>
      </c>
      <c r="G661" t="s">
        <v>6004</v>
      </c>
      <c r="H661" t="s">
        <v>475</v>
      </c>
      <c r="I661">
        <v>0</v>
      </c>
    </row>
    <row r="662" spans="1:9" x14ac:dyDescent="0.3">
      <c r="A662" t="s">
        <v>3276</v>
      </c>
      <c r="B662" t="s">
        <v>3277</v>
      </c>
      <c r="C662" t="s">
        <v>3238</v>
      </c>
      <c r="D662" t="s">
        <v>1505</v>
      </c>
      <c r="E662" t="s">
        <v>1236</v>
      </c>
      <c r="F662" t="s">
        <v>3278</v>
      </c>
      <c r="G662" t="s">
        <v>6005</v>
      </c>
      <c r="H662">
        <v>0</v>
      </c>
      <c r="I662">
        <v>0</v>
      </c>
    </row>
    <row r="663" spans="1:9" x14ac:dyDescent="0.3">
      <c r="A663" t="s">
        <v>3279</v>
      </c>
      <c r="B663" t="s">
        <v>3280</v>
      </c>
      <c r="C663" t="s">
        <v>3238</v>
      </c>
      <c r="D663" t="s">
        <v>1505</v>
      </c>
      <c r="E663" t="s">
        <v>1236</v>
      </c>
      <c r="F663" t="s">
        <v>3281</v>
      </c>
      <c r="G663" t="s">
        <v>6006</v>
      </c>
      <c r="H663">
        <v>0</v>
      </c>
      <c r="I663">
        <v>0</v>
      </c>
    </row>
    <row r="664" spans="1:9" x14ac:dyDescent="0.3">
      <c r="A664" t="s">
        <v>3282</v>
      </c>
      <c r="B664" t="s">
        <v>3283</v>
      </c>
      <c r="C664" t="s">
        <v>3238</v>
      </c>
      <c r="D664" t="s">
        <v>1505</v>
      </c>
      <c r="E664" t="s">
        <v>1236</v>
      </c>
      <c r="F664" t="s">
        <v>3284</v>
      </c>
      <c r="G664" t="s">
        <v>6007</v>
      </c>
      <c r="H664">
        <v>0</v>
      </c>
      <c r="I664">
        <v>0</v>
      </c>
    </row>
    <row r="665" spans="1:9" x14ac:dyDescent="0.3">
      <c r="A665" t="s">
        <v>3285</v>
      </c>
      <c r="B665" t="s">
        <v>3286</v>
      </c>
      <c r="C665" t="s">
        <v>3238</v>
      </c>
      <c r="D665" t="s">
        <v>1505</v>
      </c>
      <c r="E665" t="s">
        <v>1236</v>
      </c>
      <c r="F665" t="s">
        <v>3287</v>
      </c>
      <c r="G665" t="s">
        <v>6008</v>
      </c>
      <c r="H665">
        <v>0</v>
      </c>
      <c r="I665">
        <v>0</v>
      </c>
    </row>
    <row r="666" spans="1:9" x14ac:dyDescent="0.3">
      <c r="A666" t="s">
        <v>3288</v>
      </c>
      <c r="B666" t="s">
        <v>3289</v>
      </c>
      <c r="C666" t="s">
        <v>3238</v>
      </c>
      <c r="D666" t="s">
        <v>1505</v>
      </c>
      <c r="E666" t="s">
        <v>1236</v>
      </c>
      <c r="F666" t="s">
        <v>3290</v>
      </c>
      <c r="G666" t="s">
        <v>6009</v>
      </c>
      <c r="H666">
        <v>0</v>
      </c>
      <c r="I666">
        <v>0</v>
      </c>
    </row>
    <row r="667" spans="1:9" x14ac:dyDescent="0.3">
      <c r="A667" t="s">
        <v>3291</v>
      </c>
      <c r="B667" t="s">
        <v>3292</v>
      </c>
      <c r="C667" t="s">
        <v>3238</v>
      </c>
      <c r="D667" t="s">
        <v>1505</v>
      </c>
      <c r="E667" t="s">
        <v>1236</v>
      </c>
      <c r="F667" t="s">
        <v>3293</v>
      </c>
      <c r="G667" t="s">
        <v>6010</v>
      </c>
      <c r="H667">
        <v>0</v>
      </c>
      <c r="I667">
        <v>0</v>
      </c>
    </row>
    <row r="668" spans="1:9" x14ac:dyDescent="0.3">
      <c r="A668" t="s">
        <v>3294</v>
      </c>
      <c r="B668" t="s">
        <v>3295</v>
      </c>
      <c r="C668" t="s">
        <v>3238</v>
      </c>
      <c r="D668" t="s">
        <v>1505</v>
      </c>
      <c r="E668" t="s">
        <v>1236</v>
      </c>
      <c r="F668" t="s">
        <v>3296</v>
      </c>
      <c r="G668" t="s">
        <v>6011</v>
      </c>
      <c r="H668">
        <v>0</v>
      </c>
      <c r="I668">
        <v>0</v>
      </c>
    </row>
    <row r="669" spans="1:9" x14ac:dyDescent="0.3">
      <c r="A669" t="s">
        <v>3297</v>
      </c>
      <c r="B669" t="s">
        <v>3298</v>
      </c>
      <c r="C669" t="s">
        <v>3238</v>
      </c>
      <c r="D669" t="s">
        <v>1505</v>
      </c>
      <c r="E669" t="s">
        <v>1236</v>
      </c>
      <c r="F669" t="s">
        <v>3299</v>
      </c>
      <c r="G669" t="s">
        <v>6012</v>
      </c>
      <c r="H669">
        <v>0</v>
      </c>
      <c r="I669">
        <v>0</v>
      </c>
    </row>
    <row r="670" spans="1:9" x14ac:dyDescent="0.3">
      <c r="A670" t="s">
        <v>3300</v>
      </c>
      <c r="B670" t="s">
        <v>3301</v>
      </c>
      <c r="C670" t="s">
        <v>3238</v>
      </c>
      <c r="D670" t="s">
        <v>1505</v>
      </c>
      <c r="E670" t="s">
        <v>1236</v>
      </c>
      <c r="F670" t="s">
        <v>3302</v>
      </c>
      <c r="G670" t="s">
        <v>6013</v>
      </c>
      <c r="H670">
        <v>0</v>
      </c>
      <c r="I670">
        <v>0</v>
      </c>
    </row>
    <row r="671" spans="1:9" x14ac:dyDescent="0.3">
      <c r="A671" t="s">
        <v>3303</v>
      </c>
      <c r="B671" t="s">
        <v>3304</v>
      </c>
      <c r="C671" t="s">
        <v>3238</v>
      </c>
      <c r="D671" t="s">
        <v>1505</v>
      </c>
      <c r="E671" t="s">
        <v>1236</v>
      </c>
      <c r="F671" t="s">
        <v>3305</v>
      </c>
      <c r="G671" t="s">
        <v>6014</v>
      </c>
      <c r="H671" t="s">
        <v>3306</v>
      </c>
      <c r="I671">
        <v>0</v>
      </c>
    </row>
    <row r="672" spans="1:9" x14ac:dyDescent="0.3">
      <c r="A672" t="s">
        <v>3307</v>
      </c>
      <c r="B672" t="s">
        <v>3308</v>
      </c>
      <c r="C672" t="s">
        <v>3238</v>
      </c>
      <c r="D672" t="s">
        <v>1505</v>
      </c>
      <c r="E672" t="s">
        <v>1236</v>
      </c>
      <c r="F672" t="s">
        <v>3309</v>
      </c>
      <c r="G672" t="s">
        <v>6015</v>
      </c>
      <c r="H672">
        <v>0</v>
      </c>
      <c r="I672">
        <v>0</v>
      </c>
    </row>
    <row r="673" spans="1:9" x14ac:dyDescent="0.3">
      <c r="A673" t="s">
        <v>3310</v>
      </c>
      <c r="B673" t="s">
        <v>3311</v>
      </c>
      <c r="C673" t="s">
        <v>3238</v>
      </c>
      <c r="D673" t="s">
        <v>1505</v>
      </c>
      <c r="E673" t="s">
        <v>1236</v>
      </c>
      <c r="F673" t="s">
        <v>3312</v>
      </c>
      <c r="G673" t="s">
        <v>6016</v>
      </c>
      <c r="H673" t="s">
        <v>1055</v>
      </c>
      <c r="I673">
        <v>0</v>
      </c>
    </row>
    <row r="674" spans="1:9" x14ac:dyDescent="0.3">
      <c r="A674" t="s">
        <v>3313</v>
      </c>
      <c r="B674" t="s">
        <v>3314</v>
      </c>
      <c r="C674" t="s">
        <v>3238</v>
      </c>
      <c r="D674" t="s">
        <v>1505</v>
      </c>
      <c r="E674" t="s">
        <v>1236</v>
      </c>
      <c r="F674" t="s">
        <v>3315</v>
      </c>
      <c r="G674" t="s">
        <v>6017</v>
      </c>
      <c r="H674" t="s">
        <v>3306</v>
      </c>
      <c r="I674">
        <v>0</v>
      </c>
    </row>
    <row r="675" spans="1:9" x14ac:dyDescent="0.3">
      <c r="A675" t="s">
        <v>3316</v>
      </c>
      <c r="B675" t="s">
        <v>3317</v>
      </c>
      <c r="C675" t="s">
        <v>3238</v>
      </c>
      <c r="D675" t="s">
        <v>1505</v>
      </c>
      <c r="E675" t="s">
        <v>1236</v>
      </c>
      <c r="F675" t="s">
        <v>3318</v>
      </c>
      <c r="G675" t="s">
        <v>6018</v>
      </c>
      <c r="H675">
        <v>0</v>
      </c>
      <c r="I675">
        <v>0</v>
      </c>
    </row>
    <row r="676" spans="1:9" x14ac:dyDescent="0.3">
      <c r="A676" t="s">
        <v>3319</v>
      </c>
      <c r="B676" t="s">
        <v>3320</v>
      </c>
      <c r="C676" t="s">
        <v>3238</v>
      </c>
      <c r="D676" t="s">
        <v>1505</v>
      </c>
      <c r="E676" t="s">
        <v>1236</v>
      </c>
      <c r="F676" t="s">
        <v>3321</v>
      </c>
      <c r="G676" t="s">
        <v>6019</v>
      </c>
      <c r="H676">
        <v>0</v>
      </c>
      <c r="I676">
        <v>0</v>
      </c>
    </row>
    <row r="677" spans="1:9" x14ac:dyDescent="0.3">
      <c r="A677" t="s">
        <v>3322</v>
      </c>
      <c r="B677" t="s">
        <v>3323</v>
      </c>
      <c r="C677" t="s">
        <v>3238</v>
      </c>
      <c r="D677" t="s">
        <v>1505</v>
      </c>
      <c r="E677" t="s">
        <v>1236</v>
      </c>
      <c r="F677" t="s">
        <v>3324</v>
      </c>
      <c r="G677" t="s">
        <v>6020</v>
      </c>
      <c r="H677" t="s">
        <v>1055</v>
      </c>
      <c r="I677">
        <v>0</v>
      </c>
    </row>
    <row r="678" spans="1:9" x14ac:dyDescent="0.3">
      <c r="A678" t="s">
        <v>3325</v>
      </c>
      <c r="B678" t="s">
        <v>3326</v>
      </c>
      <c r="C678" t="s">
        <v>3238</v>
      </c>
      <c r="D678" t="s">
        <v>1505</v>
      </c>
      <c r="E678" t="s">
        <v>1236</v>
      </c>
      <c r="F678" t="s">
        <v>3327</v>
      </c>
      <c r="G678" t="s">
        <v>6021</v>
      </c>
      <c r="H678" t="s">
        <v>475</v>
      </c>
      <c r="I678">
        <v>0</v>
      </c>
    </row>
    <row r="679" spans="1:9" x14ac:dyDescent="0.3">
      <c r="A679" t="s">
        <v>3328</v>
      </c>
      <c r="B679" t="s">
        <v>3329</v>
      </c>
      <c r="C679" t="s">
        <v>3238</v>
      </c>
      <c r="D679" t="s">
        <v>1505</v>
      </c>
      <c r="E679" t="s">
        <v>1236</v>
      </c>
      <c r="F679" t="s">
        <v>3330</v>
      </c>
      <c r="G679" t="s">
        <v>6022</v>
      </c>
      <c r="H679" t="s">
        <v>475</v>
      </c>
      <c r="I679">
        <v>0</v>
      </c>
    </row>
    <row r="680" spans="1:9" x14ac:dyDescent="0.3">
      <c r="A680" t="s">
        <v>3331</v>
      </c>
      <c r="B680" t="s">
        <v>3332</v>
      </c>
      <c r="C680" t="s">
        <v>3238</v>
      </c>
      <c r="D680" t="s">
        <v>1505</v>
      </c>
      <c r="E680" t="s">
        <v>1236</v>
      </c>
      <c r="F680" t="s">
        <v>3333</v>
      </c>
      <c r="G680" t="s">
        <v>6023</v>
      </c>
      <c r="H680">
        <v>0</v>
      </c>
      <c r="I680">
        <v>0</v>
      </c>
    </row>
    <row r="681" spans="1:9" x14ac:dyDescent="0.3">
      <c r="A681" t="s">
        <v>3334</v>
      </c>
      <c r="B681" t="s">
        <v>3335</v>
      </c>
      <c r="C681" t="s">
        <v>3238</v>
      </c>
      <c r="D681" t="s">
        <v>1505</v>
      </c>
      <c r="E681" t="s">
        <v>1236</v>
      </c>
      <c r="F681" t="s">
        <v>3336</v>
      </c>
      <c r="G681" t="s">
        <v>6024</v>
      </c>
      <c r="H681">
        <v>0</v>
      </c>
      <c r="I681">
        <v>0</v>
      </c>
    </row>
    <row r="682" spans="1:9" x14ac:dyDescent="0.3">
      <c r="A682" t="s">
        <v>3337</v>
      </c>
      <c r="B682" t="s">
        <v>3338</v>
      </c>
      <c r="C682" t="s">
        <v>3238</v>
      </c>
      <c r="D682" t="s">
        <v>1505</v>
      </c>
      <c r="E682" t="s">
        <v>1236</v>
      </c>
      <c r="F682" t="s">
        <v>3339</v>
      </c>
      <c r="G682" t="s">
        <v>6025</v>
      </c>
      <c r="H682" t="s">
        <v>475</v>
      </c>
      <c r="I682">
        <v>0</v>
      </c>
    </row>
    <row r="683" spans="1:9" x14ac:dyDescent="0.3">
      <c r="A683" t="s">
        <v>3340</v>
      </c>
      <c r="B683" t="s">
        <v>3341</v>
      </c>
      <c r="C683" t="s">
        <v>3238</v>
      </c>
      <c r="D683" t="s">
        <v>1505</v>
      </c>
      <c r="E683" t="s">
        <v>1236</v>
      </c>
      <c r="F683" t="s">
        <v>3342</v>
      </c>
      <c r="G683" t="s">
        <v>6026</v>
      </c>
      <c r="H683" t="s">
        <v>1055</v>
      </c>
      <c r="I683">
        <v>0</v>
      </c>
    </row>
    <row r="684" spans="1:9" x14ac:dyDescent="0.3">
      <c r="A684" t="s">
        <v>3343</v>
      </c>
      <c r="B684" t="s">
        <v>3344</v>
      </c>
      <c r="C684" t="s">
        <v>3238</v>
      </c>
      <c r="D684" t="s">
        <v>1505</v>
      </c>
      <c r="E684" t="s">
        <v>1236</v>
      </c>
      <c r="F684" t="s">
        <v>3345</v>
      </c>
      <c r="G684" t="s">
        <v>6027</v>
      </c>
      <c r="H684" t="s">
        <v>475</v>
      </c>
      <c r="I684">
        <v>0</v>
      </c>
    </row>
    <row r="685" spans="1:9" x14ac:dyDescent="0.3">
      <c r="A685" t="s">
        <v>3346</v>
      </c>
      <c r="B685" t="s">
        <v>3347</v>
      </c>
      <c r="C685" t="s">
        <v>3238</v>
      </c>
      <c r="D685" t="s">
        <v>1505</v>
      </c>
      <c r="E685" t="s">
        <v>1236</v>
      </c>
      <c r="F685" t="s">
        <v>3348</v>
      </c>
      <c r="G685" t="s">
        <v>6028</v>
      </c>
      <c r="H685">
        <v>0</v>
      </c>
      <c r="I685">
        <v>0</v>
      </c>
    </row>
    <row r="686" spans="1:9" x14ac:dyDescent="0.3">
      <c r="A686" t="s">
        <v>3349</v>
      </c>
      <c r="B686" t="s">
        <v>3350</v>
      </c>
      <c r="C686" t="s">
        <v>3238</v>
      </c>
      <c r="D686" t="s">
        <v>1505</v>
      </c>
      <c r="E686" t="s">
        <v>1236</v>
      </c>
      <c r="F686" t="s">
        <v>3351</v>
      </c>
      <c r="G686" t="s">
        <v>6029</v>
      </c>
      <c r="H686">
        <v>0</v>
      </c>
      <c r="I686" t="s">
        <v>3352</v>
      </c>
    </row>
    <row r="687" spans="1:9" x14ac:dyDescent="0.3">
      <c r="A687" t="s">
        <v>3353</v>
      </c>
      <c r="B687" t="s">
        <v>3354</v>
      </c>
      <c r="C687" t="s">
        <v>3238</v>
      </c>
      <c r="D687" t="s">
        <v>1505</v>
      </c>
      <c r="E687" t="s">
        <v>1236</v>
      </c>
      <c r="F687" t="s">
        <v>3355</v>
      </c>
      <c r="G687" t="s">
        <v>6030</v>
      </c>
      <c r="H687">
        <v>0</v>
      </c>
      <c r="I687">
        <v>0</v>
      </c>
    </row>
    <row r="688" spans="1:9" x14ac:dyDescent="0.3">
      <c r="A688" t="s">
        <v>3356</v>
      </c>
      <c r="B688" t="s">
        <v>3357</v>
      </c>
      <c r="C688" t="s">
        <v>3238</v>
      </c>
      <c r="D688" t="s">
        <v>1505</v>
      </c>
      <c r="E688" t="s">
        <v>1236</v>
      </c>
      <c r="F688" t="s">
        <v>3358</v>
      </c>
      <c r="G688" t="s">
        <v>6031</v>
      </c>
      <c r="H688">
        <v>0</v>
      </c>
      <c r="I688">
        <v>0</v>
      </c>
    </row>
    <row r="689" spans="1:9" x14ac:dyDescent="0.3">
      <c r="A689" t="s">
        <v>3359</v>
      </c>
      <c r="B689" t="s">
        <v>3360</v>
      </c>
      <c r="C689" t="s">
        <v>3238</v>
      </c>
      <c r="D689" t="s">
        <v>1505</v>
      </c>
      <c r="E689" t="s">
        <v>1236</v>
      </c>
      <c r="F689" t="s">
        <v>3361</v>
      </c>
      <c r="G689" t="s">
        <v>6032</v>
      </c>
      <c r="H689" t="s">
        <v>3306</v>
      </c>
      <c r="I689">
        <v>0</v>
      </c>
    </row>
    <row r="690" spans="1:9" x14ac:dyDescent="0.3">
      <c r="A690" t="s">
        <v>3362</v>
      </c>
      <c r="B690" t="s">
        <v>3363</v>
      </c>
      <c r="C690" t="s">
        <v>3238</v>
      </c>
      <c r="D690" t="s">
        <v>1505</v>
      </c>
      <c r="E690" t="s">
        <v>1236</v>
      </c>
      <c r="F690" t="s">
        <v>3364</v>
      </c>
      <c r="G690" t="s">
        <v>6033</v>
      </c>
      <c r="H690" t="s">
        <v>3306</v>
      </c>
      <c r="I690">
        <v>0</v>
      </c>
    </row>
    <row r="691" spans="1:9" x14ac:dyDescent="0.3">
      <c r="A691" t="s">
        <v>3365</v>
      </c>
      <c r="B691" t="s">
        <v>3366</v>
      </c>
      <c r="C691" t="s">
        <v>3238</v>
      </c>
      <c r="D691" t="s">
        <v>1505</v>
      </c>
      <c r="E691" t="s">
        <v>1236</v>
      </c>
      <c r="F691" t="s">
        <v>3367</v>
      </c>
      <c r="G691" t="s">
        <v>6034</v>
      </c>
      <c r="H691">
        <v>0</v>
      </c>
      <c r="I691">
        <v>0</v>
      </c>
    </row>
    <row r="692" spans="1:9" x14ac:dyDescent="0.3">
      <c r="A692" t="s">
        <v>3368</v>
      </c>
      <c r="B692" t="s">
        <v>3369</v>
      </c>
      <c r="C692" t="s">
        <v>3238</v>
      </c>
      <c r="D692" t="s">
        <v>1505</v>
      </c>
      <c r="E692" t="s">
        <v>1236</v>
      </c>
      <c r="F692" t="s">
        <v>3370</v>
      </c>
      <c r="G692" t="s">
        <v>6035</v>
      </c>
      <c r="H692">
        <v>0</v>
      </c>
      <c r="I692">
        <v>0</v>
      </c>
    </row>
    <row r="693" spans="1:9" x14ac:dyDescent="0.3">
      <c r="A693" t="s">
        <v>3371</v>
      </c>
      <c r="B693" t="s">
        <v>3372</v>
      </c>
      <c r="C693" t="s">
        <v>3238</v>
      </c>
      <c r="D693" t="s">
        <v>1505</v>
      </c>
      <c r="E693" t="s">
        <v>1236</v>
      </c>
      <c r="F693" t="s">
        <v>3373</v>
      </c>
      <c r="G693" t="s">
        <v>6036</v>
      </c>
      <c r="H693">
        <v>0</v>
      </c>
      <c r="I693">
        <v>0</v>
      </c>
    </row>
    <row r="694" spans="1:9" x14ac:dyDescent="0.3">
      <c r="A694" t="s">
        <v>3374</v>
      </c>
      <c r="B694" t="s">
        <v>3375</v>
      </c>
      <c r="C694" t="s">
        <v>3238</v>
      </c>
      <c r="D694" t="s">
        <v>1505</v>
      </c>
      <c r="E694" t="s">
        <v>1236</v>
      </c>
      <c r="F694" t="s">
        <v>3376</v>
      </c>
      <c r="G694" t="s">
        <v>6037</v>
      </c>
      <c r="H694">
        <v>0</v>
      </c>
      <c r="I694">
        <v>0</v>
      </c>
    </row>
    <row r="695" spans="1:9" x14ac:dyDescent="0.3">
      <c r="A695" t="s">
        <v>3377</v>
      </c>
      <c r="B695" t="s">
        <v>3378</v>
      </c>
      <c r="C695" t="s">
        <v>3238</v>
      </c>
      <c r="D695" t="s">
        <v>1505</v>
      </c>
      <c r="E695" t="s">
        <v>1236</v>
      </c>
      <c r="F695" t="s">
        <v>3379</v>
      </c>
      <c r="G695" t="s">
        <v>6038</v>
      </c>
      <c r="H695">
        <v>0</v>
      </c>
      <c r="I695" t="s">
        <v>3380</v>
      </c>
    </row>
    <row r="696" spans="1:9" x14ac:dyDescent="0.3">
      <c r="A696" t="s">
        <v>3381</v>
      </c>
      <c r="B696" t="s">
        <v>3382</v>
      </c>
      <c r="C696" t="s">
        <v>3238</v>
      </c>
      <c r="D696" t="s">
        <v>1505</v>
      </c>
      <c r="E696" t="s">
        <v>1236</v>
      </c>
      <c r="F696" t="s">
        <v>3383</v>
      </c>
      <c r="G696" t="s">
        <v>6039</v>
      </c>
      <c r="H696" t="s">
        <v>3306</v>
      </c>
      <c r="I696">
        <v>0</v>
      </c>
    </row>
    <row r="697" spans="1:9" x14ac:dyDescent="0.3">
      <c r="A697" t="s">
        <v>3384</v>
      </c>
      <c r="B697" t="s">
        <v>3385</v>
      </c>
      <c r="C697" t="s">
        <v>3238</v>
      </c>
      <c r="D697" t="s">
        <v>1505</v>
      </c>
      <c r="E697" t="s">
        <v>1236</v>
      </c>
      <c r="F697" t="s">
        <v>3386</v>
      </c>
      <c r="G697" t="s">
        <v>6040</v>
      </c>
      <c r="H697">
        <v>0</v>
      </c>
      <c r="I697">
        <v>0</v>
      </c>
    </row>
    <row r="698" spans="1:9" x14ac:dyDescent="0.3">
      <c r="A698" t="s">
        <v>3387</v>
      </c>
      <c r="B698" t="s">
        <v>3388</v>
      </c>
      <c r="C698" t="s">
        <v>3238</v>
      </c>
      <c r="D698" t="s">
        <v>1505</v>
      </c>
      <c r="E698" t="s">
        <v>1236</v>
      </c>
      <c r="F698" t="s">
        <v>3379</v>
      </c>
      <c r="G698" t="s">
        <v>6038</v>
      </c>
      <c r="H698">
        <v>0</v>
      </c>
      <c r="I698" t="s">
        <v>3389</v>
      </c>
    </row>
    <row r="699" spans="1:9" x14ac:dyDescent="0.3">
      <c r="A699" t="s">
        <v>3390</v>
      </c>
      <c r="B699" t="s">
        <v>3391</v>
      </c>
      <c r="C699" t="s">
        <v>3238</v>
      </c>
      <c r="D699" t="s">
        <v>1505</v>
      </c>
      <c r="E699" t="s">
        <v>1236</v>
      </c>
      <c r="F699" t="s">
        <v>3392</v>
      </c>
      <c r="G699" t="s">
        <v>6041</v>
      </c>
      <c r="H699">
        <v>0</v>
      </c>
      <c r="I699">
        <v>0</v>
      </c>
    </row>
    <row r="700" spans="1:9" x14ac:dyDescent="0.3">
      <c r="A700" t="s">
        <v>3393</v>
      </c>
      <c r="B700" t="s">
        <v>3394</v>
      </c>
      <c r="C700" t="s">
        <v>3238</v>
      </c>
      <c r="D700" t="s">
        <v>1505</v>
      </c>
      <c r="E700" t="s">
        <v>1236</v>
      </c>
      <c r="F700" t="s">
        <v>3395</v>
      </c>
      <c r="G700" t="s">
        <v>6042</v>
      </c>
      <c r="H700">
        <v>0</v>
      </c>
      <c r="I700">
        <v>0</v>
      </c>
    </row>
    <row r="701" spans="1:9" x14ac:dyDescent="0.3">
      <c r="A701" t="s">
        <v>3396</v>
      </c>
      <c r="B701" t="s">
        <v>3397</v>
      </c>
      <c r="C701" t="s">
        <v>3238</v>
      </c>
      <c r="D701" t="s">
        <v>1505</v>
      </c>
      <c r="E701" t="s">
        <v>1236</v>
      </c>
      <c r="F701" t="s">
        <v>3398</v>
      </c>
      <c r="G701" t="s">
        <v>6043</v>
      </c>
      <c r="H701">
        <v>0</v>
      </c>
      <c r="I701">
        <v>0</v>
      </c>
    </row>
    <row r="702" spans="1:9" x14ac:dyDescent="0.3">
      <c r="A702" t="s">
        <v>3399</v>
      </c>
      <c r="B702" t="s">
        <v>3400</v>
      </c>
      <c r="C702" t="s">
        <v>3238</v>
      </c>
      <c r="D702" t="s">
        <v>1505</v>
      </c>
      <c r="E702" t="s">
        <v>1236</v>
      </c>
      <c r="F702" t="s">
        <v>3401</v>
      </c>
      <c r="G702" t="s">
        <v>6044</v>
      </c>
      <c r="H702">
        <v>0</v>
      </c>
      <c r="I702" t="s">
        <v>3352</v>
      </c>
    </row>
    <row r="703" spans="1:9" x14ac:dyDescent="0.3">
      <c r="A703" t="s">
        <v>3402</v>
      </c>
      <c r="B703" t="s">
        <v>3403</v>
      </c>
      <c r="C703" t="s">
        <v>3238</v>
      </c>
      <c r="D703" t="s">
        <v>1505</v>
      </c>
      <c r="E703" t="s">
        <v>1236</v>
      </c>
      <c r="F703" t="s">
        <v>3404</v>
      </c>
      <c r="G703" t="s">
        <v>6045</v>
      </c>
      <c r="H703">
        <v>0</v>
      </c>
      <c r="I703">
        <v>0</v>
      </c>
    </row>
    <row r="704" spans="1:9" x14ac:dyDescent="0.3">
      <c r="A704" t="s">
        <v>3405</v>
      </c>
      <c r="B704" t="s">
        <v>3406</v>
      </c>
      <c r="C704" t="s">
        <v>3407</v>
      </c>
      <c r="D704" t="s">
        <v>1823</v>
      </c>
      <c r="E704" t="s">
        <v>1236</v>
      </c>
      <c r="F704" t="s">
        <v>3408</v>
      </c>
      <c r="G704" t="s">
        <v>6046</v>
      </c>
      <c r="H704">
        <v>0</v>
      </c>
      <c r="I704">
        <v>0</v>
      </c>
    </row>
    <row r="705" spans="1:9" x14ac:dyDescent="0.3">
      <c r="A705" t="s">
        <v>3409</v>
      </c>
      <c r="B705" t="s">
        <v>3410</v>
      </c>
      <c r="C705" t="s">
        <v>3407</v>
      </c>
      <c r="D705" t="s">
        <v>1823</v>
      </c>
      <c r="E705" t="s">
        <v>1236</v>
      </c>
      <c r="F705" t="s">
        <v>3411</v>
      </c>
      <c r="G705" t="s">
        <v>6047</v>
      </c>
      <c r="H705">
        <v>0</v>
      </c>
      <c r="I705">
        <v>0</v>
      </c>
    </row>
    <row r="706" spans="1:9" x14ac:dyDescent="0.3">
      <c r="A706" t="s">
        <v>3412</v>
      </c>
      <c r="B706" t="s">
        <v>3413</v>
      </c>
      <c r="C706" t="s">
        <v>3407</v>
      </c>
      <c r="D706" t="s">
        <v>1823</v>
      </c>
      <c r="E706" t="s">
        <v>1236</v>
      </c>
      <c r="F706" t="s">
        <v>3414</v>
      </c>
      <c r="G706" t="s">
        <v>6048</v>
      </c>
      <c r="H706">
        <v>0</v>
      </c>
      <c r="I706">
        <v>0</v>
      </c>
    </row>
    <row r="707" spans="1:9" x14ac:dyDescent="0.3">
      <c r="A707" t="s">
        <v>3415</v>
      </c>
      <c r="B707" t="s">
        <v>3416</v>
      </c>
      <c r="C707" t="s">
        <v>3407</v>
      </c>
      <c r="D707" t="s">
        <v>1823</v>
      </c>
      <c r="E707" t="s">
        <v>1236</v>
      </c>
      <c r="F707" t="s">
        <v>3417</v>
      </c>
      <c r="G707" t="s">
        <v>6049</v>
      </c>
      <c r="H707">
        <v>0</v>
      </c>
      <c r="I707">
        <v>0</v>
      </c>
    </row>
    <row r="708" spans="1:9" x14ac:dyDescent="0.3">
      <c r="A708" t="s">
        <v>3418</v>
      </c>
      <c r="B708" t="s">
        <v>3419</v>
      </c>
      <c r="C708" t="s">
        <v>3407</v>
      </c>
      <c r="D708" t="s">
        <v>1823</v>
      </c>
      <c r="E708" t="s">
        <v>1236</v>
      </c>
      <c r="F708" t="s">
        <v>3439</v>
      </c>
      <c r="G708" t="s">
        <v>6050</v>
      </c>
      <c r="H708" t="s">
        <v>3420</v>
      </c>
      <c r="I708">
        <v>0</v>
      </c>
    </row>
    <row r="709" spans="1:9" x14ac:dyDescent="0.3">
      <c r="A709" t="s">
        <v>3421</v>
      </c>
      <c r="B709" t="s">
        <v>3422</v>
      </c>
      <c r="C709" t="s">
        <v>3407</v>
      </c>
      <c r="D709" t="s">
        <v>1823</v>
      </c>
      <c r="E709" t="s">
        <v>1236</v>
      </c>
      <c r="F709" t="s">
        <v>3423</v>
      </c>
      <c r="G709" t="s">
        <v>6051</v>
      </c>
      <c r="H709" t="s">
        <v>1062</v>
      </c>
      <c r="I709">
        <v>0</v>
      </c>
    </row>
    <row r="710" spans="1:9" x14ac:dyDescent="0.3">
      <c r="A710" t="s">
        <v>3424</v>
      </c>
      <c r="B710" t="s">
        <v>3425</v>
      </c>
      <c r="C710" t="s">
        <v>3407</v>
      </c>
      <c r="D710" t="s">
        <v>1823</v>
      </c>
      <c r="E710" t="s">
        <v>1236</v>
      </c>
      <c r="F710" t="s">
        <v>3426</v>
      </c>
      <c r="G710" t="s">
        <v>6052</v>
      </c>
      <c r="H710">
        <v>0</v>
      </c>
      <c r="I710">
        <v>0</v>
      </c>
    </row>
    <row r="711" spans="1:9" x14ac:dyDescent="0.3">
      <c r="A711" t="s">
        <v>3427</v>
      </c>
      <c r="B711" t="s">
        <v>3428</v>
      </c>
      <c r="C711" t="s">
        <v>3407</v>
      </c>
      <c r="D711" t="s">
        <v>1823</v>
      </c>
      <c r="E711" t="s">
        <v>1236</v>
      </c>
      <c r="F711" t="s">
        <v>3429</v>
      </c>
      <c r="G711" t="s">
        <v>6053</v>
      </c>
      <c r="H711">
        <v>0</v>
      </c>
      <c r="I711">
        <v>0</v>
      </c>
    </row>
    <row r="712" spans="1:9" x14ac:dyDescent="0.3">
      <c r="A712" t="s">
        <v>3430</v>
      </c>
      <c r="B712" t="s">
        <v>3431</v>
      </c>
      <c r="C712" t="s">
        <v>3407</v>
      </c>
      <c r="D712" t="s">
        <v>1823</v>
      </c>
      <c r="E712" t="s">
        <v>1236</v>
      </c>
      <c r="F712" t="s">
        <v>3432</v>
      </c>
      <c r="G712" t="s">
        <v>6054</v>
      </c>
      <c r="H712">
        <v>0</v>
      </c>
      <c r="I712">
        <v>0</v>
      </c>
    </row>
    <row r="713" spans="1:9" x14ac:dyDescent="0.3">
      <c r="A713" t="s">
        <v>3433</v>
      </c>
      <c r="B713" t="s">
        <v>3434</v>
      </c>
      <c r="C713" t="s">
        <v>3407</v>
      </c>
      <c r="D713" t="s">
        <v>1823</v>
      </c>
      <c r="E713" t="s">
        <v>1236</v>
      </c>
      <c r="F713" t="s">
        <v>3435</v>
      </c>
      <c r="G713" t="s">
        <v>6055</v>
      </c>
      <c r="H713" t="s">
        <v>3436</v>
      </c>
      <c r="I713">
        <v>0</v>
      </c>
    </row>
    <row r="714" spans="1:9" x14ac:dyDescent="0.3">
      <c r="A714" t="s">
        <v>3437</v>
      </c>
      <c r="B714" t="s">
        <v>3438</v>
      </c>
      <c r="C714" t="s">
        <v>3407</v>
      </c>
      <c r="D714" t="s">
        <v>1823</v>
      </c>
      <c r="E714" t="s">
        <v>1236</v>
      </c>
      <c r="F714" t="s">
        <v>3439</v>
      </c>
      <c r="G714" t="s">
        <v>6050</v>
      </c>
      <c r="H714">
        <v>0</v>
      </c>
      <c r="I714">
        <v>0</v>
      </c>
    </row>
    <row r="715" spans="1:9" x14ac:dyDescent="0.3">
      <c r="A715" t="s">
        <v>3440</v>
      </c>
      <c r="B715" t="s">
        <v>3441</v>
      </c>
      <c r="C715" t="s">
        <v>3407</v>
      </c>
      <c r="D715" t="s">
        <v>1823</v>
      </c>
      <c r="E715" t="s">
        <v>1236</v>
      </c>
      <c r="F715" t="s">
        <v>3442</v>
      </c>
      <c r="G715" t="s">
        <v>6056</v>
      </c>
      <c r="H715">
        <v>0</v>
      </c>
      <c r="I715">
        <v>0</v>
      </c>
    </row>
    <row r="716" spans="1:9" x14ac:dyDescent="0.3">
      <c r="A716" t="s">
        <v>3443</v>
      </c>
      <c r="B716" t="s">
        <v>3444</v>
      </c>
      <c r="C716" t="s">
        <v>3407</v>
      </c>
      <c r="D716" t="s">
        <v>1823</v>
      </c>
      <c r="E716" t="s">
        <v>1236</v>
      </c>
      <c r="F716" t="s">
        <v>3445</v>
      </c>
      <c r="G716" t="s">
        <v>6057</v>
      </c>
      <c r="H716">
        <v>0</v>
      </c>
      <c r="I716">
        <v>0</v>
      </c>
    </row>
    <row r="717" spans="1:9" x14ac:dyDescent="0.3">
      <c r="A717" t="s">
        <v>3446</v>
      </c>
      <c r="B717" t="s">
        <v>3447</v>
      </c>
      <c r="C717" t="s">
        <v>3407</v>
      </c>
      <c r="D717" t="s">
        <v>1823</v>
      </c>
      <c r="E717" t="s">
        <v>1236</v>
      </c>
      <c r="F717" t="s">
        <v>3448</v>
      </c>
      <c r="G717" t="s">
        <v>6058</v>
      </c>
      <c r="H717">
        <v>0</v>
      </c>
      <c r="I717">
        <v>0</v>
      </c>
    </row>
    <row r="718" spans="1:9" x14ac:dyDescent="0.3">
      <c r="A718" t="s">
        <v>3449</v>
      </c>
      <c r="B718" t="s">
        <v>3450</v>
      </c>
      <c r="C718" t="s">
        <v>3407</v>
      </c>
      <c r="D718" t="s">
        <v>1823</v>
      </c>
      <c r="E718" t="s">
        <v>1236</v>
      </c>
      <c r="F718" t="s">
        <v>3451</v>
      </c>
      <c r="G718" t="s">
        <v>6059</v>
      </c>
      <c r="H718" t="s">
        <v>3420</v>
      </c>
      <c r="I718">
        <v>0</v>
      </c>
    </row>
    <row r="719" spans="1:9" x14ac:dyDescent="0.3">
      <c r="A719" t="s">
        <v>3452</v>
      </c>
      <c r="B719" t="s">
        <v>3453</v>
      </c>
      <c r="C719" t="s">
        <v>3407</v>
      </c>
      <c r="D719" t="s">
        <v>1823</v>
      </c>
      <c r="E719" t="s">
        <v>1236</v>
      </c>
      <c r="F719" t="s">
        <v>3454</v>
      </c>
      <c r="G719" t="s">
        <v>6060</v>
      </c>
      <c r="H719" t="s">
        <v>3420</v>
      </c>
      <c r="I719">
        <v>0</v>
      </c>
    </row>
    <row r="720" spans="1:9" x14ac:dyDescent="0.3">
      <c r="A720" t="s">
        <v>3455</v>
      </c>
      <c r="B720" t="s">
        <v>3456</v>
      </c>
      <c r="C720" t="s">
        <v>3407</v>
      </c>
      <c r="D720" t="s">
        <v>1823</v>
      </c>
      <c r="E720" t="s">
        <v>1236</v>
      </c>
      <c r="F720" t="s">
        <v>3457</v>
      </c>
      <c r="G720" t="s">
        <v>6061</v>
      </c>
      <c r="H720" t="s">
        <v>3458</v>
      </c>
      <c r="I720">
        <v>0</v>
      </c>
    </row>
    <row r="721" spans="1:9" x14ac:dyDescent="0.3">
      <c r="A721" t="s">
        <v>3459</v>
      </c>
      <c r="B721" t="s">
        <v>3460</v>
      </c>
      <c r="C721" t="s">
        <v>3407</v>
      </c>
      <c r="D721" t="s">
        <v>1823</v>
      </c>
      <c r="E721" t="s">
        <v>1236</v>
      </c>
      <c r="F721" t="s">
        <v>3461</v>
      </c>
      <c r="G721" t="s">
        <v>6062</v>
      </c>
      <c r="H721" t="s">
        <v>3458</v>
      </c>
      <c r="I721">
        <v>0</v>
      </c>
    </row>
    <row r="722" spans="1:9" x14ac:dyDescent="0.3">
      <c r="A722" t="s">
        <v>3462</v>
      </c>
      <c r="B722" t="s">
        <v>3463</v>
      </c>
      <c r="C722" t="s">
        <v>3407</v>
      </c>
      <c r="D722" t="s">
        <v>1823</v>
      </c>
      <c r="E722" t="s">
        <v>1236</v>
      </c>
      <c r="F722" t="s">
        <v>3464</v>
      </c>
      <c r="G722" t="s">
        <v>6063</v>
      </c>
      <c r="H722" t="s">
        <v>3465</v>
      </c>
      <c r="I722">
        <v>0</v>
      </c>
    </row>
    <row r="723" spans="1:9" x14ac:dyDescent="0.3">
      <c r="A723" t="s">
        <v>3466</v>
      </c>
      <c r="B723" t="s">
        <v>3467</v>
      </c>
      <c r="C723" t="s">
        <v>3407</v>
      </c>
      <c r="D723" t="s">
        <v>1823</v>
      </c>
      <c r="E723" t="s">
        <v>1236</v>
      </c>
      <c r="F723" t="s">
        <v>3468</v>
      </c>
      <c r="G723" t="s">
        <v>6064</v>
      </c>
      <c r="H723" t="s">
        <v>3436</v>
      </c>
      <c r="I723">
        <v>0</v>
      </c>
    </row>
    <row r="724" spans="1:9" x14ac:dyDescent="0.3">
      <c r="A724" t="s">
        <v>3469</v>
      </c>
      <c r="B724" t="s">
        <v>3470</v>
      </c>
      <c r="C724" t="s">
        <v>3407</v>
      </c>
      <c r="D724" t="s">
        <v>1823</v>
      </c>
      <c r="E724" t="s">
        <v>1236</v>
      </c>
      <c r="F724" t="s">
        <v>3471</v>
      </c>
      <c r="G724" t="s">
        <v>6065</v>
      </c>
      <c r="H724" t="s">
        <v>3436</v>
      </c>
      <c r="I724">
        <v>0</v>
      </c>
    </row>
    <row r="725" spans="1:9" x14ac:dyDescent="0.3">
      <c r="A725" t="s">
        <v>3472</v>
      </c>
      <c r="B725" t="s">
        <v>3473</v>
      </c>
      <c r="C725" t="s">
        <v>3407</v>
      </c>
      <c r="D725" t="s">
        <v>1823</v>
      </c>
      <c r="E725" t="s">
        <v>1236</v>
      </c>
      <c r="F725" t="s">
        <v>3474</v>
      </c>
      <c r="G725" t="s">
        <v>6066</v>
      </c>
      <c r="H725">
        <v>0</v>
      </c>
      <c r="I725">
        <v>0</v>
      </c>
    </row>
    <row r="726" spans="1:9" x14ac:dyDescent="0.3">
      <c r="A726" t="s">
        <v>3475</v>
      </c>
      <c r="B726" t="s">
        <v>3476</v>
      </c>
      <c r="C726" t="s">
        <v>3407</v>
      </c>
      <c r="D726" t="s">
        <v>1823</v>
      </c>
      <c r="E726" t="s">
        <v>1236</v>
      </c>
      <c r="F726" t="s">
        <v>3477</v>
      </c>
      <c r="G726" t="s">
        <v>6067</v>
      </c>
      <c r="H726" t="s">
        <v>3436</v>
      </c>
      <c r="I726">
        <v>0</v>
      </c>
    </row>
    <row r="727" spans="1:9" x14ac:dyDescent="0.3">
      <c r="A727" t="s">
        <v>3478</v>
      </c>
      <c r="B727" t="s">
        <v>3479</v>
      </c>
      <c r="C727" t="s">
        <v>3407</v>
      </c>
      <c r="D727" t="s">
        <v>1823</v>
      </c>
      <c r="E727" t="s">
        <v>1236</v>
      </c>
      <c r="F727" t="s">
        <v>3480</v>
      </c>
      <c r="G727" t="s">
        <v>6068</v>
      </c>
      <c r="H727" t="s">
        <v>3465</v>
      </c>
      <c r="I727">
        <v>0</v>
      </c>
    </row>
    <row r="728" spans="1:9" x14ac:dyDescent="0.3">
      <c r="A728" t="s">
        <v>3481</v>
      </c>
      <c r="B728" t="s">
        <v>3482</v>
      </c>
      <c r="C728" t="s">
        <v>3483</v>
      </c>
      <c r="D728" t="s">
        <v>1823</v>
      </c>
      <c r="E728" t="s">
        <v>1236</v>
      </c>
      <c r="F728" t="s">
        <v>3484</v>
      </c>
      <c r="G728" t="s">
        <v>6069</v>
      </c>
      <c r="H728" t="s">
        <v>3485</v>
      </c>
      <c r="I728">
        <v>0</v>
      </c>
    </row>
    <row r="729" spans="1:9" x14ac:dyDescent="0.3">
      <c r="A729" t="s">
        <v>3486</v>
      </c>
      <c r="B729" t="s">
        <v>3487</v>
      </c>
      <c r="C729" t="s">
        <v>3483</v>
      </c>
      <c r="D729" t="s">
        <v>1823</v>
      </c>
      <c r="E729" t="s">
        <v>1236</v>
      </c>
      <c r="F729" t="s">
        <v>3488</v>
      </c>
      <c r="G729" t="s">
        <v>6070</v>
      </c>
      <c r="H729" t="s">
        <v>568</v>
      </c>
      <c r="I729">
        <v>0</v>
      </c>
    </row>
    <row r="730" spans="1:9" x14ac:dyDescent="0.3">
      <c r="A730" t="s">
        <v>3489</v>
      </c>
      <c r="B730" t="s">
        <v>3490</v>
      </c>
      <c r="C730" t="s">
        <v>3483</v>
      </c>
      <c r="D730" t="s">
        <v>1823</v>
      </c>
      <c r="E730" t="s">
        <v>1236</v>
      </c>
      <c r="F730" t="s">
        <v>3491</v>
      </c>
      <c r="G730" t="s">
        <v>6071</v>
      </c>
      <c r="H730" t="s">
        <v>568</v>
      </c>
      <c r="I730">
        <v>0</v>
      </c>
    </row>
    <row r="731" spans="1:9" x14ac:dyDescent="0.3">
      <c r="A731" t="s">
        <v>3492</v>
      </c>
      <c r="B731" t="s">
        <v>3493</v>
      </c>
      <c r="C731" t="s">
        <v>3483</v>
      </c>
      <c r="D731" t="s">
        <v>1823</v>
      </c>
      <c r="E731" t="s">
        <v>1236</v>
      </c>
      <c r="F731" t="s">
        <v>3494</v>
      </c>
      <c r="G731" t="s">
        <v>6072</v>
      </c>
      <c r="H731" t="s">
        <v>1071</v>
      </c>
      <c r="I731">
        <v>0</v>
      </c>
    </row>
    <row r="732" spans="1:9" x14ac:dyDescent="0.3">
      <c r="A732" t="s">
        <v>3495</v>
      </c>
      <c r="B732" t="s">
        <v>3496</v>
      </c>
      <c r="C732" t="s">
        <v>3483</v>
      </c>
      <c r="D732" t="s">
        <v>1823</v>
      </c>
      <c r="E732" t="s">
        <v>1236</v>
      </c>
      <c r="F732" t="s">
        <v>3497</v>
      </c>
      <c r="G732" t="s">
        <v>6073</v>
      </c>
      <c r="H732" t="s">
        <v>3498</v>
      </c>
      <c r="I732">
        <v>0</v>
      </c>
    </row>
    <row r="733" spans="1:9" x14ac:dyDescent="0.3">
      <c r="A733" t="s">
        <v>3499</v>
      </c>
      <c r="B733" t="s">
        <v>3500</v>
      </c>
      <c r="C733" t="s">
        <v>3483</v>
      </c>
      <c r="D733" t="s">
        <v>1823</v>
      </c>
      <c r="E733" t="s">
        <v>1236</v>
      </c>
      <c r="F733" t="s">
        <v>3501</v>
      </c>
      <c r="G733" t="s">
        <v>6074</v>
      </c>
      <c r="H733" t="s">
        <v>3502</v>
      </c>
      <c r="I733">
        <v>0</v>
      </c>
    </row>
    <row r="734" spans="1:9" x14ac:dyDescent="0.3">
      <c r="A734" t="s">
        <v>3503</v>
      </c>
      <c r="B734" t="s">
        <v>3504</v>
      </c>
      <c r="C734" t="s">
        <v>3483</v>
      </c>
      <c r="D734" t="s">
        <v>1823</v>
      </c>
      <c r="E734" t="s">
        <v>1236</v>
      </c>
      <c r="F734" t="s">
        <v>3505</v>
      </c>
      <c r="G734" t="s">
        <v>6075</v>
      </c>
      <c r="H734" t="s">
        <v>1070</v>
      </c>
      <c r="I734">
        <v>0</v>
      </c>
    </row>
    <row r="735" spans="1:9" x14ac:dyDescent="0.3">
      <c r="A735" t="s">
        <v>3506</v>
      </c>
      <c r="B735" t="s">
        <v>3507</v>
      </c>
      <c r="C735" t="s">
        <v>3483</v>
      </c>
      <c r="D735" t="s">
        <v>1823</v>
      </c>
      <c r="E735" t="s">
        <v>1236</v>
      </c>
      <c r="F735" t="s">
        <v>3508</v>
      </c>
      <c r="G735" t="s">
        <v>6076</v>
      </c>
      <c r="H735" t="s">
        <v>3498</v>
      </c>
      <c r="I735">
        <v>0</v>
      </c>
    </row>
    <row r="736" spans="1:9" x14ac:dyDescent="0.3">
      <c r="A736" t="s">
        <v>3509</v>
      </c>
      <c r="B736" t="s">
        <v>3510</v>
      </c>
      <c r="C736" t="s">
        <v>3483</v>
      </c>
      <c r="D736" t="s">
        <v>1823</v>
      </c>
      <c r="E736" t="s">
        <v>1236</v>
      </c>
      <c r="F736" t="s">
        <v>3511</v>
      </c>
      <c r="G736" t="s">
        <v>6077</v>
      </c>
      <c r="H736" t="s">
        <v>3498</v>
      </c>
      <c r="I736">
        <v>0</v>
      </c>
    </row>
    <row r="737" spans="1:9" x14ac:dyDescent="0.3">
      <c r="A737" t="s">
        <v>3512</v>
      </c>
      <c r="B737" t="s">
        <v>3513</v>
      </c>
      <c r="C737" t="s">
        <v>3483</v>
      </c>
      <c r="D737" t="s">
        <v>1823</v>
      </c>
      <c r="E737" t="s">
        <v>1236</v>
      </c>
      <c r="F737" t="s">
        <v>3514</v>
      </c>
      <c r="G737" t="s">
        <v>6078</v>
      </c>
      <c r="H737" t="s">
        <v>1071</v>
      </c>
      <c r="I737">
        <v>0</v>
      </c>
    </row>
    <row r="738" spans="1:9" x14ac:dyDescent="0.3">
      <c r="A738" t="s">
        <v>3515</v>
      </c>
      <c r="B738" t="s">
        <v>3516</v>
      </c>
      <c r="C738" t="s">
        <v>3483</v>
      </c>
      <c r="D738" t="s">
        <v>1823</v>
      </c>
      <c r="E738" t="s">
        <v>1236</v>
      </c>
      <c r="F738" t="s">
        <v>3517</v>
      </c>
      <c r="G738" t="s">
        <v>6079</v>
      </c>
      <c r="H738" t="s">
        <v>3485</v>
      </c>
      <c r="I738">
        <v>0</v>
      </c>
    </row>
    <row r="739" spans="1:9" x14ac:dyDescent="0.3">
      <c r="A739" t="s">
        <v>3518</v>
      </c>
      <c r="B739" t="s">
        <v>3519</v>
      </c>
      <c r="C739" t="s">
        <v>3483</v>
      </c>
      <c r="D739" t="s">
        <v>1823</v>
      </c>
      <c r="E739" t="s">
        <v>1236</v>
      </c>
      <c r="F739" t="s">
        <v>3520</v>
      </c>
      <c r="G739" t="s">
        <v>6080</v>
      </c>
      <c r="H739" t="s">
        <v>3485</v>
      </c>
      <c r="I739">
        <v>0</v>
      </c>
    </row>
    <row r="740" spans="1:9" x14ac:dyDescent="0.3">
      <c r="A740" t="s">
        <v>3521</v>
      </c>
      <c r="B740" t="s">
        <v>3522</v>
      </c>
      <c r="C740" t="s">
        <v>3483</v>
      </c>
      <c r="D740" t="s">
        <v>1823</v>
      </c>
      <c r="E740" t="s">
        <v>1236</v>
      </c>
      <c r="F740" t="s">
        <v>3523</v>
      </c>
      <c r="G740" t="s">
        <v>6081</v>
      </c>
      <c r="H740" t="s">
        <v>106</v>
      </c>
      <c r="I740">
        <v>0</v>
      </c>
    </row>
    <row r="741" spans="1:9" x14ac:dyDescent="0.3">
      <c r="A741" t="s">
        <v>3524</v>
      </c>
      <c r="B741" t="s">
        <v>3525</v>
      </c>
      <c r="C741" t="s">
        <v>3483</v>
      </c>
      <c r="D741" t="s">
        <v>1823</v>
      </c>
      <c r="E741" t="s">
        <v>1236</v>
      </c>
      <c r="F741" t="s">
        <v>3526</v>
      </c>
      <c r="G741" t="s">
        <v>6082</v>
      </c>
      <c r="H741" t="s">
        <v>3485</v>
      </c>
      <c r="I741">
        <v>0</v>
      </c>
    </row>
    <row r="742" spans="1:9" x14ac:dyDescent="0.3">
      <c r="A742" t="s">
        <v>3527</v>
      </c>
      <c r="B742" t="s">
        <v>3528</v>
      </c>
      <c r="C742" t="s">
        <v>3483</v>
      </c>
      <c r="D742" t="s">
        <v>1823</v>
      </c>
      <c r="E742" t="s">
        <v>1236</v>
      </c>
      <c r="F742" t="s">
        <v>3529</v>
      </c>
      <c r="G742" t="s">
        <v>6083</v>
      </c>
      <c r="H742" t="s">
        <v>3485</v>
      </c>
      <c r="I742">
        <v>0</v>
      </c>
    </row>
    <row r="743" spans="1:9" x14ac:dyDescent="0.3">
      <c r="A743" t="s">
        <v>3530</v>
      </c>
      <c r="B743" t="s">
        <v>3531</v>
      </c>
      <c r="C743" t="s">
        <v>3483</v>
      </c>
      <c r="D743" t="s">
        <v>1823</v>
      </c>
      <c r="E743" t="s">
        <v>1236</v>
      </c>
      <c r="F743" t="s">
        <v>3532</v>
      </c>
      <c r="G743" t="s">
        <v>6084</v>
      </c>
      <c r="H743" t="s">
        <v>3485</v>
      </c>
      <c r="I743">
        <v>0</v>
      </c>
    </row>
    <row r="744" spans="1:9" x14ac:dyDescent="0.3">
      <c r="A744" t="s">
        <v>3533</v>
      </c>
      <c r="B744" t="s">
        <v>3534</v>
      </c>
      <c r="C744" t="s">
        <v>3483</v>
      </c>
      <c r="D744" t="s">
        <v>1823</v>
      </c>
      <c r="E744" t="s">
        <v>1236</v>
      </c>
      <c r="F744" t="s">
        <v>3535</v>
      </c>
      <c r="G744" t="s">
        <v>6085</v>
      </c>
      <c r="H744" t="s">
        <v>3498</v>
      </c>
      <c r="I744">
        <v>0</v>
      </c>
    </row>
    <row r="745" spans="1:9" x14ac:dyDescent="0.3">
      <c r="A745" t="s">
        <v>3536</v>
      </c>
      <c r="B745" t="s">
        <v>3537</v>
      </c>
      <c r="C745" t="s">
        <v>3483</v>
      </c>
      <c r="D745" t="s">
        <v>1823</v>
      </c>
      <c r="E745" t="s">
        <v>1236</v>
      </c>
      <c r="F745" t="s">
        <v>3538</v>
      </c>
      <c r="G745" t="s">
        <v>6086</v>
      </c>
      <c r="H745" t="s">
        <v>1070</v>
      </c>
      <c r="I745">
        <v>0</v>
      </c>
    </row>
    <row r="746" spans="1:9" x14ac:dyDescent="0.3">
      <c r="A746" t="s">
        <v>3539</v>
      </c>
      <c r="B746" t="s">
        <v>3540</v>
      </c>
      <c r="C746" t="s">
        <v>3483</v>
      </c>
      <c r="D746" t="s">
        <v>1823</v>
      </c>
      <c r="E746" t="s">
        <v>1236</v>
      </c>
      <c r="F746" t="s">
        <v>3541</v>
      </c>
      <c r="G746" t="s">
        <v>6087</v>
      </c>
      <c r="H746" t="s">
        <v>3485</v>
      </c>
      <c r="I746">
        <v>0</v>
      </c>
    </row>
    <row r="747" spans="1:9" x14ac:dyDescent="0.3">
      <c r="A747" t="s">
        <v>3542</v>
      </c>
      <c r="B747" t="s">
        <v>3543</v>
      </c>
      <c r="C747" t="s">
        <v>3483</v>
      </c>
      <c r="D747" t="s">
        <v>1823</v>
      </c>
      <c r="E747" t="s">
        <v>1236</v>
      </c>
      <c r="F747" t="s">
        <v>3544</v>
      </c>
      <c r="G747" t="s">
        <v>6088</v>
      </c>
      <c r="H747" t="s">
        <v>1070</v>
      </c>
      <c r="I747">
        <v>0</v>
      </c>
    </row>
    <row r="748" spans="1:9" x14ac:dyDescent="0.3">
      <c r="A748" t="s">
        <v>3545</v>
      </c>
      <c r="B748" t="s">
        <v>3546</v>
      </c>
      <c r="C748" t="s">
        <v>3483</v>
      </c>
      <c r="D748" t="s">
        <v>1823</v>
      </c>
      <c r="E748" t="s">
        <v>1236</v>
      </c>
      <c r="F748" t="s">
        <v>3547</v>
      </c>
      <c r="G748" t="s">
        <v>6089</v>
      </c>
      <c r="H748" t="s">
        <v>1071</v>
      </c>
      <c r="I748">
        <v>0</v>
      </c>
    </row>
    <row r="749" spans="1:9" x14ac:dyDescent="0.3">
      <c r="A749" t="s">
        <v>3548</v>
      </c>
      <c r="B749" t="s">
        <v>3549</v>
      </c>
      <c r="C749" t="s">
        <v>3483</v>
      </c>
      <c r="D749" t="s">
        <v>1823</v>
      </c>
      <c r="E749" t="s">
        <v>1236</v>
      </c>
      <c r="F749" t="s">
        <v>3550</v>
      </c>
      <c r="G749" t="s">
        <v>6090</v>
      </c>
      <c r="H749" t="s">
        <v>3502</v>
      </c>
      <c r="I749">
        <v>0</v>
      </c>
    </row>
    <row r="750" spans="1:9" x14ac:dyDescent="0.3">
      <c r="A750" t="s">
        <v>3551</v>
      </c>
      <c r="B750" t="s">
        <v>3552</v>
      </c>
      <c r="C750" t="s">
        <v>3483</v>
      </c>
      <c r="D750" t="s">
        <v>1823</v>
      </c>
      <c r="E750" t="s">
        <v>1236</v>
      </c>
      <c r="F750" t="s">
        <v>3553</v>
      </c>
      <c r="G750" t="s">
        <v>6091</v>
      </c>
      <c r="H750" t="s">
        <v>3502</v>
      </c>
      <c r="I750">
        <v>0</v>
      </c>
    </row>
    <row r="751" spans="1:9" x14ac:dyDescent="0.3">
      <c r="A751" t="s">
        <v>3554</v>
      </c>
      <c r="B751" t="s">
        <v>3555</v>
      </c>
      <c r="C751" t="s">
        <v>3483</v>
      </c>
      <c r="D751" t="s">
        <v>1823</v>
      </c>
      <c r="E751" t="s">
        <v>1236</v>
      </c>
      <c r="F751" t="s">
        <v>3556</v>
      </c>
      <c r="G751" t="s">
        <v>6092</v>
      </c>
      <c r="H751" t="s">
        <v>3485</v>
      </c>
      <c r="I751">
        <v>0</v>
      </c>
    </row>
    <row r="752" spans="1:9" x14ac:dyDescent="0.3">
      <c r="A752" t="s">
        <v>3557</v>
      </c>
      <c r="B752" t="s">
        <v>3558</v>
      </c>
      <c r="C752" t="s">
        <v>3483</v>
      </c>
      <c r="D752" t="s">
        <v>1823</v>
      </c>
      <c r="E752" t="s">
        <v>1236</v>
      </c>
      <c r="F752" t="s">
        <v>3559</v>
      </c>
      <c r="G752" t="s">
        <v>6093</v>
      </c>
      <c r="H752" t="s">
        <v>1071</v>
      </c>
      <c r="I752">
        <v>0</v>
      </c>
    </row>
    <row r="753" spans="1:9" x14ac:dyDescent="0.3">
      <c r="A753" t="s">
        <v>3560</v>
      </c>
      <c r="B753" t="s">
        <v>3561</v>
      </c>
      <c r="C753" t="s">
        <v>3483</v>
      </c>
      <c r="D753" t="s">
        <v>1823</v>
      </c>
      <c r="E753" t="s">
        <v>1236</v>
      </c>
      <c r="F753" t="s">
        <v>3562</v>
      </c>
      <c r="G753" t="s">
        <v>6094</v>
      </c>
      <c r="H753" t="s">
        <v>3498</v>
      </c>
      <c r="I753">
        <v>0</v>
      </c>
    </row>
    <row r="754" spans="1:9" x14ac:dyDescent="0.3">
      <c r="A754" t="s">
        <v>3563</v>
      </c>
      <c r="B754" t="s">
        <v>3564</v>
      </c>
      <c r="C754" t="s">
        <v>3483</v>
      </c>
      <c r="D754" t="s">
        <v>1823</v>
      </c>
      <c r="E754" t="s">
        <v>1236</v>
      </c>
      <c r="F754" t="s">
        <v>3565</v>
      </c>
      <c r="G754" t="s">
        <v>6095</v>
      </c>
      <c r="H754" t="s">
        <v>1071</v>
      </c>
      <c r="I754">
        <v>0</v>
      </c>
    </row>
    <row r="755" spans="1:9" x14ac:dyDescent="0.3">
      <c r="A755" t="s">
        <v>3566</v>
      </c>
      <c r="B755" t="s">
        <v>3567</v>
      </c>
      <c r="C755" t="s">
        <v>3483</v>
      </c>
      <c r="D755" t="s">
        <v>1823</v>
      </c>
      <c r="E755" t="s">
        <v>1236</v>
      </c>
      <c r="F755" t="s">
        <v>3568</v>
      </c>
      <c r="G755" t="s">
        <v>6096</v>
      </c>
      <c r="H755" t="s">
        <v>3485</v>
      </c>
      <c r="I755">
        <v>0</v>
      </c>
    </row>
    <row r="756" spans="1:9" x14ac:dyDescent="0.3">
      <c r="A756" t="s">
        <v>3569</v>
      </c>
      <c r="B756" t="s">
        <v>3570</v>
      </c>
      <c r="C756" t="s">
        <v>3571</v>
      </c>
      <c r="D756" t="s">
        <v>1505</v>
      </c>
      <c r="E756" t="s">
        <v>1236</v>
      </c>
      <c r="F756" t="s">
        <v>3572</v>
      </c>
      <c r="G756" t="s">
        <v>6097</v>
      </c>
      <c r="H756" t="s">
        <v>210</v>
      </c>
      <c r="I756">
        <v>0</v>
      </c>
    </row>
    <row r="757" spans="1:9" x14ac:dyDescent="0.3">
      <c r="A757" t="s">
        <v>3573</v>
      </c>
      <c r="B757" t="s">
        <v>3574</v>
      </c>
      <c r="C757" t="s">
        <v>3571</v>
      </c>
      <c r="D757" t="s">
        <v>1505</v>
      </c>
      <c r="E757" t="s">
        <v>1236</v>
      </c>
      <c r="F757" t="s">
        <v>3575</v>
      </c>
      <c r="G757" t="s">
        <v>6098</v>
      </c>
      <c r="H757" t="s">
        <v>210</v>
      </c>
      <c r="I757">
        <v>0</v>
      </c>
    </row>
    <row r="758" spans="1:9" x14ac:dyDescent="0.3">
      <c r="A758" t="s">
        <v>3576</v>
      </c>
      <c r="B758" t="s">
        <v>3577</v>
      </c>
      <c r="C758" t="s">
        <v>3571</v>
      </c>
      <c r="D758" t="s">
        <v>1505</v>
      </c>
      <c r="E758" t="s">
        <v>1236</v>
      </c>
      <c r="F758" t="s">
        <v>3578</v>
      </c>
      <c r="G758" t="s">
        <v>6099</v>
      </c>
      <c r="H758">
        <v>0</v>
      </c>
      <c r="I758">
        <v>0</v>
      </c>
    </row>
    <row r="759" spans="1:9" x14ac:dyDescent="0.3">
      <c r="A759" t="s">
        <v>3579</v>
      </c>
      <c r="B759" t="s">
        <v>3580</v>
      </c>
      <c r="C759" t="s">
        <v>3571</v>
      </c>
      <c r="D759" t="s">
        <v>1505</v>
      </c>
      <c r="E759" t="s">
        <v>1236</v>
      </c>
      <c r="F759" t="s">
        <v>3581</v>
      </c>
      <c r="G759" t="s">
        <v>6100</v>
      </c>
      <c r="H759">
        <v>0</v>
      </c>
      <c r="I759">
        <v>0</v>
      </c>
    </row>
    <row r="760" spans="1:9" x14ac:dyDescent="0.3">
      <c r="A760" t="s">
        <v>3582</v>
      </c>
      <c r="B760" t="s">
        <v>3583</v>
      </c>
      <c r="C760" t="s">
        <v>3571</v>
      </c>
      <c r="D760" t="s">
        <v>1505</v>
      </c>
      <c r="E760" t="s">
        <v>1236</v>
      </c>
      <c r="F760" t="s">
        <v>3584</v>
      </c>
      <c r="G760" t="s">
        <v>6101</v>
      </c>
      <c r="H760">
        <v>0</v>
      </c>
      <c r="I760">
        <v>0</v>
      </c>
    </row>
    <row r="761" spans="1:9" x14ac:dyDescent="0.3">
      <c r="A761" t="s">
        <v>3585</v>
      </c>
      <c r="B761" t="s">
        <v>3586</v>
      </c>
      <c r="C761" t="s">
        <v>3571</v>
      </c>
      <c r="D761" t="s">
        <v>1505</v>
      </c>
      <c r="E761" t="s">
        <v>1236</v>
      </c>
      <c r="F761" t="s">
        <v>3587</v>
      </c>
      <c r="G761" t="s">
        <v>6102</v>
      </c>
      <c r="H761">
        <v>0</v>
      </c>
      <c r="I761">
        <v>0</v>
      </c>
    </row>
    <row r="762" spans="1:9" x14ac:dyDescent="0.3">
      <c r="A762" t="s">
        <v>3588</v>
      </c>
      <c r="B762" t="s">
        <v>3589</v>
      </c>
      <c r="C762" t="s">
        <v>3571</v>
      </c>
      <c r="D762" t="s">
        <v>1505</v>
      </c>
      <c r="E762" t="s">
        <v>1236</v>
      </c>
      <c r="F762" t="s">
        <v>3590</v>
      </c>
      <c r="G762" t="s">
        <v>6103</v>
      </c>
      <c r="H762" t="s">
        <v>210</v>
      </c>
      <c r="I762">
        <v>0</v>
      </c>
    </row>
    <row r="763" spans="1:9" x14ac:dyDescent="0.3">
      <c r="A763" t="s">
        <v>3591</v>
      </c>
      <c r="B763" t="s">
        <v>3592</v>
      </c>
      <c r="C763" t="s">
        <v>3571</v>
      </c>
      <c r="D763" t="s">
        <v>1505</v>
      </c>
      <c r="E763" t="s">
        <v>1236</v>
      </c>
      <c r="F763" t="s">
        <v>3593</v>
      </c>
      <c r="G763" t="s">
        <v>6104</v>
      </c>
      <c r="H763">
        <v>0</v>
      </c>
      <c r="I763">
        <v>0</v>
      </c>
    </row>
    <row r="764" spans="1:9" x14ac:dyDescent="0.3">
      <c r="A764" t="s">
        <v>3594</v>
      </c>
      <c r="B764" t="s">
        <v>3595</v>
      </c>
      <c r="C764" t="s">
        <v>3571</v>
      </c>
      <c r="D764" t="s">
        <v>1505</v>
      </c>
      <c r="E764" t="s">
        <v>1236</v>
      </c>
      <c r="F764" t="s">
        <v>3596</v>
      </c>
      <c r="G764" t="s">
        <v>6105</v>
      </c>
      <c r="H764">
        <v>0</v>
      </c>
      <c r="I764" t="s">
        <v>3597</v>
      </c>
    </row>
    <row r="765" spans="1:9" x14ac:dyDescent="0.3">
      <c r="A765" t="s">
        <v>3598</v>
      </c>
      <c r="B765" t="s">
        <v>3599</v>
      </c>
      <c r="C765" t="s">
        <v>3571</v>
      </c>
      <c r="D765" t="s">
        <v>1505</v>
      </c>
      <c r="E765" t="s">
        <v>1236</v>
      </c>
      <c r="F765" t="s">
        <v>3600</v>
      </c>
      <c r="G765" t="s">
        <v>6106</v>
      </c>
      <c r="H765">
        <v>0</v>
      </c>
      <c r="I765">
        <v>0</v>
      </c>
    </row>
    <row r="766" spans="1:9" x14ac:dyDescent="0.3">
      <c r="A766" t="s">
        <v>3601</v>
      </c>
      <c r="B766" t="s">
        <v>3602</v>
      </c>
      <c r="C766" t="s">
        <v>3571</v>
      </c>
      <c r="D766" t="s">
        <v>1505</v>
      </c>
      <c r="E766" t="s">
        <v>1236</v>
      </c>
      <c r="F766" t="s">
        <v>3603</v>
      </c>
      <c r="G766" t="s">
        <v>6107</v>
      </c>
      <c r="H766" t="s">
        <v>107</v>
      </c>
      <c r="I766">
        <v>0</v>
      </c>
    </row>
    <row r="767" spans="1:9" x14ac:dyDescent="0.3">
      <c r="A767" t="s">
        <v>3604</v>
      </c>
      <c r="B767" t="s">
        <v>3605</v>
      </c>
      <c r="C767" t="s">
        <v>3571</v>
      </c>
      <c r="D767" t="s">
        <v>1505</v>
      </c>
      <c r="E767" t="s">
        <v>1236</v>
      </c>
      <c r="F767" t="s">
        <v>3606</v>
      </c>
      <c r="G767" t="s">
        <v>6108</v>
      </c>
      <c r="H767">
        <v>0</v>
      </c>
      <c r="I767">
        <v>0</v>
      </c>
    </row>
    <row r="768" spans="1:9" x14ac:dyDescent="0.3">
      <c r="A768" t="s">
        <v>3607</v>
      </c>
      <c r="B768" t="s">
        <v>3608</v>
      </c>
      <c r="C768" t="s">
        <v>3571</v>
      </c>
      <c r="D768" t="s">
        <v>1505</v>
      </c>
      <c r="E768" t="s">
        <v>1236</v>
      </c>
      <c r="F768" t="s">
        <v>3609</v>
      </c>
      <c r="G768" t="s">
        <v>6109</v>
      </c>
      <c r="H768">
        <v>0</v>
      </c>
      <c r="I768">
        <v>0</v>
      </c>
    </row>
    <row r="769" spans="1:9" x14ac:dyDescent="0.3">
      <c r="A769" t="s">
        <v>3610</v>
      </c>
      <c r="B769" t="s">
        <v>3611</v>
      </c>
      <c r="C769" t="s">
        <v>3571</v>
      </c>
      <c r="D769" t="s">
        <v>1505</v>
      </c>
      <c r="E769" t="s">
        <v>1236</v>
      </c>
      <c r="F769" t="s">
        <v>3612</v>
      </c>
      <c r="G769" t="s">
        <v>6110</v>
      </c>
      <c r="H769">
        <v>0</v>
      </c>
      <c r="I769">
        <v>0</v>
      </c>
    </row>
    <row r="770" spans="1:9" x14ac:dyDescent="0.3">
      <c r="A770" t="s">
        <v>3613</v>
      </c>
      <c r="B770" t="s">
        <v>3614</v>
      </c>
      <c r="C770" t="s">
        <v>3571</v>
      </c>
      <c r="D770" t="s">
        <v>1505</v>
      </c>
      <c r="E770" t="s">
        <v>1236</v>
      </c>
      <c r="F770" t="s">
        <v>3615</v>
      </c>
      <c r="G770" t="s">
        <v>6111</v>
      </c>
      <c r="H770">
        <v>0</v>
      </c>
      <c r="I770">
        <v>0</v>
      </c>
    </row>
    <row r="771" spans="1:9" x14ac:dyDescent="0.3">
      <c r="A771" t="s">
        <v>3616</v>
      </c>
      <c r="B771" t="s">
        <v>3617</v>
      </c>
      <c r="C771" t="s">
        <v>3571</v>
      </c>
      <c r="D771" t="s">
        <v>1505</v>
      </c>
      <c r="E771" t="s">
        <v>1236</v>
      </c>
      <c r="F771" t="s">
        <v>3618</v>
      </c>
      <c r="G771" t="s">
        <v>6112</v>
      </c>
      <c r="H771">
        <v>0</v>
      </c>
      <c r="I771">
        <v>0</v>
      </c>
    </row>
    <row r="772" spans="1:9" x14ac:dyDescent="0.3">
      <c r="A772" t="s">
        <v>3619</v>
      </c>
      <c r="B772" t="s">
        <v>3620</v>
      </c>
      <c r="C772" t="s">
        <v>3571</v>
      </c>
      <c r="D772" t="s">
        <v>1505</v>
      </c>
      <c r="E772" t="s">
        <v>1236</v>
      </c>
      <c r="F772" t="s">
        <v>3621</v>
      </c>
      <c r="G772" t="s">
        <v>6113</v>
      </c>
      <c r="H772" t="s">
        <v>210</v>
      </c>
      <c r="I772">
        <v>0</v>
      </c>
    </row>
    <row r="773" spans="1:9" x14ac:dyDescent="0.3">
      <c r="A773" t="s">
        <v>3622</v>
      </c>
      <c r="B773" t="s">
        <v>3623</v>
      </c>
      <c r="C773" t="s">
        <v>3571</v>
      </c>
      <c r="D773" t="s">
        <v>1505</v>
      </c>
      <c r="E773" t="s">
        <v>1236</v>
      </c>
      <c r="F773" t="s">
        <v>3596</v>
      </c>
      <c r="G773" t="s">
        <v>6105</v>
      </c>
      <c r="H773">
        <v>0</v>
      </c>
      <c r="I773">
        <v>0</v>
      </c>
    </row>
    <row r="774" spans="1:9" x14ac:dyDescent="0.3">
      <c r="A774" t="s">
        <v>3624</v>
      </c>
      <c r="B774" t="s">
        <v>3625</v>
      </c>
      <c r="C774" t="s">
        <v>3571</v>
      </c>
      <c r="D774" t="s">
        <v>1505</v>
      </c>
      <c r="E774" t="s">
        <v>1236</v>
      </c>
      <c r="F774" t="s">
        <v>3626</v>
      </c>
      <c r="G774" t="s">
        <v>6114</v>
      </c>
      <c r="H774" t="s">
        <v>210</v>
      </c>
      <c r="I774">
        <v>0</v>
      </c>
    </row>
    <row r="775" spans="1:9" x14ac:dyDescent="0.3">
      <c r="A775" t="s">
        <v>3627</v>
      </c>
      <c r="B775" t="s">
        <v>3628</v>
      </c>
      <c r="C775" t="s">
        <v>1217</v>
      </c>
      <c r="D775" t="s">
        <v>1286</v>
      </c>
      <c r="E775" t="s">
        <v>1287</v>
      </c>
      <c r="F775" t="s">
        <v>3629</v>
      </c>
      <c r="G775" t="s">
        <v>6115</v>
      </c>
      <c r="H775">
        <v>0</v>
      </c>
      <c r="I775">
        <v>0</v>
      </c>
    </row>
    <row r="776" spans="1:9" x14ac:dyDescent="0.3">
      <c r="A776" t="s">
        <v>3630</v>
      </c>
      <c r="B776" t="s">
        <v>3631</v>
      </c>
      <c r="C776" t="s">
        <v>1217</v>
      </c>
      <c r="D776" t="s">
        <v>1286</v>
      </c>
      <c r="E776" t="s">
        <v>1287</v>
      </c>
      <c r="F776" t="s">
        <v>3632</v>
      </c>
      <c r="G776" t="s">
        <v>6116</v>
      </c>
      <c r="H776" t="s">
        <v>3633</v>
      </c>
      <c r="I776">
        <v>0</v>
      </c>
    </row>
    <row r="777" spans="1:9" x14ac:dyDescent="0.3">
      <c r="A777" t="s">
        <v>3634</v>
      </c>
      <c r="B777" t="s">
        <v>3635</v>
      </c>
      <c r="C777" t="s">
        <v>1217</v>
      </c>
      <c r="D777" t="s">
        <v>1286</v>
      </c>
      <c r="E777" t="s">
        <v>1287</v>
      </c>
      <c r="F777" t="s">
        <v>3636</v>
      </c>
      <c r="G777" t="s">
        <v>6117</v>
      </c>
      <c r="H777" t="s">
        <v>3637</v>
      </c>
      <c r="I777">
        <v>0</v>
      </c>
    </row>
    <row r="778" spans="1:9" x14ac:dyDescent="0.3">
      <c r="A778" t="s">
        <v>3638</v>
      </c>
      <c r="B778" t="s">
        <v>3639</v>
      </c>
      <c r="C778" t="s">
        <v>1217</v>
      </c>
      <c r="D778" t="s">
        <v>1286</v>
      </c>
      <c r="E778" t="s">
        <v>1287</v>
      </c>
      <c r="F778" t="s">
        <v>3640</v>
      </c>
      <c r="G778" t="s">
        <v>6118</v>
      </c>
      <c r="H778" t="s">
        <v>3637</v>
      </c>
      <c r="I778">
        <v>0</v>
      </c>
    </row>
    <row r="779" spans="1:9" x14ac:dyDescent="0.3">
      <c r="A779" t="s">
        <v>3641</v>
      </c>
      <c r="B779" t="s">
        <v>3642</v>
      </c>
      <c r="C779" t="s">
        <v>1217</v>
      </c>
      <c r="D779" t="s">
        <v>1286</v>
      </c>
      <c r="E779" t="s">
        <v>1287</v>
      </c>
      <c r="F779" t="s">
        <v>3643</v>
      </c>
      <c r="G779" t="s">
        <v>6119</v>
      </c>
      <c r="H779" t="s">
        <v>3644</v>
      </c>
      <c r="I779">
        <v>0</v>
      </c>
    </row>
    <row r="780" spans="1:9" x14ac:dyDescent="0.3">
      <c r="A780" t="s">
        <v>3645</v>
      </c>
      <c r="B780" t="s">
        <v>3646</v>
      </c>
      <c r="C780" t="s">
        <v>1217</v>
      </c>
      <c r="D780" t="s">
        <v>1286</v>
      </c>
      <c r="E780" t="s">
        <v>1287</v>
      </c>
      <c r="F780" t="s">
        <v>3647</v>
      </c>
      <c r="G780" t="s">
        <v>6120</v>
      </c>
      <c r="H780" t="s">
        <v>3644</v>
      </c>
      <c r="I780">
        <v>0</v>
      </c>
    </row>
    <row r="781" spans="1:9" x14ac:dyDescent="0.3">
      <c r="A781" t="s">
        <v>3648</v>
      </c>
      <c r="B781" t="s">
        <v>3649</v>
      </c>
      <c r="C781" t="s">
        <v>1217</v>
      </c>
      <c r="D781" t="s">
        <v>1286</v>
      </c>
      <c r="E781" t="s">
        <v>1287</v>
      </c>
      <c r="F781" t="s">
        <v>3650</v>
      </c>
      <c r="G781" t="s">
        <v>6121</v>
      </c>
      <c r="H781" t="s">
        <v>3644</v>
      </c>
      <c r="I781">
        <v>0</v>
      </c>
    </row>
    <row r="782" spans="1:9" x14ac:dyDescent="0.3">
      <c r="A782" t="s">
        <v>3651</v>
      </c>
      <c r="B782" t="s">
        <v>3652</v>
      </c>
      <c r="C782" t="s">
        <v>1217</v>
      </c>
      <c r="D782" t="s">
        <v>1286</v>
      </c>
      <c r="E782" t="s">
        <v>1287</v>
      </c>
      <c r="F782" t="s">
        <v>3653</v>
      </c>
      <c r="G782" t="s">
        <v>6122</v>
      </c>
      <c r="H782" t="s">
        <v>3654</v>
      </c>
      <c r="I782">
        <v>0</v>
      </c>
    </row>
    <row r="783" spans="1:9" x14ac:dyDescent="0.3">
      <c r="A783" t="s">
        <v>3655</v>
      </c>
      <c r="B783" t="s">
        <v>3656</v>
      </c>
      <c r="C783" t="s">
        <v>1217</v>
      </c>
      <c r="D783" t="s">
        <v>1286</v>
      </c>
      <c r="E783" t="s">
        <v>1287</v>
      </c>
      <c r="F783" t="s">
        <v>3657</v>
      </c>
      <c r="G783" t="s">
        <v>6123</v>
      </c>
      <c r="H783" t="s">
        <v>3633</v>
      </c>
      <c r="I783">
        <v>0</v>
      </c>
    </row>
    <row r="784" spans="1:9" x14ac:dyDescent="0.3">
      <c r="A784" t="s">
        <v>3658</v>
      </c>
      <c r="B784" t="s">
        <v>3659</v>
      </c>
      <c r="C784" t="s">
        <v>1217</v>
      </c>
      <c r="D784" t="s">
        <v>1286</v>
      </c>
      <c r="E784" t="s">
        <v>1287</v>
      </c>
      <c r="F784" t="s">
        <v>3660</v>
      </c>
      <c r="G784" t="s">
        <v>6124</v>
      </c>
      <c r="H784" t="s">
        <v>3637</v>
      </c>
      <c r="I784">
        <v>0</v>
      </c>
    </row>
    <row r="785" spans="1:9" x14ac:dyDescent="0.3">
      <c r="A785" t="s">
        <v>3661</v>
      </c>
      <c r="B785" t="s">
        <v>3662</v>
      </c>
      <c r="C785" t="s">
        <v>1217</v>
      </c>
      <c r="D785" t="s">
        <v>1286</v>
      </c>
      <c r="E785" t="s">
        <v>1287</v>
      </c>
      <c r="F785" t="s">
        <v>3663</v>
      </c>
      <c r="G785" t="s">
        <v>6125</v>
      </c>
      <c r="H785" t="s">
        <v>3644</v>
      </c>
      <c r="I785">
        <v>0</v>
      </c>
    </row>
    <row r="786" spans="1:9" x14ac:dyDescent="0.3">
      <c r="A786" t="s">
        <v>3664</v>
      </c>
      <c r="B786" t="s">
        <v>3665</v>
      </c>
      <c r="C786" t="s">
        <v>1217</v>
      </c>
      <c r="D786" t="s">
        <v>1286</v>
      </c>
      <c r="E786" t="s">
        <v>1287</v>
      </c>
      <c r="F786" t="s">
        <v>3666</v>
      </c>
      <c r="G786" t="s">
        <v>6126</v>
      </c>
      <c r="H786">
        <v>0</v>
      </c>
      <c r="I786">
        <v>0</v>
      </c>
    </row>
    <row r="787" spans="1:9" x14ac:dyDescent="0.3">
      <c r="A787" t="s">
        <v>3667</v>
      </c>
      <c r="B787" t="s">
        <v>3668</v>
      </c>
      <c r="C787" t="s">
        <v>1217</v>
      </c>
      <c r="D787" t="s">
        <v>1286</v>
      </c>
      <c r="E787" t="s">
        <v>1287</v>
      </c>
      <c r="F787" t="s">
        <v>3669</v>
      </c>
      <c r="G787" t="s">
        <v>6127</v>
      </c>
      <c r="H787" t="s">
        <v>3644</v>
      </c>
      <c r="I787">
        <v>0</v>
      </c>
    </row>
    <row r="788" spans="1:9" x14ac:dyDescent="0.3">
      <c r="A788" t="s">
        <v>3670</v>
      </c>
      <c r="B788" t="s">
        <v>3671</v>
      </c>
      <c r="C788" t="s">
        <v>1217</v>
      </c>
      <c r="D788" t="s">
        <v>1286</v>
      </c>
      <c r="E788" t="s">
        <v>1287</v>
      </c>
      <c r="F788" t="s">
        <v>3672</v>
      </c>
      <c r="G788" t="s">
        <v>6128</v>
      </c>
      <c r="H788" t="s">
        <v>3644</v>
      </c>
      <c r="I788">
        <v>0</v>
      </c>
    </row>
    <row r="789" spans="1:9" x14ac:dyDescent="0.3">
      <c r="A789" t="s">
        <v>3673</v>
      </c>
      <c r="B789" t="s">
        <v>3674</v>
      </c>
      <c r="C789" t="s">
        <v>1217</v>
      </c>
      <c r="D789" t="s">
        <v>1286</v>
      </c>
      <c r="E789" t="s">
        <v>1287</v>
      </c>
      <c r="F789" t="s">
        <v>3675</v>
      </c>
      <c r="G789" t="s">
        <v>6129</v>
      </c>
      <c r="H789" t="s">
        <v>3637</v>
      </c>
      <c r="I789">
        <v>0</v>
      </c>
    </row>
    <row r="790" spans="1:9" x14ac:dyDescent="0.3">
      <c r="A790" t="s">
        <v>3676</v>
      </c>
      <c r="B790" t="s">
        <v>3677</v>
      </c>
      <c r="C790" t="s">
        <v>1217</v>
      </c>
      <c r="D790" t="s">
        <v>1286</v>
      </c>
      <c r="E790" t="s">
        <v>1287</v>
      </c>
      <c r="F790" t="s">
        <v>3678</v>
      </c>
      <c r="G790" t="s">
        <v>6130</v>
      </c>
      <c r="H790" t="s">
        <v>3644</v>
      </c>
      <c r="I790">
        <v>0</v>
      </c>
    </row>
    <row r="791" spans="1:9" x14ac:dyDescent="0.3">
      <c r="A791" t="s">
        <v>3679</v>
      </c>
      <c r="B791" t="s">
        <v>3680</v>
      </c>
      <c r="C791" t="s">
        <v>1217</v>
      </c>
      <c r="D791" t="s">
        <v>1286</v>
      </c>
      <c r="E791" t="s">
        <v>1287</v>
      </c>
      <c r="F791" t="s">
        <v>3681</v>
      </c>
      <c r="G791" t="s">
        <v>6131</v>
      </c>
      <c r="H791" t="s">
        <v>3654</v>
      </c>
      <c r="I791">
        <v>0</v>
      </c>
    </row>
    <row r="792" spans="1:9" x14ac:dyDescent="0.3">
      <c r="A792" t="s">
        <v>3682</v>
      </c>
      <c r="B792" t="s">
        <v>3683</v>
      </c>
      <c r="C792" t="s">
        <v>1217</v>
      </c>
      <c r="D792" t="s">
        <v>1286</v>
      </c>
      <c r="E792" t="s">
        <v>1287</v>
      </c>
      <c r="F792" t="s">
        <v>3684</v>
      </c>
      <c r="G792" t="s">
        <v>6132</v>
      </c>
      <c r="H792" t="s">
        <v>3633</v>
      </c>
      <c r="I792">
        <v>0</v>
      </c>
    </row>
    <row r="793" spans="1:9" x14ac:dyDescent="0.3">
      <c r="A793" t="s">
        <v>3685</v>
      </c>
      <c r="B793" t="s">
        <v>3686</v>
      </c>
      <c r="C793" t="s">
        <v>1217</v>
      </c>
      <c r="D793" t="s">
        <v>1286</v>
      </c>
      <c r="E793" t="s">
        <v>1287</v>
      </c>
      <c r="F793" t="s">
        <v>3687</v>
      </c>
      <c r="G793" t="s">
        <v>6133</v>
      </c>
      <c r="H793">
        <v>0</v>
      </c>
      <c r="I793">
        <v>0</v>
      </c>
    </row>
    <row r="794" spans="1:9" x14ac:dyDescent="0.3">
      <c r="A794" t="s">
        <v>3688</v>
      </c>
      <c r="B794" t="s">
        <v>3689</v>
      </c>
      <c r="C794" t="s">
        <v>1217</v>
      </c>
      <c r="D794" t="s">
        <v>1286</v>
      </c>
      <c r="E794" t="s">
        <v>1287</v>
      </c>
      <c r="F794" t="s">
        <v>3690</v>
      </c>
      <c r="G794" t="s">
        <v>6134</v>
      </c>
      <c r="H794" t="s">
        <v>3633</v>
      </c>
      <c r="I794">
        <v>0</v>
      </c>
    </row>
    <row r="795" spans="1:9" x14ac:dyDescent="0.3">
      <c r="A795" t="s">
        <v>3691</v>
      </c>
      <c r="B795" t="s">
        <v>3692</v>
      </c>
      <c r="C795" t="s">
        <v>1217</v>
      </c>
      <c r="D795" t="s">
        <v>1286</v>
      </c>
      <c r="E795" t="s">
        <v>1287</v>
      </c>
      <c r="F795" t="s">
        <v>3693</v>
      </c>
      <c r="G795" t="s">
        <v>6135</v>
      </c>
      <c r="H795" t="s">
        <v>3633</v>
      </c>
      <c r="I795">
        <v>0</v>
      </c>
    </row>
    <row r="796" spans="1:9" x14ac:dyDescent="0.3">
      <c r="A796" t="s">
        <v>3694</v>
      </c>
      <c r="B796" t="s">
        <v>3695</v>
      </c>
      <c r="C796" t="s">
        <v>1217</v>
      </c>
      <c r="D796" t="s">
        <v>1286</v>
      </c>
      <c r="E796" t="s">
        <v>1287</v>
      </c>
      <c r="F796" t="s">
        <v>3696</v>
      </c>
      <c r="G796" t="s">
        <v>6136</v>
      </c>
      <c r="H796">
        <v>0</v>
      </c>
      <c r="I796">
        <v>0</v>
      </c>
    </row>
    <row r="797" spans="1:9" x14ac:dyDescent="0.3">
      <c r="A797" t="s">
        <v>3697</v>
      </c>
      <c r="B797" t="s">
        <v>3698</v>
      </c>
      <c r="C797" t="s">
        <v>1217</v>
      </c>
      <c r="D797" t="s">
        <v>1286</v>
      </c>
      <c r="E797" t="s">
        <v>1287</v>
      </c>
      <c r="F797" t="s">
        <v>3699</v>
      </c>
      <c r="G797" t="s">
        <v>6137</v>
      </c>
      <c r="H797" t="s">
        <v>3654</v>
      </c>
      <c r="I797">
        <v>0</v>
      </c>
    </row>
    <row r="798" spans="1:9" x14ac:dyDescent="0.3">
      <c r="A798" t="s">
        <v>3700</v>
      </c>
      <c r="B798" t="s">
        <v>3701</v>
      </c>
      <c r="C798" t="s">
        <v>1217</v>
      </c>
      <c r="D798" t="s">
        <v>1286</v>
      </c>
      <c r="E798" t="s">
        <v>1287</v>
      </c>
      <c r="F798" t="s">
        <v>3702</v>
      </c>
      <c r="G798" t="s">
        <v>6138</v>
      </c>
      <c r="H798" t="s">
        <v>3654</v>
      </c>
      <c r="I798">
        <v>0</v>
      </c>
    </row>
    <row r="799" spans="1:9" x14ac:dyDescent="0.3">
      <c r="A799" t="s">
        <v>3703</v>
      </c>
      <c r="B799" t="s">
        <v>3704</v>
      </c>
      <c r="C799" t="s">
        <v>1217</v>
      </c>
      <c r="D799" t="s">
        <v>1286</v>
      </c>
      <c r="E799" t="s">
        <v>1287</v>
      </c>
      <c r="F799" t="s">
        <v>3705</v>
      </c>
      <c r="G799" t="s">
        <v>6139</v>
      </c>
      <c r="H799" t="s">
        <v>3654</v>
      </c>
      <c r="I799">
        <v>0</v>
      </c>
    </row>
    <row r="800" spans="1:9" x14ac:dyDescent="0.3">
      <c r="A800" t="s">
        <v>3706</v>
      </c>
      <c r="B800" t="s">
        <v>3707</v>
      </c>
      <c r="C800" t="s">
        <v>1217</v>
      </c>
      <c r="D800" t="s">
        <v>1286</v>
      </c>
      <c r="E800" t="s">
        <v>1287</v>
      </c>
      <c r="F800" t="s">
        <v>3708</v>
      </c>
      <c r="G800" t="s">
        <v>6140</v>
      </c>
      <c r="H800" t="s">
        <v>3633</v>
      </c>
      <c r="I800">
        <v>0</v>
      </c>
    </row>
    <row r="801" spans="1:9" x14ac:dyDescent="0.3">
      <c r="A801" t="s">
        <v>3709</v>
      </c>
      <c r="B801" t="s">
        <v>3710</v>
      </c>
      <c r="C801" t="s">
        <v>1217</v>
      </c>
      <c r="D801" t="s">
        <v>1286</v>
      </c>
      <c r="E801" t="s">
        <v>1287</v>
      </c>
      <c r="F801" t="s">
        <v>3711</v>
      </c>
      <c r="G801" t="s">
        <v>6141</v>
      </c>
      <c r="H801" t="s">
        <v>3654</v>
      </c>
      <c r="I801">
        <v>0</v>
      </c>
    </row>
    <row r="802" spans="1:9" x14ac:dyDescent="0.3">
      <c r="A802" t="s">
        <v>3712</v>
      </c>
      <c r="B802" t="s">
        <v>3713</v>
      </c>
      <c r="C802" t="s">
        <v>1217</v>
      </c>
      <c r="D802" t="s">
        <v>1286</v>
      </c>
      <c r="E802" t="s">
        <v>1287</v>
      </c>
      <c r="F802" t="s">
        <v>3714</v>
      </c>
      <c r="G802" t="s">
        <v>6142</v>
      </c>
      <c r="H802" t="s">
        <v>3633</v>
      </c>
      <c r="I802">
        <v>0</v>
      </c>
    </row>
    <row r="803" spans="1:9" x14ac:dyDescent="0.3">
      <c r="A803" t="s">
        <v>3715</v>
      </c>
      <c r="B803" t="s">
        <v>3716</v>
      </c>
      <c r="C803" t="s">
        <v>1217</v>
      </c>
      <c r="D803" t="s">
        <v>1286</v>
      </c>
      <c r="E803" t="s">
        <v>1287</v>
      </c>
      <c r="F803" t="s">
        <v>3717</v>
      </c>
      <c r="G803" t="s">
        <v>6143</v>
      </c>
      <c r="H803" t="s">
        <v>3637</v>
      </c>
      <c r="I803">
        <v>0</v>
      </c>
    </row>
    <row r="804" spans="1:9" x14ac:dyDescent="0.3">
      <c r="A804" t="s">
        <v>3718</v>
      </c>
      <c r="B804" t="s">
        <v>3719</v>
      </c>
      <c r="C804" t="s">
        <v>1633</v>
      </c>
      <c r="D804" t="s">
        <v>2908</v>
      </c>
      <c r="E804" t="s">
        <v>1236</v>
      </c>
      <c r="F804" t="s">
        <v>3720</v>
      </c>
      <c r="G804" t="s">
        <v>6144</v>
      </c>
      <c r="H804" t="s">
        <v>3721</v>
      </c>
      <c r="I804">
        <v>0</v>
      </c>
    </row>
    <row r="805" spans="1:9" x14ac:dyDescent="0.3">
      <c r="A805" t="s">
        <v>3722</v>
      </c>
      <c r="B805" t="s">
        <v>3723</v>
      </c>
      <c r="C805" t="s">
        <v>1633</v>
      </c>
      <c r="D805" t="s">
        <v>2908</v>
      </c>
      <c r="E805" t="s">
        <v>1236</v>
      </c>
      <c r="F805" t="s">
        <v>3724</v>
      </c>
      <c r="G805" t="s">
        <v>6145</v>
      </c>
      <c r="H805">
        <v>0</v>
      </c>
      <c r="I805">
        <v>0</v>
      </c>
    </row>
    <row r="806" spans="1:9" x14ac:dyDescent="0.3">
      <c r="A806" t="s">
        <v>3725</v>
      </c>
      <c r="B806" t="s">
        <v>3726</v>
      </c>
      <c r="C806" t="s">
        <v>1633</v>
      </c>
      <c r="D806" t="s">
        <v>2908</v>
      </c>
      <c r="E806" t="s">
        <v>1236</v>
      </c>
      <c r="F806" t="s">
        <v>3727</v>
      </c>
      <c r="G806" t="s">
        <v>6146</v>
      </c>
      <c r="H806" t="s">
        <v>3721</v>
      </c>
      <c r="I806">
        <v>0</v>
      </c>
    </row>
    <row r="807" spans="1:9" x14ac:dyDescent="0.3">
      <c r="A807" t="s">
        <v>3728</v>
      </c>
      <c r="B807" t="s">
        <v>3729</v>
      </c>
      <c r="C807" t="s">
        <v>1633</v>
      </c>
      <c r="D807" t="s">
        <v>2908</v>
      </c>
      <c r="E807" t="s">
        <v>1236</v>
      </c>
      <c r="F807" t="s">
        <v>3730</v>
      </c>
      <c r="G807" t="s">
        <v>6147</v>
      </c>
      <c r="H807">
        <v>0</v>
      </c>
      <c r="I807">
        <v>0</v>
      </c>
    </row>
    <row r="808" spans="1:9" x14ac:dyDescent="0.3">
      <c r="A808" t="s">
        <v>3731</v>
      </c>
      <c r="B808" t="s">
        <v>3732</v>
      </c>
      <c r="C808" t="s">
        <v>1633</v>
      </c>
      <c r="D808" t="s">
        <v>2908</v>
      </c>
      <c r="E808" t="s">
        <v>1236</v>
      </c>
      <c r="F808" t="s">
        <v>3733</v>
      </c>
      <c r="G808" t="s">
        <v>6148</v>
      </c>
      <c r="H808">
        <v>0</v>
      </c>
      <c r="I808">
        <v>0</v>
      </c>
    </row>
    <row r="809" spans="1:9" x14ac:dyDescent="0.3">
      <c r="A809" t="s">
        <v>3734</v>
      </c>
      <c r="B809" t="s">
        <v>3735</v>
      </c>
      <c r="C809" t="s">
        <v>1633</v>
      </c>
      <c r="D809" t="s">
        <v>2908</v>
      </c>
      <c r="E809" t="s">
        <v>1236</v>
      </c>
      <c r="F809" t="s">
        <v>3736</v>
      </c>
      <c r="G809" t="s">
        <v>6149</v>
      </c>
      <c r="H809">
        <v>0</v>
      </c>
      <c r="I809">
        <v>0</v>
      </c>
    </row>
    <row r="810" spans="1:9" x14ac:dyDescent="0.3">
      <c r="A810" t="s">
        <v>3737</v>
      </c>
      <c r="B810" t="s">
        <v>3738</v>
      </c>
      <c r="C810" t="s">
        <v>1633</v>
      </c>
      <c r="D810" t="s">
        <v>2908</v>
      </c>
      <c r="E810" t="s">
        <v>1236</v>
      </c>
      <c r="F810" t="s">
        <v>3739</v>
      </c>
      <c r="G810" t="s">
        <v>6150</v>
      </c>
      <c r="H810">
        <v>0</v>
      </c>
      <c r="I810">
        <v>0</v>
      </c>
    </row>
    <row r="811" spans="1:9" x14ac:dyDescent="0.3">
      <c r="A811" t="s">
        <v>3740</v>
      </c>
      <c r="B811" t="s">
        <v>3741</v>
      </c>
      <c r="C811" t="s">
        <v>1633</v>
      </c>
      <c r="D811" t="s">
        <v>2908</v>
      </c>
      <c r="E811" t="s">
        <v>1236</v>
      </c>
      <c r="F811" t="s">
        <v>3742</v>
      </c>
      <c r="G811" t="s">
        <v>6151</v>
      </c>
      <c r="H811">
        <v>0</v>
      </c>
      <c r="I811">
        <v>0</v>
      </c>
    </row>
    <row r="812" spans="1:9" x14ac:dyDescent="0.3">
      <c r="A812" t="s">
        <v>3743</v>
      </c>
      <c r="B812" t="s">
        <v>3744</v>
      </c>
      <c r="C812" t="s">
        <v>1633</v>
      </c>
      <c r="D812" t="s">
        <v>2908</v>
      </c>
      <c r="E812" t="s">
        <v>1236</v>
      </c>
      <c r="F812" t="s">
        <v>3745</v>
      </c>
      <c r="G812" t="s">
        <v>6152</v>
      </c>
      <c r="H812">
        <v>0</v>
      </c>
      <c r="I812">
        <v>0</v>
      </c>
    </row>
    <row r="813" spans="1:9" x14ac:dyDescent="0.3">
      <c r="A813" t="s">
        <v>3746</v>
      </c>
      <c r="B813" t="s">
        <v>3747</v>
      </c>
      <c r="C813" t="s">
        <v>1633</v>
      </c>
      <c r="D813" t="s">
        <v>2908</v>
      </c>
      <c r="E813" t="s">
        <v>1236</v>
      </c>
      <c r="F813" t="s">
        <v>3748</v>
      </c>
      <c r="G813" t="s">
        <v>6153</v>
      </c>
      <c r="H813">
        <v>0</v>
      </c>
      <c r="I813">
        <v>0</v>
      </c>
    </row>
    <row r="814" spans="1:9" x14ac:dyDescent="0.3">
      <c r="A814" t="s">
        <v>3749</v>
      </c>
      <c r="B814" t="s">
        <v>3750</v>
      </c>
      <c r="C814" t="s">
        <v>1633</v>
      </c>
      <c r="D814" t="s">
        <v>2908</v>
      </c>
      <c r="E814" t="s">
        <v>1236</v>
      </c>
      <c r="F814" t="s">
        <v>3751</v>
      </c>
      <c r="G814" t="s">
        <v>6154</v>
      </c>
      <c r="H814">
        <v>0</v>
      </c>
      <c r="I814">
        <v>0</v>
      </c>
    </row>
    <row r="815" spans="1:9" x14ac:dyDescent="0.3">
      <c r="A815" t="s">
        <v>3752</v>
      </c>
      <c r="B815" t="s">
        <v>3753</v>
      </c>
      <c r="C815" t="s">
        <v>1633</v>
      </c>
      <c r="D815" t="s">
        <v>2908</v>
      </c>
      <c r="E815" t="s">
        <v>1236</v>
      </c>
      <c r="F815" t="s">
        <v>3754</v>
      </c>
      <c r="G815" t="s">
        <v>6155</v>
      </c>
      <c r="H815" t="s">
        <v>3721</v>
      </c>
      <c r="I815">
        <v>0</v>
      </c>
    </row>
    <row r="816" spans="1:9" x14ac:dyDescent="0.3">
      <c r="A816" t="s">
        <v>3755</v>
      </c>
      <c r="B816" t="s">
        <v>3756</v>
      </c>
      <c r="C816" t="s">
        <v>1633</v>
      </c>
      <c r="D816" t="s">
        <v>2908</v>
      </c>
      <c r="E816" t="s">
        <v>1236</v>
      </c>
      <c r="F816" t="s">
        <v>3757</v>
      </c>
      <c r="G816" t="s">
        <v>6156</v>
      </c>
      <c r="H816">
        <v>0</v>
      </c>
      <c r="I816">
        <v>0</v>
      </c>
    </row>
    <row r="817" spans="1:9" x14ac:dyDescent="0.3">
      <c r="A817" t="s">
        <v>3758</v>
      </c>
      <c r="B817" t="s">
        <v>3759</v>
      </c>
      <c r="C817" t="s">
        <v>1633</v>
      </c>
      <c r="D817" t="s">
        <v>2908</v>
      </c>
      <c r="E817" t="s">
        <v>1236</v>
      </c>
      <c r="F817" t="s">
        <v>3760</v>
      </c>
      <c r="G817" t="s">
        <v>6157</v>
      </c>
      <c r="H817">
        <v>0</v>
      </c>
      <c r="I817">
        <v>0</v>
      </c>
    </row>
    <row r="818" spans="1:9" x14ac:dyDescent="0.3">
      <c r="A818" t="s">
        <v>3761</v>
      </c>
      <c r="B818" t="s">
        <v>3762</v>
      </c>
      <c r="C818" t="s">
        <v>1633</v>
      </c>
      <c r="D818" t="s">
        <v>2908</v>
      </c>
      <c r="E818" t="s">
        <v>1236</v>
      </c>
      <c r="F818" t="s">
        <v>3763</v>
      </c>
      <c r="G818" t="s">
        <v>6158</v>
      </c>
      <c r="H818">
        <v>0</v>
      </c>
      <c r="I818">
        <v>0</v>
      </c>
    </row>
    <row r="819" spans="1:9" x14ac:dyDescent="0.3">
      <c r="A819" t="s">
        <v>3764</v>
      </c>
      <c r="B819" t="s">
        <v>3765</v>
      </c>
      <c r="C819" t="s">
        <v>1633</v>
      </c>
      <c r="D819" t="s">
        <v>2908</v>
      </c>
      <c r="E819" t="s">
        <v>1236</v>
      </c>
      <c r="F819" t="s">
        <v>3766</v>
      </c>
      <c r="G819" t="s">
        <v>6159</v>
      </c>
      <c r="H819">
        <v>0</v>
      </c>
      <c r="I819">
        <v>0</v>
      </c>
    </row>
    <row r="820" spans="1:9" x14ac:dyDescent="0.3">
      <c r="A820" t="s">
        <v>3767</v>
      </c>
      <c r="B820" t="s">
        <v>3768</v>
      </c>
      <c r="C820" t="s">
        <v>1633</v>
      </c>
      <c r="D820" t="s">
        <v>2908</v>
      </c>
      <c r="E820" t="s">
        <v>1236</v>
      </c>
      <c r="F820" t="s">
        <v>3769</v>
      </c>
      <c r="G820" t="s">
        <v>6160</v>
      </c>
      <c r="H820">
        <v>0</v>
      </c>
      <c r="I820">
        <v>0</v>
      </c>
    </row>
    <row r="821" spans="1:9" x14ac:dyDescent="0.3">
      <c r="A821" t="s">
        <v>3770</v>
      </c>
      <c r="B821" t="s">
        <v>3771</v>
      </c>
      <c r="C821" t="s">
        <v>1633</v>
      </c>
      <c r="D821" t="s">
        <v>2908</v>
      </c>
      <c r="E821" t="s">
        <v>1236</v>
      </c>
      <c r="F821" t="s">
        <v>3772</v>
      </c>
      <c r="G821" t="s">
        <v>6161</v>
      </c>
      <c r="H821">
        <v>0</v>
      </c>
      <c r="I821">
        <v>0</v>
      </c>
    </row>
    <row r="822" spans="1:9" x14ac:dyDescent="0.3">
      <c r="A822" t="s">
        <v>3773</v>
      </c>
      <c r="B822" t="s">
        <v>3774</v>
      </c>
      <c r="C822" t="s">
        <v>1633</v>
      </c>
      <c r="D822" t="s">
        <v>2908</v>
      </c>
      <c r="E822" t="s">
        <v>1236</v>
      </c>
      <c r="F822" t="s">
        <v>3775</v>
      </c>
      <c r="G822" t="s">
        <v>6162</v>
      </c>
      <c r="H822">
        <v>0</v>
      </c>
      <c r="I822">
        <v>0</v>
      </c>
    </row>
    <row r="823" spans="1:9" x14ac:dyDescent="0.3">
      <c r="A823" t="s">
        <v>3776</v>
      </c>
      <c r="B823" t="s">
        <v>3777</v>
      </c>
      <c r="C823" t="s">
        <v>1633</v>
      </c>
      <c r="D823" t="s">
        <v>2908</v>
      </c>
      <c r="E823" t="s">
        <v>1236</v>
      </c>
      <c r="F823" t="s">
        <v>3778</v>
      </c>
      <c r="G823" t="s">
        <v>6163</v>
      </c>
      <c r="H823">
        <v>0</v>
      </c>
      <c r="I823">
        <v>0</v>
      </c>
    </row>
    <row r="824" spans="1:9" x14ac:dyDescent="0.3">
      <c r="A824" t="s">
        <v>3779</v>
      </c>
      <c r="B824" t="s">
        <v>3780</v>
      </c>
      <c r="C824" t="s">
        <v>1633</v>
      </c>
      <c r="D824" t="s">
        <v>2908</v>
      </c>
      <c r="E824" t="s">
        <v>1236</v>
      </c>
      <c r="F824" t="s">
        <v>3781</v>
      </c>
      <c r="G824" t="s">
        <v>6164</v>
      </c>
      <c r="H824">
        <v>0</v>
      </c>
      <c r="I824">
        <v>0</v>
      </c>
    </row>
    <row r="825" spans="1:9" x14ac:dyDescent="0.3">
      <c r="A825" t="s">
        <v>3782</v>
      </c>
      <c r="B825" t="s">
        <v>3783</v>
      </c>
      <c r="C825" t="s">
        <v>1633</v>
      </c>
      <c r="D825" t="s">
        <v>2908</v>
      </c>
      <c r="E825" t="s">
        <v>1236</v>
      </c>
      <c r="F825" t="s">
        <v>3784</v>
      </c>
      <c r="G825" t="s">
        <v>6165</v>
      </c>
      <c r="H825">
        <v>0</v>
      </c>
      <c r="I825">
        <v>0</v>
      </c>
    </row>
    <row r="826" spans="1:9" x14ac:dyDescent="0.3">
      <c r="A826" t="s">
        <v>3785</v>
      </c>
      <c r="B826" t="s">
        <v>3786</v>
      </c>
      <c r="C826" t="s">
        <v>1633</v>
      </c>
      <c r="D826" t="s">
        <v>2908</v>
      </c>
      <c r="E826" t="s">
        <v>1236</v>
      </c>
      <c r="F826" t="s">
        <v>3787</v>
      </c>
      <c r="G826" t="s">
        <v>6166</v>
      </c>
      <c r="H826">
        <v>0</v>
      </c>
      <c r="I826">
        <v>0</v>
      </c>
    </row>
    <row r="827" spans="1:9" x14ac:dyDescent="0.3">
      <c r="A827" t="s">
        <v>3788</v>
      </c>
      <c r="B827" t="s">
        <v>3789</v>
      </c>
      <c r="C827" t="s">
        <v>1633</v>
      </c>
      <c r="D827" t="s">
        <v>2908</v>
      </c>
      <c r="E827" t="s">
        <v>1236</v>
      </c>
      <c r="F827" t="s">
        <v>3790</v>
      </c>
      <c r="G827" t="s">
        <v>6167</v>
      </c>
      <c r="H827" t="s">
        <v>3721</v>
      </c>
      <c r="I827">
        <v>0</v>
      </c>
    </row>
    <row r="828" spans="1:9" x14ac:dyDescent="0.3">
      <c r="A828" t="s">
        <v>3791</v>
      </c>
      <c r="B828" t="s">
        <v>3792</v>
      </c>
      <c r="C828" t="s">
        <v>1633</v>
      </c>
      <c r="D828" t="s">
        <v>2908</v>
      </c>
      <c r="E828" t="s">
        <v>1236</v>
      </c>
      <c r="F828" t="s">
        <v>3793</v>
      </c>
      <c r="G828" t="s">
        <v>6168</v>
      </c>
      <c r="H828" t="s">
        <v>3721</v>
      </c>
      <c r="I828">
        <v>0</v>
      </c>
    </row>
    <row r="829" spans="1:9" x14ac:dyDescent="0.3">
      <c r="A829" t="s">
        <v>3794</v>
      </c>
      <c r="B829" t="s">
        <v>3795</v>
      </c>
      <c r="C829" t="s">
        <v>1633</v>
      </c>
      <c r="D829" t="s">
        <v>2908</v>
      </c>
      <c r="E829" t="s">
        <v>1236</v>
      </c>
      <c r="F829" t="s">
        <v>3796</v>
      </c>
      <c r="G829" t="s">
        <v>6169</v>
      </c>
      <c r="H829" t="s">
        <v>3721</v>
      </c>
      <c r="I829">
        <v>0</v>
      </c>
    </row>
    <row r="830" spans="1:9" x14ac:dyDescent="0.3">
      <c r="A830" t="s">
        <v>3797</v>
      </c>
      <c r="B830" t="s">
        <v>3798</v>
      </c>
      <c r="C830" t="s">
        <v>1633</v>
      </c>
      <c r="D830" t="s">
        <v>2908</v>
      </c>
      <c r="E830" t="s">
        <v>1236</v>
      </c>
      <c r="F830" t="s">
        <v>3799</v>
      </c>
      <c r="G830" t="s">
        <v>6170</v>
      </c>
      <c r="H830">
        <v>0</v>
      </c>
      <c r="I830">
        <v>0</v>
      </c>
    </row>
    <row r="831" spans="1:9" x14ac:dyDescent="0.3">
      <c r="A831" t="s">
        <v>3800</v>
      </c>
      <c r="B831" t="s">
        <v>3801</v>
      </c>
      <c r="C831" t="s">
        <v>1633</v>
      </c>
      <c r="D831" t="s">
        <v>2908</v>
      </c>
      <c r="E831" t="s">
        <v>1236</v>
      </c>
      <c r="F831" t="s">
        <v>3802</v>
      </c>
      <c r="G831" t="s">
        <v>6171</v>
      </c>
      <c r="H831">
        <v>0</v>
      </c>
      <c r="I831">
        <v>0</v>
      </c>
    </row>
    <row r="832" spans="1:9" x14ac:dyDescent="0.3">
      <c r="A832" t="s">
        <v>3803</v>
      </c>
      <c r="B832" t="s">
        <v>3804</v>
      </c>
      <c r="C832" t="s">
        <v>1633</v>
      </c>
      <c r="D832" t="s">
        <v>2908</v>
      </c>
      <c r="E832" t="s">
        <v>1236</v>
      </c>
      <c r="F832" t="s">
        <v>3805</v>
      </c>
      <c r="G832" t="s">
        <v>6172</v>
      </c>
      <c r="H832">
        <v>0</v>
      </c>
      <c r="I832">
        <v>0</v>
      </c>
    </row>
    <row r="833" spans="1:9" x14ac:dyDescent="0.3">
      <c r="A833" t="s">
        <v>3806</v>
      </c>
      <c r="B833" t="s">
        <v>3807</v>
      </c>
      <c r="C833" t="s">
        <v>1633</v>
      </c>
      <c r="D833" t="s">
        <v>2908</v>
      </c>
      <c r="E833" t="s">
        <v>1236</v>
      </c>
      <c r="F833" t="s">
        <v>3808</v>
      </c>
      <c r="G833" t="s">
        <v>6173</v>
      </c>
      <c r="H833">
        <v>0</v>
      </c>
      <c r="I833">
        <v>0</v>
      </c>
    </row>
    <row r="834" spans="1:9" x14ac:dyDescent="0.3">
      <c r="A834" t="s">
        <v>3809</v>
      </c>
      <c r="B834" t="s">
        <v>3810</v>
      </c>
      <c r="C834" t="s">
        <v>1633</v>
      </c>
      <c r="D834" t="s">
        <v>2908</v>
      </c>
      <c r="E834" t="s">
        <v>1236</v>
      </c>
      <c r="F834" t="s">
        <v>3811</v>
      </c>
      <c r="G834" t="s">
        <v>6174</v>
      </c>
      <c r="H834">
        <v>0</v>
      </c>
      <c r="I834">
        <v>0</v>
      </c>
    </row>
    <row r="835" spans="1:9" x14ac:dyDescent="0.3">
      <c r="A835" t="s">
        <v>3812</v>
      </c>
      <c r="B835" t="s">
        <v>3813</v>
      </c>
      <c r="C835" t="s">
        <v>1633</v>
      </c>
      <c r="D835" t="s">
        <v>2908</v>
      </c>
      <c r="E835" t="s">
        <v>1236</v>
      </c>
      <c r="F835" t="s">
        <v>3814</v>
      </c>
      <c r="G835" t="s">
        <v>6175</v>
      </c>
      <c r="H835">
        <v>0</v>
      </c>
      <c r="I835">
        <v>0</v>
      </c>
    </row>
    <row r="836" spans="1:9" x14ac:dyDescent="0.3">
      <c r="A836" t="s">
        <v>3815</v>
      </c>
      <c r="B836" t="s">
        <v>3816</v>
      </c>
      <c r="C836" t="s">
        <v>1633</v>
      </c>
      <c r="D836" t="s">
        <v>2908</v>
      </c>
      <c r="E836" t="s">
        <v>1236</v>
      </c>
      <c r="F836" t="s">
        <v>3817</v>
      </c>
      <c r="G836" t="s">
        <v>6176</v>
      </c>
      <c r="H836">
        <v>0</v>
      </c>
      <c r="I836">
        <v>0</v>
      </c>
    </row>
    <row r="837" spans="1:9" x14ac:dyDescent="0.3">
      <c r="A837" t="s">
        <v>3818</v>
      </c>
      <c r="B837" t="s">
        <v>3819</v>
      </c>
      <c r="C837" t="s">
        <v>1633</v>
      </c>
      <c r="D837" t="s">
        <v>2908</v>
      </c>
      <c r="E837" t="s">
        <v>1236</v>
      </c>
      <c r="F837" t="s">
        <v>3820</v>
      </c>
      <c r="G837" t="s">
        <v>6177</v>
      </c>
      <c r="H837">
        <v>0</v>
      </c>
      <c r="I837">
        <v>0</v>
      </c>
    </row>
    <row r="838" spans="1:9" x14ac:dyDescent="0.3">
      <c r="A838" t="s">
        <v>3821</v>
      </c>
      <c r="B838" t="s">
        <v>3822</v>
      </c>
      <c r="C838" t="s">
        <v>1633</v>
      </c>
      <c r="D838" t="s">
        <v>2908</v>
      </c>
      <c r="E838" t="s">
        <v>1236</v>
      </c>
      <c r="F838" t="s">
        <v>3823</v>
      </c>
      <c r="G838" t="s">
        <v>6178</v>
      </c>
      <c r="H838">
        <v>0</v>
      </c>
      <c r="I838">
        <v>0</v>
      </c>
    </row>
    <row r="839" spans="1:9" x14ac:dyDescent="0.3">
      <c r="A839" t="s">
        <v>3824</v>
      </c>
      <c r="B839" t="s">
        <v>3825</v>
      </c>
      <c r="C839" t="s">
        <v>1633</v>
      </c>
      <c r="D839" t="s">
        <v>2908</v>
      </c>
      <c r="E839" t="s">
        <v>1236</v>
      </c>
      <c r="F839" t="s">
        <v>3826</v>
      </c>
      <c r="G839" t="s">
        <v>6179</v>
      </c>
      <c r="H839">
        <v>0</v>
      </c>
      <c r="I839">
        <v>0</v>
      </c>
    </row>
    <row r="840" spans="1:9" x14ac:dyDescent="0.3">
      <c r="A840" t="s">
        <v>3827</v>
      </c>
      <c r="B840" t="s">
        <v>3828</v>
      </c>
      <c r="C840" t="s">
        <v>1633</v>
      </c>
      <c r="D840" t="s">
        <v>2908</v>
      </c>
      <c r="E840" t="s">
        <v>1236</v>
      </c>
      <c r="F840" t="s">
        <v>3829</v>
      </c>
      <c r="G840" t="s">
        <v>6180</v>
      </c>
      <c r="H840">
        <v>0</v>
      </c>
      <c r="I840">
        <v>0</v>
      </c>
    </row>
    <row r="841" spans="1:9" x14ac:dyDescent="0.3">
      <c r="A841" t="s">
        <v>3830</v>
      </c>
      <c r="B841" t="s">
        <v>3831</v>
      </c>
      <c r="C841" t="s">
        <v>1633</v>
      </c>
      <c r="D841" t="s">
        <v>2908</v>
      </c>
      <c r="E841" t="s">
        <v>1236</v>
      </c>
      <c r="F841" t="s">
        <v>3832</v>
      </c>
      <c r="G841" t="s">
        <v>6181</v>
      </c>
      <c r="H841">
        <v>0</v>
      </c>
      <c r="I841">
        <v>0</v>
      </c>
    </row>
    <row r="842" spans="1:9" x14ac:dyDescent="0.3">
      <c r="A842" t="s">
        <v>3833</v>
      </c>
      <c r="B842" t="s">
        <v>3834</v>
      </c>
      <c r="C842" t="s">
        <v>1633</v>
      </c>
      <c r="D842" t="s">
        <v>2908</v>
      </c>
      <c r="E842" t="s">
        <v>1236</v>
      </c>
      <c r="F842" t="s">
        <v>3835</v>
      </c>
      <c r="G842" t="s">
        <v>6182</v>
      </c>
      <c r="H842">
        <v>0</v>
      </c>
      <c r="I842">
        <v>0</v>
      </c>
    </row>
    <row r="843" spans="1:9" x14ac:dyDescent="0.3">
      <c r="A843" t="s">
        <v>3836</v>
      </c>
      <c r="B843" t="s">
        <v>3837</v>
      </c>
      <c r="C843" t="s">
        <v>1633</v>
      </c>
      <c r="D843" t="s">
        <v>2908</v>
      </c>
      <c r="E843" t="s">
        <v>1236</v>
      </c>
      <c r="F843" t="s">
        <v>3838</v>
      </c>
      <c r="G843" t="s">
        <v>6183</v>
      </c>
      <c r="H843">
        <v>0</v>
      </c>
      <c r="I843">
        <v>0</v>
      </c>
    </row>
    <row r="844" spans="1:9" x14ac:dyDescent="0.3">
      <c r="A844" t="s">
        <v>3839</v>
      </c>
      <c r="B844" t="s">
        <v>3840</v>
      </c>
      <c r="C844" t="s">
        <v>1633</v>
      </c>
      <c r="D844" t="s">
        <v>2908</v>
      </c>
      <c r="E844" t="s">
        <v>1236</v>
      </c>
      <c r="F844" t="s">
        <v>3841</v>
      </c>
      <c r="G844" t="s">
        <v>6184</v>
      </c>
      <c r="H844">
        <v>0</v>
      </c>
      <c r="I844">
        <v>0</v>
      </c>
    </row>
    <row r="845" spans="1:9" x14ac:dyDescent="0.3">
      <c r="A845" t="s">
        <v>3842</v>
      </c>
      <c r="B845" t="s">
        <v>3843</v>
      </c>
      <c r="C845" t="s">
        <v>1633</v>
      </c>
      <c r="D845" t="s">
        <v>2908</v>
      </c>
      <c r="E845" t="s">
        <v>1236</v>
      </c>
      <c r="F845" t="s">
        <v>3844</v>
      </c>
      <c r="G845" t="s">
        <v>6185</v>
      </c>
      <c r="H845">
        <v>0</v>
      </c>
      <c r="I845">
        <v>0</v>
      </c>
    </row>
    <row r="846" spans="1:9" x14ac:dyDescent="0.3">
      <c r="A846" t="s">
        <v>3845</v>
      </c>
      <c r="B846" t="s">
        <v>3846</v>
      </c>
      <c r="C846" t="s">
        <v>1633</v>
      </c>
      <c r="D846" t="s">
        <v>2908</v>
      </c>
      <c r="E846" t="s">
        <v>1236</v>
      </c>
      <c r="F846" t="s">
        <v>3847</v>
      </c>
      <c r="G846" t="s">
        <v>6186</v>
      </c>
      <c r="H846">
        <v>0</v>
      </c>
      <c r="I846">
        <v>0</v>
      </c>
    </row>
    <row r="847" spans="1:9" x14ac:dyDescent="0.3">
      <c r="A847" t="s">
        <v>3848</v>
      </c>
      <c r="B847" t="s">
        <v>3849</v>
      </c>
      <c r="C847" t="s">
        <v>3850</v>
      </c>
      <c r="D847" t="s">
        <v>1823</v>
      </c>
      <c r="E847" t="s">
        <v>1236</v>
      </c>
      <c r="F847" t="s">
        <v>3851</v>
      </c>
      <c r="G847" t="s">
        <v>6187</v>
      </c>
      <c r="H847">
        <v>0</v>
      </c>
      <c r="I847">
        <v>0</v>
      </c>
    </row>
    <row r="848" spans="1:9" x14ac:dyDescent="0.3">
      <c r="A848" t="s">
        <v>3852</v>
      </c>
      <c r="B848" t="s">
        <v>3853</v>
      </c>
      <c r="C848" t="s">
        <v>3850</v>
      </c>
      <c r="D848" t="s">
        <v>1823</v>
      </c>
      <c r="E848" t="s">
        <v>1236</v>
      </c>
      <c r="F848" t="s">
        <v>3854</v>
      </c>
      <c r="G848" t="s">
        <v>6188</v>
      </c>
      <c r="H848">
        <v>0</v>
      </c>
      <c r="I848">
        <v>0</v>
      </c>
    </row>
    <row r="849" spans="1:9" x14ac:dyDescent="0.3">
      <c r="A849" t="s">
        <v>3855</v>
      </c>
      <c r="B849" t="s">
        <v>3856</v>
      </c>
      <c r="C849" t="s">
        <v>3850</v>
      </c>
      <c r="D849" t="s">
        <v>1823</v>
      </c>
      <c r="E849" t="s">
        <v>1236</v>
      </c>
      <c r="F849" t="s">
        <v>3857</v>
      </c>
      <c r="G849" t="s">
        <v>6189</v>
      </c>
      <c r="H849">
        <v>0</v>
      </c>
      <c r="I849">
        <v>0</v>
      </c>
    </row>
    <row r="850" spans="1:9" x14ac:dyDescent="0.3">
      <c r="A850" t="s">
        <v>3858</v>
      </c>
      <c r="B850" t="s">
        <v>3859</v>
      </c>
      <c r="C850" t="s">
        <v>3850</v>
      </c>
      <c r="D850" t="s">
        <v>1823</v>
      </c>
      <c r="E850" t="s">
        <v>1236</v>
      </c>
      <c r="F850" t="s">
        <v>3860</v>
      </c>
      <c r="G850" t="s">
        <v>6190</v>
      </c>
      <c r="H850">
        <v>0</v>
      </c>
      <c r="I850">
        <v>0</v>
      </c>
    </row>
    <row r="851" spans="1:9" x14ac:dyDescent="0.3">
      <c r="A851" t="s">
        <v>3861</v>
      </c>
      <c r="B851" t="s">
        <v>3862</v>
      </c>
      <c r="C851" t="s">
        <v>3850</v>
      </c>
      <c r="D851" t="s">
        <v>1823</v>
      </c>
      <c r="E851" t="s">
        <v>1236</v>
      </c>
      <c r="F851" t="s">
        <v>3863</v>
      </c>
      <c r="G851" t="s">
        <v>6191</v>
      </c>
      <c r="H851">
        <v>0</v>
      </c>
      <c r="I851">
        <v>0</v>
      </c>
    </row>
    <row r="852" spans="1:9" x14ac:dyDescent="0.3">
      <c r="A852" t="s">
        <v>3864</v>
      </c>
      <c r="B852" t="s">
        <v>3865</v>
      </c>
      <c r="C852" t="s">
        <v>3850</v>
      </c>
      <c r="D852" t="s">
        <v>1823</v>
      </c>
      <c r="E852" t="s">
        <v>1236</v>
      </c>
      <c r="F852" t="s">
        <v>3866</v>
      </c>
      <c r="G852" t="s">
        <v>6192</v>
      </c>
      <c r="H852">
        <v>0</v>
      </c>
      <c r="I852">
        <v>0</v>
      </c>
    </row>
    <row r="853" spans="1:9" x14ac:dyDescent="0.3">
      <c r="A853" t="s">
        <v>3867</v>
      </c>
      <c r="B853" t="s">
        <v>3868</v>
      </c>
      <c r="C853" t="s">
        <v>3850</v>
      </c>
      <c r="D853" t="s">
        <v>1823</v>
      </c>
      <c r="E853" t="s">
        <v>1236</v>
      </c>
      <c r="F853" t="s">
        <v>3869</v>
      </c>
      <c r="G853" t="s">
        <v>6193</v>
      </c>
      <c r="H853">
        <v>0</v>
      </c>
      <c r="I853">
        <v>0</v>
      </c>
    </row>
    <row r="854" spans="1:9" x14ac:dyDescent="0.3">
      <c r="A854" t="s">
        <v>3870</v>
      </c>
      <c r="B854" t="s">
        <v>3871</v>
      </c>
      <c r="C854" t="s">
        <v>3850</v>
      </c>
      <c r="D854" t="s">
        <v>1823</v>
      </c>
      <c r="E854" t="s">
        <v>1236</v>
      </c>
      <c r="F854" t="s">
        <v>3872</v>
      </c>
      <c r="G854" t="s">
        <v>6194</v>
      </c>
      <c r="H854">
        <v>0</v>
      </c>
      <c r="I854">
        <v>0</v>
      </c>
    </row>
    <row r="855" spans="1:9" x14ac:dyDescent="0.3">
      <c r="A855" t="s">
        <v>3873</v>
      </c>
      <c r="B855" t="s">
        <v>3874</v>
      </c>
      <c r="C855" t="s">
        <v>3850</v>
      </c>
      <c r="D855" t="s">
        <v>1823</v>
      </c>
      <c r="E855" t="s">
        <v>1236</v>
      </c>
      <c r="F855" t="s">
        <v>3875</v>
      </c>
      <c r="G855" t="s">
        <v>6195</v>
      </c>
      <c r="H855" t="s">
        <v>3876</v>
      </c>
      <c r="I855">
        <v>0</v>
      </c>
    </row>
    <row r="856" spans="1:9" x14ac:dyDescent="0.3">
      <c r="A856" t="s">
        <v>3877</v>
      </c>
      <c r="B856" t="s">
        <v>3878</v>
      </c>
      <c r="C856" t="s">
        <v>3850</v>
      </c>
      <c r="D856" t="s">
        <v>1823</v>
      </c>
      <c r="E856" t="s">
        <v>1236</v>
      </c>
      <c r="F856" t="s">
        <v>3879</v>
      </c>
      <c r="G856" t="s">
        <v>6196</v>
      </c>
      <c r="H856" t="s">
        <v>3876</v>
      </c>
      <c r="I856">
        <v>0</v>
      </c>
    </row>
    <row r="857" spans="1:9" x14ac:dyDescent="0.3">
      <c r="A857" t="s">
        <v>3880</v>
      </c>
      <c r="B857" t="s">
        <v>3881</v>
      </c>
      <c r="C857" t="s">
        <v>3850</v>
      </c>
      <c r="D857" t="s">
        <v>1823</v>
      </c>
      <c r="E857" t="s">
        <v>1236</v>
      </c>
      <c r="F857" t="s">
        <v>3882</v>
      </c>
      <c r="G857" t="s">
        <v>6197</v>
      </c>
      <c r="H857">
        <v>0</v>
      </c>
      <c r="I857">
        <v>0</v>
      </c>
    </row>
    <row r="858" spans="1:9" x14ac:dyDescent="0.3">
      <c r="A858" t="s">
        <v>3883</v>
      </c>
      <c r="B858" t="s">
        <v>3884</v>
      </c>
      <c r="C858" t="s">
        <v>3850</v>
      </c>
      <c r="D858" t="s">
        <v>1823</v>
      </c>
      <c r="E858" t="s">
        <v>1236</v>
      </c>
      <c r="F858" t="s">
        <v>3885</v>
      </c>
      <c r="G858" t="s">
        <v>6198</v>
      </c>
      <c r="H858">
        <v>0</v>
      </c>
      <c r="I858">
        <v>0</v>
      </c>
    </row>
    <row r="859" spans="1:9" x14ac:dyDescent="0.3">
      <c r="A859" t="s">
        <v>3886</v>
      </c>
      <c r="B859" t="s">
        <v>3887</v>
      </c>
      <c r="C859" t="s">
        <v>3850</v>
      </c>
      <c r="D859" t="s">
        <v>1823</v>
      </c>
      <c r="E859" t="s">
        <v>1236</v>
      </c>
      <c r="F859" t="s">
        <v>3888</v>
      </c>
      <c r="G859" t="s">
        <v>6199</v>
      </c>
      <c r="H859">
        <v>0</v>
      </c>
      <c r="I859">
        <v>0</v>
      </c>
    </row>
    <row r="860" spans="1:9" x14ac:dyDescent="0.3">
      <c r="A860" t="s">
        <v>3889</v>
      </c>
      <c r="B860" t="s">
        <v>3890</v>
      </c>
      <c r="C860" t="s">
        <v>3850</v>
      </c>
      <c r="D860" t="s">
        <v>1823</v>
      </c>
      <c r="E860" t="s">
        <v>1236</v>
      </c>
      <c r="F860" t="s">
        <v>3888</v>
      </c>
      <c r="G860" t="s">
        <v>6199</v>
      </c>
      <c r="H860">
        <v>0</v>
      </c>
      <c r="I860">
        <v>0</v>
      </c>
    </row>
    <row r="861" spans="1:9" x14ac:dyDescent="0.3">
      <c r="A861" t="s">
        <v>3891</v>
      </c>
      <c r="B861" t="s">
        <v>3892</v>
      </c>
      <c r="C861" t="s">
        <v>3850</v>
      </c>
      <c r="D861" t="s">
        <v>1823</v>
      </c>
      <c r="E861" t="s">
        <v>1236</v>
      </c>
      <c r="F861" t="s">
        <v>3893</v>
      </c>
      <c r="G861" t="s">
        <v>6200</v>
      </c>
      <c r="H861" t="s">
        <v>3876</v>
      </c>
      <c r="I861">
        <v>0</v>
      </c>
    </row>
    <row r="862" spans="1:9" x14ac:dyDescent="0.3">
      <c r="A862" t="s">
        <v>3894</v>
      </c>
      <c r="B862" t="s">
        <v>3895</v>
      </c>
      <c r="C862" t="s">
        <v>3850</v>
      </c>
      <c r="D862" t="s">
        <v>1823</v>
      </c>
      <c r="E862" t="s">
        <v>1236</v>
      </c>
      <c r="F862" t="s">
        <v>3896</v>
      </c>
      <c r="G862" t="s">
        <v>6201</v>
      </c>
      <c r="H862" t="s">
        <v>3876</v>
      </c>
      <c r="I862">
        <v>0</v>
      </c>
    </row>
    <row r="863" spans="1:9" x14ac:dyDescent="0.3">
      <c r="A863" t="s">
        <v>3897</v>
      </c>
      <c r="B863" t="s">
        <v>3898</v>
      </c>
      <c r="C863" t="s">
        <v>3850</v>
      </c>
      <c r="D863" t="s">
        <v>1823</v>
      </c>
      <c r="E863" t="s">
        <v>1236</v>
      </c>
      <c r="F863" t="s">
        <v>3899</v>
      </c>
      <c r="G863" t="s">
        <v>6202</v>
      </c>
      <c r="H863" t="s">
        <v>3876</v>
      </c>
      <c r="I863">
        <v>0</v>
      </c>
    </row>
    <row r="864" spans="1:9" x14ac:dyDescent="0.3">
      <c r="A864" t="s">
        <v>3900</v>
      </c>
      <c r="B864" t="s">
        <v>3901</v>
      </c>
      <c r="C864" t="s">
        <v>3850</v>
      </c>
      <c r="D864" t="s">
        <v>1823</v>
      </c>
      <c r="E864" t="s">
        <v>1236</v>
      </c>
      <c r="F864" t="s">
        <v>3902</v>
      </c>
      <c r="G864" t="s">
        <v>6203</v>
      </c>
      <c r="H864">
        <v>0</v>
      </c>
      <c r="I864">
        <v>0</v>
      </c>
    </row>
    <row r="865" spans="1:9" x14ac:dyDescent="0.3">
      <c r="A865" t="s">
        <v>3903</v>
      </c>
      <c r="B865" t="s">
        <v>3904</v>
      </c>
      <c r="C865" t="s">
        <v>3850</v>
      </c>
      <c r="D865" t="s">
        <v>1823</v>
      </c>
      <c r="E865" t="s">
        <v>1236</v>
      </c>
      <c r="F865" t="s">
        <v>3905</v>
      </c>
      <c r="G865" t="s">
        <v>6204</v>
      </c>
      <c r="H865" t="s">
        <v>3876</v>
      </c>
      <c r="I865">
        <v>0</v>
      </c>
    </row>
    <row r="866" spans="1:9" x14ac:dyDescent="0.3">
      <c r="A866" t="s">
        <v>3906</v>
      </c>
      <c r="B866" t="s">
        <v>3907</v>
      </c>
      <c r="C866" t="s">
        <v>3850</v>
      </c>
      <c r="D866" t="s">
        <v>1823</v>
      </c>
      <c r="E866" t="s">
        <v>1236</v>
      </c>
      <c r="F866" t="s">
        <v>3908</v>
      </c>
      <c r="G866" t="s">
        <v>6205</v>
      </c>
      <c r="H866">
        <v>0</v>
      </c>
      <c r="I866">
        <v>0</v>
      </c>
    </row>
    <row r="867" spans="1:9" x14ac:dyDescent="0.3">
      <c r="A867" t="s">
        <v>3909</v>
      </c>
      <c r="B867" t="s">
        <v>3910</v>
      </c>
      <c r="C867" t="s">
        <v>3850</v>
      </c>
      <c r="D867" t="s">
        <v>1823</v>
      </c>
      <c r="E867" t="s">
        <v>1236</v>
      </c>
      <c r="F867" t="s">
        <v>3911</v>
      </c>
      <c r="G867" t="s">
        <v>6206</v>
      </c>
      <c r="H867">
        <v>0</v>
      </c>
      <c r="I867">
        <v>0</v>
      </c>
    </row>
    <row r="868" spans="1:9" x14ac:dyDescent="0.3">
      <c r="A868" t="s">
        <v>3912</v>
      </c>
      <c r="B868" t="s">
        <v>3913</v>
      </c>
      <c r="C868" t="s">
        <v>3850</v>
      </c>
      <c r="D868" t="s">
        <v>1823</v>
      </c>
      <c r="E868" t="s">
        <v>1236</v>
      </c>
      <c r="F868" t="s">
        <v>3914</v>
      </c>
      <c r="G868" t="s">
        <v>6207</v>
      </c>
      <c r="H868">
        <v>0</v>
      </c>
      <c r="I868">
        <v>0</v>
      </c>
    </row>
    <row r="869" spans="1:9" x14ac:dyDescent="0.3">
      <c r="A869" t="s">
        <v>3915</v>
      </c>
      <c r="B869" t="s">
        <v>3916</v>
      </c>
      <c r="C869" t="s">
        <v>1218</v>
      </c>
      <c r="D869" t="s">
        <v>1599</v>
      </c>
      <c r="E869" t="s">
        <v>1236</v>
      </c>
      <c r="F869" t="s">
        <v>3917</v>
      </c>
      <c r="G869" t="s">
        <v>6208</v>
      </c>
      <c r="H869" t="s">
        <v>646</v>
      </c>
      <c r="I869">
        <v>0</v>
      </c>
    </row>
    <row r="870" spans="1:9" x14ac:dyDescent="0.3">
      <c r="A870" t="s">
        <v>3918</v>
      </c>
      <c r="B870" t="s">
        <v>3919</v>
      </c>
      <c r="C870" t="s">
        <v>1218</v>
      </c>
      <c r="D870" t="s">
        <v>1599</v>
      </c>
      <c r="E870" t="s">
        <v>1236</v>
      </c>
      <c r="F870" t="s">
        <v>3920</v>
      </c>
      <c r="G870" t="s">
        <v>6209</v>
      </c>
      <c r="H870" t="s">
        <v>646</v>
      </c>
      <c r="I870">
        <v>0</v>
      </c>
    </row>
    <row r="871" spans="1:9" x14ac:dyDescent="0.3">
      <c r="A871" t="s">
        <v>3921</v>
      </c>
      <c r="B871" t="s">
        <v>3922</v>
      </c>
      <c r="C871" t="s">
        <v>1218</v>
      </c>
      <c r="D871" t="s">
        <v>1599</v>
      </c>
      <c r="E871" t="s">
        <v>1236</v>
      </c>
      <c r="F871" t="s">
        <v>3923</v>
      </c>
      <c r="G871" t="s">
        <v>6210</v>
      </c>
      <c r="H871">
        <v>0</v>
      </c>
      <c r="I871">
        <v>0</v>
      </c>
    </row>
    <row r="872" spans="1:9" x14ac:dyDescent="0.3">
      <c r="A872" t="s">
        <v>3924</v>
      </c>
      <c r="B872" t="s">
        <v>3925</v>
      </c>
      <c r="C872" t="s">
        <v>1218</v>
      </c>
      <c r="D872" t="s">
        <v>1599</v>
      </c>
      <c r="E872" t="s">
        <v>1236</v>
      </c>
      <c r="F872" t="s">
        <v>3926</v>
      </c>
      <c r="G872" t="s">
        <v>6211</v>
      </c>
      <c r="H872" t="s">
        <v>3927</v>
      </c>
      <c r="I872">
        <v>0</v>
      </c>
    </row>
    <row r="873" spans="1:9" x14ac:dyDescent="0.3">
      <c r="A873" t="s">
        <v>3928</v>
      </c>
      <c r="B873" t="s">
        <v>3929</v>
      </c>
      <c r="C873" t="s">
        <v>1218</v>
      </c>
      <c r="D873" t="s">
        <v>1599</v>
      </c>
      <c r="E873" t="s">
        <v>1236</v>
      </c>
      <c r="F873" t="s">
        <v>3930</v>
      </c>
      <c r="G873" t="s">
        <v>6212</v>
      </c>
      <c r="H873" t="s">
        <v>3927</v>
      </c>
      <c r="I873">
        <v>0</v>
      </c>
    </row>
    <row r="874" spans="1:9" x14ac:dyDescent="0.3">
      <c r="A874" t="s">
        <v>3931</v>
      </c>
      <c r="B874" t="s">
        <v>3932</v>
      </c>
      <c r="C874" t="s">
        <v>1218</v>
      </c>
      <c r="D874" t="s">
        <v>1599</v>
      </c>
      <c r="E874" t="s">
        <v>1236</v>
      </c>
      <c r="F874" t="s">
        <v>3933</v>
      </c>
      <c r="G874" t="s">
        <v>6213</v>
      </c>
      <c r="H874" t="s">
        <v>3934</v>
      </c>
      <c r="I874">
        <v>0</v>
      </c>
    </row>
    <row r="875" spans="1:9" x14ac:dyDescent="0.3">
      <c r="A875" t="s">
        <v>3935</v>
      </c>
      <c r="B875" t="s">
        <v>3936</v>
      </c>
      <c r="C875" t="s">
        <v>1218</v>
      </c>
      <c r="D875" t="s">
        <v>1599</v>
      </c>
      <c r="E875" t="s">
        <v>1236</v>
      </c>
      <c r="F875" t="s">
        <v>3937</v>
      </c>
      <c r="G875" t="s">
        <v>6214</v>
      </c>
      <c r="H875" t="s">
        <v>3938</v>
      </c>
      <c r="I875">
        <v>0</v>
      </c>
    </row>
    <row r="876" spans="1:9" x14ac:dyDescent="0.3">
      <c r="A876" t="s">
        <v>3939</v>
      </c>
      <c r="B876" t="s">
        <v>3940</v>
      </c>
      <c r="C876" t="s">
        <v>1218</v>
      </c>
      <c r="D876" t="s">
        <v>1599</v>
      </c>
      <c r="E876" t="s">
        <v>1236</v>
      </c>
      <c r="F876" t="s">
        <v>3941</v>
      </c>
      <c r="G876" t="s">
        <v>6215</v>
      </c>
      <c r="H876" t="s">
        <v>3934</v>
      </c>
      <c r="I876">
        <v>0</v>
      </c>
    </row>
    <row r="877" spans="1:9" x14ac:dyDescent="0.3">
      <c r="A877" t="s">
        <v>3942</v>
      </c>
      <c r="B877" t="s">
        <v>3943</v>
      </c>
      <c r="C877" t="s">
        <v>1218</v>
      </c>
      <c r="D877" t="s">
        <v>1599</v>
      </c>
      <c r="E877" t="s">
        <v>1236</v>
      </c>
      <c r="F877" t="s">
        <v>3944</v>
      </c>
      <c r="G877" t="s">
        <v>6216</v>
      </c>
      <c r="H877">
        <v>0</v>
      </c>
      <c r="I877">
        <v>0</v>
      </c>
    </row>
    <row r="878" spans="1:9" x14ac:dyDescent="0.3">
      <c r="A878" t="s">
        <v>3945</v>
      </c>
      <c r="B878" t="s">
        <v>3946</v>
      </c>
      <c r="C878" t="s">
        <v>1218</v>
      </c>
      <c r="D878" t="s">
        <v>1599</v>
      </c>
      <c r="E878" t="s">
        <v>1236</v>
      </c>
      <c r="F878" t="s">
        <v>3947</v>
      </c>
      <c r="G878" t="s">
        <v>6217</v>
      </c>
      <c r="H878">
        <v>0</v>
      </c>
      <c r="I878">
        <v>0</v>
      </c>
    </row>
    <row r="879" spans="1:9" x14ac:dyDescent="0.3">
      <c r="A879" t="s">
        <v>3948</v>
      </c>
      <c r="B879" t="s">
        <v>3949</v>
      </c>
      <c r="C879" t="s">
        <v>1218</v>
      </c>
      <c r="D879" t="s">
        <v>1599</v>
      </c>
      <c r="E879" t="s">
        <v>1236</v>
      </c>
      <c r="F879" t="s">
        <v>3950</v>
      </c>
      <c r="G879" t="s">
        <v>6218</v>
      </c>
      <c r="H879" t="s">
        <v>3934</v>
      </c>
      <c r="I879">
        <v>0</v>
      </c>
    </row>
    <row r="880" spans="1:9" x14ac:dyDescent="0.3">
      <c r="A880" t="s">
        <v>3951</v>
      </c>
      <c r="B880" t="s">
        <v>3952</v>
      </c>
      <c r="C880" t="s">
        <v>1218</v>
      </c>
      <c r="D880" t="s">
        <v>1599</v>
      </c>
      <c r="E880" t="s">
        <v>1236</v>
      </c>
      <c r="F880" t="s">
        <v>3953</v>
      </c>
      <c r="G880" t="s">
        <v>6219</v>
      </c>
      <c r="H880" t="s">
        <v>3938</v>
      </c>
      <c r="I880">
        <v>0</v>
      </c>
    </row>
    <row r="881" spans="1:9" x14ac:dyDescent="0.3">
      <c r="A881" t="s">
        <v>3954</v>
      </c>
      <c r="B881" t="s">
        <v>3955</v>
      </c>
      <c r="C881" t="s">
        <v>1218</v>
      </c>
      <c r="D881" t="s">
        <v>1599</v>
      </c>
      <c r="E881" t="s">
        <v>1236</v>
      </c>
      <c r="F881" t="s">
        <v>3956</v>
      </c>
      <c r="G881" t="s">
        <v>6220</v>
      </c>
      <c r="H881" t="s">
        <v>3938</v>
      </c>
      <c r="I881">
        <v>0</v>
      </c>
    </row>
    <row r="882" spans="1:9" x14ac:dyDescent="0.3">
      <c r="A882" t="s">
        <v>3957</v>
      </c>
      <c r="B882" t="s">
        <v>3958</v>
      </c>
      <c r="C882" t="s">
        <v>1218</v>
      </c>
      <c r="D882" t="s">
        <v>1599</v>
      </c>
      <c r="E882" t="s">
        <v>1236</v>
      </c>
      <c r="F882" t="s">
        <v>3959</v>
      </c>
      <c r="G882" t="s">
        <v>6221</v>
      </c>
      <c r="H882" t="s">
        <v>3938</v>
      </c>
      <c r="I882">
        <v>0</v>
      </c>
    </row>
    <row r="883" spans="1:9" x14ac:dyDescent="0.3">
      <c r="A883" t="s">
        <v>3960</v>
      </c>
      <c r="B883" t="s">
        <v>3961</v>
      </c>
      <c r="C883" t="s">
        <v>1218</v>
      </c>
      <c r="D883" t="s">
        <v>1599</v>
      </c>
      <c r="E883" t="s">
        <v>1236</v>
      </c>
      <c r="F883" t="s">
        <v>3962</v>
      </c>
      <c r="G883" t="s">
        <v>6222</v>
      </c>
      <c r="H883">
        <v>0</v>
      </c>
      <c r="I883">
        <v>0</v>
      </c>
    </row>
    <row r="884" spans="1:9" x14ac:dyDescent="0.3">
      <c r="A884" t="s">
        <v>3963</v>
      </c>
      <c r="B884" t="s">
        <v>3964</v>
      </c>
      <c r="C884" t="s">
        <v>1218</v>
      </c>
      <c r="D884" t="s">
        <v>1599</v>
      </c>
      <c r="E884" t="s">
        <v>1236</v>
      </c>
      <c r="F884" t="s">
        <v>3965</v>
      </c>
      <c r="G884" t="s">
        <v>6223</v>
      </c>
      <c r="H884">
        <v>0</v>
      </c>
      <c r="I884">
        <v>0</v>
      </c>
    </row>
    <row r="885" spans="1:9" x14ac:dyDescent="0.3">
      <c r="A885" t="s">
        <v>3966</v>
      </c>
      <c r="B885" t="s">
        <v>3967</v>
      </c>
      <c r="C885" t="s">
        <v>1218</v>
      </c>
      <c r="D885" t="s">
        <v>1599</v>
      </c>
      <c r="E885" t="s">
        <v>1236</v>
      </c>
      <c r="F885" t="s">
        <v>3968</v>
      </c>
      <c r="G885" t="s">
        <v>6224</v>
      </c>
      <c r="H885" t="s">
        <v>3927</v>
      </c>
      <c r="I885">
        <v>0</v>
      </c>
    </row>
    <row r="886" spans="1:9" x14ac:dyDescent="0.3">
      <c r="A886" t="s">
        <v>3969</v>
      </c>
      <c r="B886" t="s">
        <v>3970</v>
      </c>
      <c r="C886" t="s">
        <v>1218</v>
      </c>
      <c r="D886" t="s">
        <v>1599</v>
      </c>
      <c r="E886" t="s">
        <v>1236</v>
      </c>
      <c r="F886" t="s">
        <v>3971</v>
      </c>
      <c r="G886" t="s">
        <v>6225</v>
      </c>
      <c r="H886" t="s">
        <v>3934</v>
      </c>
      <c r="I886">
        <v>0</v>
      </c>
    </row>
    <row r="887" spans="1:9" x14ac:dyDescent="0.3">
      <c r="A887" t="s">
        <v>3972</v>
      </c>
      <c r="B887" t="s">
        <v>3973</v>
      </c>
      <c r="C887" t="s">
        <v>1218</v>
      </c>
      <c r="D887" t="s">
        <v>1599</v>
      </c>
      <c r="E887" t="s">
        <v>1236</v>
      </c>
      <c r="F887" t="s">
        <v>3974</v>
      </c>
      <c r="G887" t="s">
        <v>6226</v>
      </c>
      <c r="H887" t="s">
        <v>3938</v>
      </c>
      <c r="I887">
        <v>0</v>
      </c>
    </row>
    <row r="888" spans="1:9" x14ac:dyDescent="0.3">
      <c r="A888" t="s">
        <v>3975</v>
      </c>
      <c r="B888" t="s">
        <v>3976</v>
      </c>
      <c r="C888" t="s">
        <v>1218</v>
      </c>
      <c r="D888" t="s">
        <v>1599</v>
      </c>
      <c r="E888" t="s">
        <v>1236</v>
      </c>
      <c r="F888" t="s">
        <v>3977</v>
      </c>
      <c r="G888" t="s">
        <v>6227</v>
      </c>
      <c r="H888" t="s">
        <v>646</v>
      </c>
      <c r="I888">
        <v>0</v>
      </c>
    </row>
    <row r="889" spans="1:9" x14ac:dyDescent="0.3">
      <c r="A889" t="s">
        <v>3978</v>
      </c>
      <c r="B889" t="s">
        <v>3979</v>
      </c>
      <c r="C889" t="s">
        <v>1218</v>
      </c>
      <c r="D889" t="s">
        <v>1599</v>
      </c>
      <c r="E889" t="s">
        <v>1236</v>
      </c>
      <c r="F889" t="s">
        <v>3980</v>
      </c>
      <c r="G889" t="s">
        <v>6228</v>
      </c>
      <c r="H889">
        <v>0</v>
      </c>
      <c r="I889">
        <v>0</v>
      </c>
    </row>
    <row r="890" spans="1:9" x14ac:dyDescent="0.3">
      <c r="A890" t="s">
        <v>3981</v>
      </c>
      <c r="B890" t="s">
        <v>3982</v>
      </c>
      <c r="C890" t="s">
        <v>3983</v>
      </c>
      <c r="D890" t="s">
        <v>1823</v>
      </c>
      <c r="E890" t="s">
        <v>1236</v>
      </c>
      <c r="F890" t="s">
        <v>3984</v>
      </c>
      <c r="G890" t="s">
        <v>6229</v>
      </c>
      <c r="H890">
        <v>0</v>
      </c>
      <c r="I890">
        <v>0</v>
      </c>
    </row>
    <row r="891" spans="1:9" x14ac:dyDescent="0.3">
      <c r="A891" t="s">
        <v>3985</v>
      </c>
      <c r="B891" t="s">
        <v>3986</v>
      </c>
      <c r="C891" t="s">
        <v>3983</v>
      </c>
      <c r="D891" t="s">
        <v>1823</v>
      </c>
      <c r="E891" t="s">
        <v>1236</v>
      </c>
      <c r="F891" t="s">
        <v>3987</v>
      </c>
      <c r="G891" t="s">
        <v>6230</v>
      </c>
      <c r="H891">
        <v>0</v>
      </c>
      <c r="I891">
        <v>0</v>
      </c>
    </row>
    <row r="892" spans="1:9" x14ac:dyDescent="0.3">
      <c r="A892" t="s">
        <v>3988</v>
      </c>
      <c r="B892" t="s">
        <v>3989</v>
      </c>
      <c r="C892" t="s">
        <v>3983</v>
      </c>
      <c r="D892" t="s">
        <v>1823</v>
      </c>
      <c r="E892" t="s">
        <v>1236</v>
      </c>
      <c r="F892" t="s">
        <v>3990</v>
      </c>
      <c r="G892" t="s">
        <v>6231</v>
      </c>
      <c r="H892">
        <v>0</v>
      </c>
      <c r="I892">
        <v>0</v>
      </c>
    </row>
    <row r="893" spans="1:9" x14ac:dyDescent="0.3">
      <c r="A893" t="s">
        <v>3991</v>
      </c>
      <c r="B893" t="s">
        <v>3992</v>
      </c>
      <c r="C893" t="s">
        <v>3983</v>
      </c>
      <c r="D893" t="s">
        <v>1823</v>
      </c>
      <c r="E893" t="s">
        <v>1236</v>
      </c>
      <c r="F893" t="s">
        <v>3993</v>
      </c>
      <c r="G893" t="s">
        <v>6232</v>
      </c>
      <c r="H893">
        <v>0</v>
      </c>
      <c r="I893">
        <v>0</v>
      </c>
    </row>
    <row r="894" spans="1:9" x14ac:dyDescent="0.3">
      <c r="A894" t="s">
        <v>3994</v>
      </c>
      <c r="B894" t="s">
        <v>3995</v>
      </c>
      <c r="C894" t="s">
        <v>3983</v>
      </c>
      <c r="D894" t="s">
        <v>1823</v>
      </c>
      <c r="E894" t="s">
        <v>1236</v>
      </c>
      <c r="F894" t="s">
        <v>3996</v>
      </c>
      <c r="G894" t="s">
        <v>6233</v>
      </c>
      <c r="H894">
        <v>0</v>
      </c>
      <c r="I894">
        <v>0</v>
      </c>
    </row>
    <row r="895" spans="1:9" x14ac:dyDescent="0.3">
      <c r="A895" t="s">
        <v>3997</v>
      </c>
      <c r="B895" t="s">
        <v>3998</v>
      </c>
      <c r="C895" t="s">
        <v>3983</v>
      </c>
      <c r="D895" t="s">
        <v>1823</v>
      </c>
      <c r="E895" t="s">
        <v>1236</v>
      </c>
      <c r="F895" t="s">
        <v>3999</v>
      </c>
      <c r="G895" t="s">
        <v>6234</v>
      </c>
      <c r="H895" t="s">
        <v>4000</v>
      </c>
      <c r="I895">
        <v>0</v>
      </c>
    </row>
    <row r="896" spans="1:9" x14ac:dyDescent="0.3">
      <c r="A896" t="s">
        <v>4001</v>
      </c>
      <c r="B896" t="s">
        <v>4002</v>
      </c>
      <c r="C896" t="s">
        <v>3983</v>
      </c>
      <c r="D896" t="s">
        <v>1823</v>
      </c>
      <c r="E896" t="s">
        <v>1236</v>
      </c>
      <c r="F896" t="s">
        <v>4003</v>
      </c>
      <c r="G896" t="s">
        <v>6235</v>
      </c>
      <c r="H896" t="s">
        <v>4000</v>
      </c>
      <c r="I896">
        <v>0</v>
      </c>
    </row>
    <row r="897" spans="1:9" x14ac:dyDescent="0.3">
      <c r="A897" t="s">
        <v>4004</v>
      </c>
      <c r="B897" t="s">
        <v>4005</v>
      </c>
      <c r="C897" t="s">
        <v>3983</v>
      </c>
      <c r="D897" t="s">
        <v>1823</v>
      </c>
      <c r="E897" t="s">
        <v>1236</v>
      </c>
      <c r="F897" t="s">
        <v>4006</v>
      </c>
      <c r="G897" t="s">
        <v>6236</v>
      </c>
      <c r="H897">
        <v>0</v>
      </c>
      <c r="I897">
        <v>0</v>
      </c>
    </row>
    <row r="898" spans="1:9" x14ac:dyDescent="0.3">
      <c r="A898" t="s">
        <v>4007</v>
      </c>
      <c r="B898" t="s">
        <v>4008</v>
      </c>
      <c r="C898" t="s">
        <v>3983</v>
      </c>
      <c r="D898" t="s">
        <v>1823</v>
      </c>
      <c r="E898" t="s">
        <v>1236</v>
      </c>
      <c r="F898" t="s">
        <v>4009</v>
      </c>
      <c r="G898" t="s">
        <v>6237</v>
      </c>
      <c r="H898">
        <v>0</v>
      </c>
      <c r="I898">
        <v>0</v>
      </c>
    </row>
    <row r="899" spans="1:9" x14ac:dyDescent="0.3">
      <c r="A899" t="s">
        <v>4010</v>
      </c>
      <c r="B899" t="s">
        <v>4011</v>
      </c>
      <c r="C899" t="s">
        <v>3983</v>
      </c>
      <c r="D899" t="s">
        <v>1823</v>
      </c>
      <c r="E899" t="s">
        <v>1236</v>
      </c>
      <c r="F899" t="s">
        <v>4012</v>
      </c>
      <c r="G899" t="s">
        <v>6238</v>
      </c>
      <c r="H899">
        <v>0</v>
      </c>
      <c r="I899">
        <v>0</v>
      </c>
    </row>
    <row r="900" spans="1:9" x14ac:dyDescent="0.3">
      <c r="A900" t="s">
        <v>4013</v>
      </c>
      <c r="B900" t="s">
        <v>4014</v>
      </c>
      <c r="C900" t="s">
        <v>3983</v>
      </c>
      <c r="D900" t="s">
        <v>1823</v>
      </c>
      <c r="E900" t="s">
        <v>1236</v>
      </c>
      <c r="F900" t="s">
        <v>4015</v>
      </c>
      <c r="G900" t="s">
        <v>6239</v>
      </c>
      <c r="H900" t="s">
        <v>659</v>
      </c>
      <c r="I900">
        <v>0</v>
      </c>
    </row>
    <row r="901" spans="1:9" x14ac:dyDescent="0.3">
      <c r="A901" t="s">
        <v>4016</v>
      </c>
      <c r="B901" t="s">
        <v>4017</v>
      </c>
      <c r="C901" t="s">
        <v>3983</v>
      </c>
      <c r="D901" t="s">
        <v>1823</v>
      </c>
      <c r="E901" t="s">
        <v>1236</v>
      </c>
      <c r="F901" t="s">
        <v>4018</v>
      </c>
      <c r="G901" t="s">
        <v>6240</v>
      </c>
      <c r="H901" t="s">
        <v>659</v>
      </c>
      <c r="I901">
        <v>0</v>
      </c>
    </row>
    <row r="902" spans="1:9" x14ac:dyDescent="0.3">
      <c r="A902" t="s">
        <v>4019</v>
      </c>
      <c r="B902" t="s">
        <v>4020</v>
      </c>
      <c r="C902" t="s">
        <v>3983</v>
      </c>
      <c r="D902" t="s">
        <v>1823</v>
      </c>
      <c r="E902" t="s">
        <v>1236</v>
      </c>
      <c r="F902" t="s">
        <v>4021</v>
      </c>
      <c r="G902" t="s">
        <v>6241</v>
      </c>
      <c r="H902">
        <v>0</v>
      </c>
      <c r="I902">
        <v>0</v>
      </c>
    </row>
    <row r="903" spans="1:9" x14ac:dyDescent="0.3">
      <c r="A903" t="s">
        <v>4022</v>
      </c>
      <c r="B903" t="s">
        <v>4023</v>
      </c>
      <c r="C903" t="s">
        <v>3983</v>
      </c>
      <c r="D903" t="s">
        <v>1823</v>
      </c>
      <c r="E903" t="s">
        <v>1236</v>
      </c>
      <c r="F903" t="s">
        <v>4024</v>
      </c>
      <c r="G903" t="s">
        <v>6242</v>
      </c>
      <c r="H903">
        <v>0</v>
      </c>
      <c r="I903">
        <v>0</v>
      </c>
    </row>
    <row r="904" spans="1:9" x14ac:dyDescent="0.3">
      <c r="A904" t="s">
        <v>4025</v>
      </c>
      <c r="B904" t="s">
        <v>4026</v>
      </c>
      <c r="C904" t="s">
        <v>3983</v>
      </c>
      <c r="D904" t="s">
        <v>1823</v>
      </c>
      <c r="E904" t="s">
        <v>1236</v>
      </c>
      <c r="F904" t="s">
        <v>4027</v>
      </c>
      <c r="G904" t="s">
        <v>6243</v>
      </c>
      <c r="H904" t="s">
        <v>4028</v>
      </c>
      <c r="I904">
        <v>0</v>
      </c>
    </row>
    <row r="905" spans="1:9" x14ac:dyDescent="0.3">
      <c r="A905" t="s">
        <v>4029</v>
      </c>
      <c r="B905" t="s">
        <v>4030</v>
      </c>
      <c r="C905" t="s">
        <v>3983</v>
      </c>
      <c r="D905" t="s">
        <v>1823</v>
      </c>
      <c r="E905" t="s">
        <v>1236</v>
      </c>
      <c r="F905" t="s">
        <v>4031</v>
      </c>
      <c r="G905" t="s">
        <v>6244</v>
      </c>
      <c r="H905">
        <v>0</v>
      </c>
      <c r="I905">
        <v>0</v>
      </c>
    </row>
    <row r="906" spans="1:9" x14ac:dyDescent="0.3">
      <c r="A906" t="s">
        <v>4032</v>
      </c>
      <c r="B906" t="s">
        <v>4033</v>
      </c>
      <c r="C906" t="s">
        <v>3983</v>
      </c>
      <c r="D906" t="s">
        <v>1823</v>
      </c>
      <c r="E906" t="s">
        <v>1236</v>
      </c>
      <c r="F906" t="s">
        <v>4034</v>
      </c>
      <c r="G906" t="s">
        <v>6245</v>
      </c>
      <c r="H906">
        <v>0</v>
      </c>
      <c r="I906">
        <v>0</v>
      </c>
    </row>
    <row r="907" spans="1:9" x14ac:dyDescent="0.3">
      <c r="A907" t="s">
        <v>4035</v>
      </c>
      <c r="B907" t="s">
        <v>4036</v>
      </c>
      <c r="C907" t="s">
        <v>3983</v>
      </c>
      <c r="D907" t="s">
        <v>1823</v>
      </c>
      <c r="E907" t="s">
        <v>1236</v>
      </c>
      <c r="F907" t="s">
        <v>4037</v>
      </c>
      <c r="G907" t="s">
        <v>6246</v>
      </c>
      <c r="H907" t="s">
        <v>659</v>
      </c>
      <c r="I907">
        <v>0</v>
      </c>
    </row>
    <row r="908" spans="1:9" x14ac:dyDescent="0.3">
      <c r="A908" t="s">
        <v>4038</v>
      </c>
      <c r="B908" t="s">
        <v>4039</v>
      </c>
      <c r="C908" t="s">
        <v>3983</v>
      </c>
      <c r="D908" t="s">
        <v>1823</v>
      </c>
      <c r="E908" t="s">
        <v>1236</v>
      </c>
      <c r="F908" t="s">
        <v>4040</v>
      </c>
      <c r="G908" t="s">
        <v>6247</v>
      </c>
      <c r="H908">
        <v>0</v>
      </c>
      <c r="I908">
        <v>0</v>
      </c>
    </row>
    <row r="909" spans="1:9" x14ac:dyDescent="0.3">
      <c r="A909" t="s">
        <v>4041</v>
      </c>
      <c r="B909" t="s">
        <v>4042</v>
      </c>
      <c r="C909" t="s">
        <v>3983</v>
      </c>
      <c r="D909" t="s">
        <v>1823</v>
      </c>
      <c r="E909" t="s">
        <v>1236</v>
      </c>
      <c r="F909" t="s">
        <v>4043</v>
      </c>
      <c r="G909" t="s">
        <v>6248</v>
      </c>
      <c r="H909" t="s">
        <v>4000</v>
      </c>
      <c r="I909">
        <v>0</v>
      </c>
    </row>
    <row r="910" spans="1:9" x14ac:dyDescent="0.3">
      <c r="A910" t="s">
        <v>4044</v>
      </c>
      <c r="B910" t="s">
        <v>4045</v>
      </c>
      <c r="C910" t="s">
        <v>3983</v>
      </c>
      <c r="D910" t="s">
        <v>1823</v>
      </c>
      <c r="E910" t="s">
        <v>1236</v>
      </c>
      <c r="F910" t="s">
        <v>4046</v>
      </c>
      <c r="G910" t="s">
        <v>6249</v>
      </c>
      <c r="H910" t="s">
        <v>4000</v>
      </c>
      <c r="I910">
        <v>0</v>
      </c>
    </row>
    <row r="911" spans="1:9" x14ac:dyDescent="0.3">
      <c r="A911" t="s">
        <v>4047</v>
      </c>
      <c r="B911" t="s">
        <v>4048</v>
      </c>
      <c r="C911" t="s">
        <v>3008</v>
      </c>
      <c r="D911" t="s">
        <v>1216</v>
      </c>
      <c r="E911" t="s">
        <v>1287</v>
      </c>
      <c r="F911" t="s">
        <v>4049</v>
      </c>
      <c r="G911" t="s">
        <v>6250</v>
      </c>
      <c r="H911" t="s">
        <v>591</v>
      </c>
      <c r="I911">
        <v>0</v>
      </c>
    </row>
    <row r="912" spans="1:9" x14ac:dyDescent="0.3">
      <c r="A912" t="s">
        <v>4050</v>
      </c>
      <c r="B912" t="s">
        <v>4051</v>
      </c>
      <c r="C912" t="s">
        <v>3008</v>
      </c>
      <c r="D912" t="s">
        <v>1216</v>
      </c>
      <c r="E912" t="s">
        <v>1287</v>
      </c>
      <c r="F912" t="s">
        <v>4052</v>
      </c>
      <c r="G912" t="s">
        <v>6251</v>
      </c>
      <c r="H912">
        <v>0</v>
      </c>
      <c r="I912" t="s">
        <v>4053</v>
      </c>
    </row>
    <row r="913" spans="1:9" x14ac:dyDescent="0.3">
      <c r="A913" t="s">
        <v>4054</v>
      </c>
      <c r="B913" t="s">
        <v>4055</v>
      </c>
      <c r="C913" t="s">
        <v>3008</v>
      </c>
      <c r="D913" t="s">
        <v>1216</v>
      </c>
      <c r="E913" t="s">
        <v>1287</v>
      </c>
      <c r="F913" t="s">
        <v>4056</v>
      </c>
      <c r="G913" t="s">
        <v>6252</v>
      </c>
      <c r="H913" t="s">
        <v>4057</v>
      </c>
      <c r="I913">
        <v>0</v>
      </c>
    </row>
    <row r="914" spans="1:9" x14ac:dyDescent="0.3">
      <c r="A914" t="s">
        <v>4058</v>
      </c>
      <c r="B914" t="s">
        <v>4059</v>
      </c>
      <c r="C914" t="s">
        <v>3008</v>
      </c>
      <c r="D914" t="s">
        <v>1216</v>
      </c>
      <c r="E914" t="s">
        <v>1287</v>
      </c>
      <c r="F914" t="s">
        <v>4060</v>
      </c>
      <c r="G914" t="s">
        <v>6253</v>
      </c>
      <c r="H914" t="s">
        <v>386</v>
      </c>
      <c r="I914">
        <v>0</v>
      </c>
    </row>
    <row r="915" spans="1:9" x14ac:dyDescent="0.3">
      <c r="A915" t="s">
        <v>4061</v>
      </c>
      <c r="B915" t="s">
        <v>4062</v>
      </c>
      <c r="C915" t="s">
        <v>3008</v>
      </c>
      <c r="D915" t="s">
        <v>1216</v>
      </c>
      <c r="E915" t="s">
        <v>1287</v>
      </c>
      <c r="F915" t="s">
        <v>4063</v>
      </c>
      <c r="G915" t="s">
        <v>6254</v>
      </c>
      <c r="H915">
        <v>0</v>
      </c>
      <c r="I915" t="s">
        <v>4064</v>
      </c>
    </row>
    <row r="916" spans="1:9" x14ac:dyDescent="0.3">
      <c r="A916" t="s">
        <v>4065</v>
      </c>
      <c r="B916" t="s">
        <v>4066</v>
      </c>
      <c r="C916" t="s">
        <v>3008</v>
      </c>
      <c r="D916" t="s">
        <v>1216</v>
      </c>
      <c r="E916" t="s">
        <v>1287</v>
      </c>
      <c r="F916" t="s">
        <v>4067</v>
      </c>
      <c r="G916" t="s">
        <v>6255</v>
      </c>
      <c r="H916" t="s">
        <v>4068</v>
      </c>
      <c r="I916">
        <v>0</v>
      </c>
    </row>
    <row r="917" spans="1:9" x14ac:dyDescent="0.3">
      <c r="A917" t="s">
        <v>4069</v>
      </c>
      <c r="B917" t="s">
        <v>4070</v>
      </c>
      <c r="C917" t="s">
        <v>3008</v>
      </c>
      <c r="D917" t="s">
        <v>1216</v>
      </c>
      <c r="E917" t="s">
        <v>1287</v>
      </c>
      <c r="F917" t="s">
        <v>4071</v>
      </c>
      <c r="G917" t="s">
        <v>6256</v>
      </c>
      <c r="H917">
        <v>0</v>
      </c>
      <c r="I917" t="s">
        <v>4072</v>
      </c>
    </row>
    <row r="918" spans="1:9" x14ac:dyDescent="0.3">
      <c r="A918" t="s">
        <v>4073</v>
      </c>
      <c r="B918" t="s">
        <v>4074</v>
      </c>
      <c r="C918" t="s">
        <v>3008</v>
      </c>
      <c r="D918" t="s">
        <v>1216</v>
      </c>
      <c r="E918" t="s">
        <v>1287</v>
      </c>
      <c r="F918" t="s">
        <v>4075</v>
      </c>
      <c r="G918" t="s">
        <v>6257</v>
      </c>
      <c r="H918" t="s">
        <v>4076</v>
      </c>
      <c r="I918">
        <v>0</v>
      </c>
    </row>
    <row r="919" spans="1:9" x14ac:dyDescent="0.3">
      <c r="A919" t="s">
        <v>4077</v>
      </c>
      <c r="B919" t="s">
        <v>4078</v>
      </c>
      <c r="C919" t="s">
        <v>3008</v>
      </c>
      <c r="D919" t="s">
        <v>1216</v>
      </c>
      <c r="E919" t="s">
        <v>1287</v>
      </c>
      <c r="F919" t="s">
        <v>4063</v>
      </c>
      <c r="G919" t="s">
        <v>6254</v>
      </c>
      <c r="H919">
        <v>0</v>
      </c>
      <c r="I919" t="s">
        <v>4064</v>
      </c>
    </row>
    <row r="920" spans="1:9" x14ac:dyDescent="0.3">
      <c r="A920" t="s">
        <v>4079</v>
      </c>
      <c r="B920" t="s">
        <v>4080</v>
      </c>
      <c r="C920" t="s">
        <v>3008</v>
      </c>
      <c r="D920" t="s">
        <v>1216</v>
      </c>
      <c r="E920" t="s">
        <v>1287</v>
      </c>
      <c r="F920" t="s">
        <v>4067</v>
      </c>
      <c r="G920" t="s">
        <v>6255</v>
      </c>
      <c r="H920" t="s">
        <v>4068</v>
      </c>
      <c r="I920">
        <v>0</v>
      </c>
    </row>
    <row r="921" spans="1:9" x14ac:dyDescent="0.3">
      <c r="A921" t="s">
        <v>4081</v>
      </c>
      <c r="B921" t="s">
        <v>4082</v>
      </c>
      <c r="C921" t="s">
        <v>3008</v>
      </c>
      <c r="D921" t="s">
        <v>1216</v>
      </c>
      <c r="E921" t="s">
        <v>1287</v>
      </c>
      <c r="F921" t="s">
        <v>4083</v>
      </c>
      <c r="G921" t="s">
        <v>6258</v>
      </c>
      <c r="H921" t="s">
        <v>4084</v>
      </c>
      <c r="I921">
        <v>0</v>
      </c>
    </row>
    <row r="922" spans="1:9" x14ac:dyDescent="0.3">
      <c r="A922" t="s">
        <v>4085</v>
      </c>
      <c r="B922" t="s">
        <v>4086</v>
      </c>
      <c r="C922" t="s">
        <v>3008</v>
      </c>
      <c r="D922" t="s">
        <v>1216</v>
      </c>
      <c r="E922" t="s">
        <v>1287</v>
      </c>
      <c r="F922" t="s">
        <v>4063</v>
      </c>
      <c r="G922" t="s">
        <v>6254</v>
      </c>
      <c r="H922">
        <v>0</v>
      </c>
      <c r="I922" t="s">
        <v>4087</v>
      </c>
    </row>
    <row r="923" spans="1:9" x14ac:dyDescent="0.3">
      <c r="A923" t="s">
        <v>4088</v>
      </c>
      <c r="B923" t="s">
        <v>4089</v>
      </c>
      <c r="C923" t="s">
        <v>3008</v>
      </c>
      <c r="D923" t="s">
        <v>1216</v>
      </c>
      <c r="E923" t="s">
        <v>1287</v>
      </c>
      <c r="F923" t="s">
        <v>4090</v>
      </c>
      <c r="G923" t="s">
        <v>6259</v>
      </c>
      <c r="H923" t="s">
        <v>86</v>
      </c>
      <c r="I923">
        <v>0</v>
      </c>
    </row>
    <row r="924" spans="1:9" x14ac:dyDescent="0.3">
      <c r="A924" t="s">
        <v>4091</v>
      </c>
      <c r="B924" t="s">
        <v>4092</v>
      </c>
      <c r="C924" t="s">
        <v>3008</v>
      </c>
      <c r="D924" t="s">
        <v>1216</v>
      </c>
      <c r="E924" t="s">
        <v>1287</v>
      </c>
      <c r="F924" t="s">
        <v>4071</v>
      </c>
      <c r="G924" t="s">
        <v>6256</v>
      </c>
      <c r="H924">
        <v>0</v>
      </c>
      <c r="I924" t="s">
        <v>4072</v>
      </c>
    </row>
    <row r="925" spans="1:9" x14ac:dyDescent="0.3">
      <c r="A925" t="s">
        <v>4093</v>
      </c>
      <c r="B925" t="s">
        <v>4094</v>
      </c>
      <c r="C925" t="s">
        <v>3008</v>
      </c>
      <c r="D925" t="s">
        <v>1216</v>
      </c>
      <c r="E925" t="s">
        <v>1287</v>
      </c>
      <c r="F925" t="s">
        <v>4090</v>
      </c>
      <c r="G925" t="s">
        <v>6259</v>
      </c>
      <c r="H925" t="s">
        <v>86</v>
      </c>
      <c r="I925">
        <v>0</v>
      </c>
    </row>
    <row r="926" spans="1:9" x14ac:dyDescent="0.3">
      <c r="A926" t="s">
        <v>4095</v>
      </c>
      <c r="B926" t="s">
        <v>4096</v>
      </c>
      <c r="C926" t="s">
        <v>3008</v>
      </c>
      <c r="D926" t="s">
        <v>1216</v>
      </c>
      <c r="E926" t="s">
        <v>1287</v>
      </c>
      <c r="F926" t="s">
        <v>4052</v>
      </c>
      <c r="G926" t="s">
        <v>6251</v>
      </c>
      <c r="H926">
        <v>0</v>
      </c>
      <c r="I926">
        <v>0</v>
      </c>
    </row>
    <row r="927" spans="1:9" x14ac:dyDescent="0.3">
      <c r="A927" t="s">
        <v>4097</v>
      </c>
      <c r="B927" t="s">
        <v>4098</v>
      </c>
      <c r="C927" t="s">
        <v>3008</v>
      </c>
      <c r="D927" t="s">
        <v>1216</v>
      </c>
      <c r="E927" t="s">
        <v>1287</v>
      </c>
      <c r="F927" t="s">
        <v>4049</v>
      </c>
      <c r="G927" t="s">
        <v>6250</v>
      </c>
      <c r="H927" t="s">
        <v>591</v>
      </c>
      <c r="I927">
        <v>0</v>
      </c>
    </row>
    <row r="928" spans="1:9" x14ac:dyDescent="0.3">
      <c r="A928" t="s">
        <v>4099</v>
      </c>
      <c r="B928" t="s">
        <v>4100</v>
      </c>
      <c r="C928" t="s">
        <v>3008</v>
      </c>
      <c r="D928" t="s">
        <v>1216</v>
      </c>
      <c r="E928" t="s">
        <v>1287</v>
      </c>
      <c r="F928" t="s">
        <v>4060</v>
      </c>
      <c r="G928" t="s">
        <v>6253</v>
      </c>
      <c r="H928" t="s">
        <v>386</v>
      </c>
      <c r="I928">
        <v>0</v>
      </c>
    </row>
    <row r="929" spans="1:9" x14ac:dyDescent="0.3">
      <c r="A929" t="s">
        <v>4101</v>
      </c>
      <c r="B929" t="s">
        <v>4102</v>
      </c>
      <c r="C929" t="s">
        <v>3008</v>
      </c>
      <c r="D929" t="s">
        <v>1216</v>
      </c>
      <c r="E929" t="s">
        <v>1287</v>
      </c>
      <c r="F929" t="s">
        <v>4103</v>
      </c>
      <c r="G929" t="s">
        <v>6260</v>
      </c>
      <c r="H929" t="s">
        <v>593</v>
      </c>
      <c r="I929">
        <v>0</v>
      </c>
    </row>
    <row r="930" spans="1:9" x14ac:dyDescent="0.3">
      <c r="A930" t="s">
        <v>4104</v>
      </c>
      <c r="B930" t="s">
        <v>4105</v>
      </c>
      <c r="C930" t="s">
        <v>3008</v>
      </c>
      <c r="D930" t="s">
        <v>1216</v>
      </c>
      <c r="E930" t="s">
        <v>1287</v>
      </c>
      <c r="F930" t="s">
        <v>4103</v>
      </c>
      <c r="G930" t="s">
        <v>6260</v>
      </c>
      <c r="H930" t="s">
        <v>593</v>
      </c>
      <c r="I930">
        <v>0</v>
      </c>
    </row>
    <row r="931" spans="1:9" x14ac:dyDescent="0.3">
      <c r="A931" t="s">
        <v>4106</v>
      </c>
      <c r="B931" t="s">
        <v>4107</v>
      </c>
      <c r="C931" t="s">
        <v>3008</v>
      </c>
      <c r="D931" t="s">
        <v>1216</v>
      </c>
      <c r="E931" t="s">
        <v>1287</v>
      </c>
      <c r="F931" t="s">
        <v>4071</v>
      </c>
      <c r="G931" t="s">
        <v>6256</v>
      </c>
      <c r="H931">
        <v>0</v>
      </c>
      <c r="I931" t="s">
        <v>4072</v>
      </c>
    </row>
    <row r="932" spans="1:9" x14ac:dyDescent="0.3">
      <c r="A932" t="s">
        <v>4108</v>
      </c>
      <c r="B932" t="s">
        <v>4109</v>
      </c>
      <c r="C932" t="s">
        <v>3008</v>
      </c>
      <c r="D932" t="s">
        <v>1216</v>
      </c>
      <c r="E932" t="s">
        <v>1287</v>
      </c>
      <c r="F932" t="s">
        <v>4075</v>
      </c>
      <c r="G932" t="s">
        <v>6257</v>
      </c>
      <c r="H932" t="s">
        <v>4076</v>
      </c>
      <c r="I932">
        <v>0</v>
      </c>
    </row>
    <row r="933" spans="1:9" x14ac:dyDescent="0.3">
      <c r="A933" t="s">
        <v>4110</v>
      </c>
      <c r="B933" t="s">
        <v>4111</v>
      </c>
      <c r="C933" t="s">
        <v>3008</v>
      </c>
      <c r="D933" t="s">
        <v>1216</v>
      </c>
      <c r="E933" t="s">
        <v>1287</v>
      </c>
      <c r="F933" t="s">
        <v>4060</v>
      </c>
      <c r="G933" t="s">
        <v>6253</v>
      </c>
      <c r="H933" t="s">
        <v>386</v>
      </c>
      <c r="I933">
        <v>0</v>
      </c>
    </row>
    <row r="934" spans="1:9" x14ac:dyDescent="0.3">
      <c r="A934" t="s">
        <v>4112</v>
      </c>
      <c r="B934" t="s">
        <v>4113</v>
      </c>
      <c r="C934" t="s">
        <v>3008</v>
      </c>
      <c r="D934" t="s">
        <v>1216</v>
      </c>
      <c r="E934" t="s">
        <v>1287</v>
      </c>
      <c r="F934" t="s">
        <v>4060</v>
      </c>
      <c r="G934" t="s">
        <v>6253</v>
      </c>
      <c r="H934" t="s">
        <v>386</v>
      </c>
      <c r="I934">
        <v>0</v>
      </c>
    </row>
    <row r="935" spans="1:9" x14ac:dyDescent="0.3">
      <c r="A935" t="s">
        <v>4114</v>
      </c>
      <c r="B935" t="s">
        <v>4115</v>
      </c>
      <c r="C935" t="s">
        <v>2983</v>
      </c>
      <c r="D935" t="s">
        <v>1216</v>
      </c>
      <c r="E935" t="s">
        <v>1287</v>
      </c>
      <c r="F935" t="s">
        <v>4116</v>
      </c>
      <c r="G935" t="s">
        <v>6261</v>
      </c>
      <c r="H935" t="s">
        <v>12</v>
      </c>
      <c r="I935">
        <v>0</v>
      </c>
    </row>
    <row r="936" spans="1:9" x14ac:dyDescent="0.3">
      <c r="A936" t="s">
        <v>4117</v>
      </c>
      <c r="B936" t="s">
        <v>4118</v>
      </c>
      <c r="C936" t="s">
        <v>3008</v>
      </c>
      <c r="D936" t="s">
        <v>1216</v>
      </c>
      <c r="E936" t="s">
        <v>1287</v>
      </c>
      <c r="F936" t="s">
        <v>4119</v>
      </c>
      <c r="G936" t="s">
        <v>6262</v>
      </c>
      <c r="H936" t="s">
        <v>595</v>
      </c>
      <c r="I936">
        <v>0</v>
      </c>
    </row>
    <row r="937" spans="1:9" x14ac:dyDescent="0.3">
      <c r="A937" t="s">
        <v>4120</v>
      </c>
      <c r="B937" t="s">
        <v>4121</v>
      </c>
      <c r="C937" t="s">
        <v>3008</v>
      </c>
      <c r="D937" t="s">
        <v>1216</v>
      </c>
      <c r="E937" t="s">
        <v>1287</v>
      </c>
      <c r="F937" t="s">
        <v>4122</v>
      </c>
      <c r="G937" t="s">
        <v>6263</v>
      </c>
      <c r="H937" t="s">
        <v>4123</v>
      </c>
      <c r="I937">
        <v>0</v>
      </c>
    </row>
    <row r="938" spans="1:9" x14ac:dyDescent="0.3">
      <c r="A938" t="s">
        <v>4124</v>
      </c>
      <c r="B938" t="s">
        <v>4125</v>
      </c>
      <c r="C938" t="s">
        <v>3008</v>
      </c>
      <c r="D938" t="s">
        <v>1216</v>
      </c>
      <c r="E938" t="s">
        <v>1287</v>
      </c>
      <c r="F938" t="s">
        <v>4060</v>
      </c>
      <c r="G938" t="s">
        <v>6253</v>
      </c>
      <c r="H938" t="s">
        <v>386</v>
      </c>
      <c r="I938">
        <v>0</v>
      </c>
    </row>
    <row r="939" spans="1:9" x14ac:dyDescent="0.3">
      <c r="A939" t="s">
        <v>4126</v>
      </c>
      <c r="B939" t="s">
        <v>4127</v>
      </c>
      <c r="C939" t="s">
        <v>3008</v>
      </c>
      <c r="D939" t="s">
        <v>1216</v>
      </c>
      <c r="E939" t="s">
        <v>1287</v>
      </c>
      <c r="F939" t="s">
        <v>4075</v>
      </c>
      <c r="G939" t="s">
        <v>6257</v>
      </c>
      <c r="H939" t="s">
        <v>4076</v>
      </c>
      <c r="I939">
        <v>0</v>
      </c>
    </row>
    <row r="940" spans="1:9" x14ac:dyDescent="0.3">
      <c r="A940" t="s">
        <v>4128</v>
      </c>
      <c r="B940" t="s">
        <v>4129</v>
      </c>
      <c r="C940" t="s">
        <v>3008</v>
      </c>
      <c r="D940" t="s">
        <v>1216</v>
      </c>
      <c r="E940" t="s">
        <v>1287</v>
      </c>
      <c r="F940" t="s">
        <v>4130</v>
      </c>
      <c r="G940" t="s">
        <v>6264</v>
      </c>
      <c r="H940">
        <v>0</v>
      </c>
      <c r="I940">
        <v>0</v>
      </c>
    </row>
    <row r="941" spans="1:9" x14ac:dyDescent="0.3">
      <c r="A941" t="s">
        <v>4131</v>
      </c>
      <c r="B941" t="s">
        <v>4132</v>
      </c>
      <c r="C941" t="s">
        <v>3008</v>
      </c>
      <c r="D941" t="s">
        <v>1216</v>
      </c>
      <c r="E941" t="s">
        <v>1287</v>
      </c>
      <c r="F941" t="s">
        <v>4133</v>
      </c>
      <c r="G941" t="s">
        <v>6265</v>
      </c>
      <c r="H941">
        <v>0</v>
      </c>
      <c r="I941">
        <v>0</v>
      </c>
    </row>
    <row r="942" spans="1:9" x14ac:dyDescent="0.3">
      <c r="A942" t="s">
        <v>4134</v>
      </c>
      <c r="B942" t="s">
        <v>4135</v>
      </c>
      <c r="C942" t="s">
        <v>3008</v>
      </c>
      <c r="D942" t="s">
        <v>1216</v>
      </c>
      <c r="E942" t="s">
        <v>1287</v>
      </c>
      <c r="F942" t="s">
        <v>4136</v>
      </c>
      <c r="G942" t="s">
        <v>6266</v>
      </c>
      <c r="H942" t="s">
        <v>4137</v>
      </c>
      <c r="I942">
        <v>0</v>
      </c>
    </row>
    <row r="943" spans="1:9" x14ac:dyDescent="0.3">
      <c r="A943" t="s">
        <v>4138</v>
      </c>
      <c r="B943" t="s">
        <v>4139</v>
      </c>
      <c r="C943" t="s">
        <v>3008</v>
      </c>
      <c r="D943" t="s">
        <v>1216</v>
      </c>
      <c r="E943" t="s">
        <v>1287</v>
      </c>
      <c r="F943" t="s">
        <v>4083</v>
      </c>
      <c r="G943" t="s">
        <v>6258</v>
      </c>
      <c r="H943" t="s">
        <v>4084</v>
      </c>
      <c r="I943">
        <v>0</v>
      </c>
    </row>
    <row r="944" spans="1:9" x14ac:dyDescent="0.3">
      <c r="A944" t="s">
        <v>4140</v>
      </c>
      <c r="B944" t="s">
        <v>4141</v>
      </c>
      <c r="C944" t="s">
        <v>3008</v>
      </c>
      <c r="D944" t="s">
        <v>1216</v>
      </c>
      <c r="E944" t="s">
        <v>1287</v>
      </c>
      <c r="F944" t="s">
        <v>4136</v>
      </c>
      <c r="G944" t="s">
        <v>6266</v>
      </c>
      <c r="H944" t="s">
        <v>4137</v>
      </c>
      <c r="I944">
        <v>0</v>
      </c>
    </row>
    <row r="945" spans="1:9" x14ac:dyDescent="0.3">
      <c r="A945" t="s">
        <v>4142</v>
      </c>
      <c r="B945" t="s">
        <v>4143</v>
      </c>
      <c r="C945" t="s">
        <v>3008</v>
      </c>
      <c r="D945" t="s">
        <v>1216</v>
      </c>
      <c r="E945" t="s">
        <v>1287</v>
      </c>
      <c r="F945" t="s">
        <v>4144</v>
      </c>
      <c r="G945" t="s">
        <v>6267</v>
      </c>
      <c r="H945" t="s">
        <v>4145</v>
      </c>
      <c r="I945">
        <v>0</v>
      </c>
    </row>
    <row r="946" spans="1:9" x14ac:dyDescent="0.3">
      <c r="A946" t="s">
        <v>4146</v>
      </c>
      <c r="B946" t="s">
        <v>4147</v>
      </c>
      <c r="C946" t="s">
        <v>3008</v>
      </c>
      <c r="D946" t="s">
        <v>1216</v>
      </c>
      <c r="E946" t="s">
        <v>1287</v>
      </c>
      <c r="F946" t="s">
        <v>4144</v>
      </c>
      <c r="G946" t="s">
        <v>6267</v>
      </c>
      <c r="H946" t="s">
        <v>4145</v>
      </c>
      <c r="I946">
        <v>0</v>
      </c>
    </row>
    <row r="947" spans="1:9" x14ac:dyDescent="0.3">
      <c r="A947" t="s">
        <v>4148</v>
      </c>
      <c r="B947" t="s">
        <v>4149</v>
      </c>
      <c r="C947" t="s">
        <v>3008</v>
      </c>
      <c r="D947" t="s">
        <v>1216</v>
      </c>
      <c r="E947" t="s">
        <v>1287</v>
      </c>
      <c r="F947" t="s">
        <v>4063</v>
      </c>
      <c r="G947" t="s">
        <v>6254</v>
      </c>
      <c r="H947">
        <v>0</v>
      </c>
      <c r="I947" t="s">
        <v>4064</v>
      </c>
    </row>
    <row r="948" spans="1:9" x14ac:dyDescent="0.3">
      <c r="A948" t="s">
        <v>4150</v>
      </c>
      <c r="B948" t="s">
        <v>4151</v>
      </c>
      <c r="C948" t="s">
        <v>3008</v>
      </c>
      <c r="D948" t="s">
        <v>1216</v>
      </c>
      <c r="E948" t="s">
        <v>1287</v>
      </c>
      <c r="F948" t="s">
        <v>4063</v>
      </c>
      <c r="G948" t="s">
        <v>6254</v>
      </c>
      <c r="H948">
        <v>0</v>
      </c>
      <c r="I948" t="s">
        <v>4064</v>
      </c>
    </row>
    <row r="949" spans="1:9" x14ac:dyDescent="0.3">
      <c r="A949" t="s">
        <v>4152</v>
      </c>
      <c r="B949" t="s">
        <v>3792</v>
      </c>
      <c r="C949" t="s">
        <v>3008</v>
      </c>
      <c r="D949" t="s">
        <v>1216</v>
      </c>
      <c r="E949" t="s">
        <v>1287</v>
      </c>
      <c r="F949" t="s">
        <v>4056</v>
      </c>
      <c r="G949" t="s">
        <v>6252</v>
      </c>
      <c r="H949" t="s">
        <v>4057</v>
      </c>
      <c r="I949">
        <v>0</v>
      </c>
    </row>
    <row r="950" spans="1:9" x14ac:dyDescent="0.3">
      <c r="A950" t="s">
        <v>4153</v>
      </c>
      <c r="B950" t="s">
        <v>4154</v>
      </c>
      <c r="C950" t="s">
        <v>3008</v>
      </c>
      <c r="D950" t="s">
        <v>1216</v>
      </c>
      <c r="E950" t="s">
        <v>1287</v>
      </c>
      <c r="F950" t="s">
        <v>4130</v>
      </c>
      <c r="G950" t="s">
        <v>6264</v>
      </c>
      <c r="H950">
        <v>0</v>
      </c>
      <c r="I950">
        <v>0</v>
      </c>
    </row>
    <row r="951" spans="1:9" x14ac:dyDescent="0.3">
      <c r="A951" t="s">
        <v>4155</v>
      </c>
      <c r="B951" t="s">
        <v>4156</v>
      </c>
      <c r="C951" t="s">
        <v>3008</v>
      </c>
      <c r="D951" t="s">
        <v>1216</v>
      </c>
      <c r="E951" t="s">
        <v>1287</v>
      </c>
      <c r="F951" t="s">
        <v>4122</v>
      </c>
      <c r="G951" t="s">
        <v>6263</v>
      </c>
      <c r="H951" t="s">
        <v>4123</v>
      </c>
      <c r="I951">
        <v>0</v>
      </c>
    </row>
    <row r="952" spans="1:9" x14ac:dyDescent="0.3">
      <c r="A952" t="s">
        <v>4157</v>
      </c>
      <c r="B952" t="s">
        <v>4158</v>
      </c>
      <c r="C952" t="s">
        <v>3008</v>
      </c>
      <c r="D952" t="s">
        <v>1216</v>
      </c>
      <c r="E952" t="s">
        <v>1287</v>
      </c>
      <c r="F952" t="s">
        <v>4049</v>
      </c>
      <c r="G952" t="s">
        <v>6250</v>
      </c>
      <c r="H952" t="s">
        <v>591</v>
      </c>
      <c r="I952">
        <v>0</v>
      </c>
    </row>
    <row r="953" spans="1:9" x14ac:dyDescent="0.3">
      <c r="A953" t="s">
        <v>4159</v>
      </c>
      <c r="B953" t="s">
        <v>4160</v>
      </c>
      <c r="C953" t="s">
        <v>3008</v>
      </c>
      <c r="D953" t="s">
        <v>1216</v>
      </c>
      <c r="E953" t="s">
        <v>1287</v>
      </c>
      <c r="F953" t="s">
        <v>4103</v>
      </c>
      <c r="G953" t="s">
        <v>6260</v>
      </c>
      <c r="H953" t="s">
        <v>593</v>
      </c>
      <c r="I953">
        <v>0</v>
      </c>
    </row>
    <row r="954" spans="1:9" x14ac:dyDescent="0.3">
      <c r="A954" t="s">
        <v>4161</v>
      </c>
      <c r="B954" t="s">
        <v>4162</v>
      </c>
      <c r="C954" t="s">
        <v>3008</v>
      </c>
      <c r="D954" t="s">
        <v>1216</v>
      </c>
      <c r="E954" t="s">
        <v>1287</v>
      </c>
      <c r="F954" t="s">
        <v>4136</v>
      </c>
      <c r="G954" t="s">
        <v>6266</v>
      </c>
      <c r="H954" t="s">
        <v>4137</v>
      </c>
      <c r="I954">
        <v>0</v>
      </c>
    </row>
    <row r="955" spans="1:9" x14ac:dyDescent="0.3">
      <c r="A955" t="s">
        <v>4163</v>
      </c>
      <c r="B955" t="s">
        <v>4164</v>
      </c>
      <c r="C955" t="s">
        <v>3008</v>
      </c>
      <c r="D955" t="s">
        <v>1216</v>
      </c>
      <c r="E955" t="s">
        <v>1287</v>
      </c>
      <c r="F955" t="s">
        <v>4067</v>
      </c>
      <c r="G955" t="s">
        <v>6255</v>
      </c>
      <c r="H955" t="s">
        <v>4068</v>
      </c>
      <c r="I955">
        <v>0</v>
      </c>
    </row>
    <row r="956" spans="1:9" x14ac:dyDescent="0.3">
      <c r="A956" t="s">
        <v>4165</v>
      </c>
      <c r="B956" t="s">
        <v>4166</v>
      </c>
      <c r="C956" t="s">
        <v>3008</v>
      </c>
      <c r="D956" t="s">
        <v>1216</v>
      </c>
      <c r="E956" t="s">
        <v>1287</v>
      </c>
      <c r="F956" t="s">
        <v>4056</v>
      </c>
      <c r="G956" t="s">
        <v>6252</v>
      </c>
      <c r="H956" t="s">
        <v>4057</v>
      </c>
      <c r="I956">
        <v>0</v>
      </c>
    </row>
    <row r="957" spans="1:9" x14ac:dyDescent="0.3">
      <c r="A957" t="s">
        <v>4167</v>
      </c>
      <c r="B957" t="s">
        <v>4168</v>
      </c>
      <c r="C957" t="s">
        <v>3008</v>
      </c>
      <c r="D957" t="s">
        <v>1216</v>
      </c>
      <c r="E957" t="s">
        <v>1287</v>
      </c>
      <c r="F957" t="s">
        <v>4122</v>
      </c>
      <c r="G957" t="s">
        <v>6263</v>
      </c>
      <c r="H957" t="s">
        <v>4123</v>
      </c>
      <c r="I957">
        <v>0</v>
      </c>
    </row>
    <row r="958" spans="1:9" x14ac:dyDescent="0.3">
      <c r="A958" t="s">
        <v>4169</v>
      </c>
      <c r="B958" t="s">
        <v>4170</v>
      </c>
      <c r="C958" t="s">
        <v>3008</v>
      </c>
      <c r="D958" t="s">
        <v>1216</v>
      </c>
      <c r="E958" t="s">
        <v>1287</v>
      </c>
      <c r="F958" t="s">
        <v>4083</v>
      </c>
      <c r="G958" t="s">
        <v>6258</v>
      </c>
      <c r="H958" t="s">
        <v>4084</v>
      </c>
      <c r="I958">
        <v>0</v>
      </c>
    </row>
    <row r="959" spans="1:9" x14ac:dyDescent="0.3">
      <c r="A959" t="s">
        <v>4171</v>
      </c>
      <c r="B959" t="s">
        <v>4172</v>
      </c>
      <c r="C959" t="s">
        <v>3008</v>
      </c>
      <c r="D959" t="s">
        <v>1216</v>
      </c>
      <c r="E959" t="s">
        <v>1287</v>
      </c>
      <c r="F959" t="s">
        <v>4133</v>
      </c>
      <c r="G959" t="s">
        <v>6265</v>
      </c>
      <c r="H959">
        <v>0</v>
      </c>
      <c r="I959">
        <v>0</v>
      </c>
    </row>
    <row r="960" spans="1:9" x14ac:dyDescent="0.3">
      <c r="A960" t="s">
        <v>4173</v>
      </c>
      <c r="B960" t="s">
        <v>4174</v>
      </c>
      <c r="C960" t="s">
        <v>3008</v>
      </c>
      <c r="D960" t="s">
        <v>1216</v>
      </c>
      <c r="E960" t="s">
        <v>1287</v>
      </c>
      <c r="F960" t="s">
        <v>4175</v>
      </c>
      <c r="G960" t="s">
        <v>6268</v>
      </c>
      <c r="H960" t="s">
        <v>4176</v>
      </c>
      <c r="I960">
        <v>0</v>
      </c>
    </row>
    <row r="961" spans="1:9" x14ac:dyDescent="0.3">
      <c r="A961" t="s">
        <v>4177</v>
      </c>
      <c r="B961" t="s">
        <v>4178</v>
      </c>
      <c r="C961" t="s">
        <v>3008</v>
      </c>
      <c r="D961" t="s">
        <v>1216</v>
      </c>
      <c r="E961" t="s">
        <v>1287</v>
      </c>
      <c r="F961" t="s">
        <v>4175</v>
      </c>
      <c r="G961" t="s">
        <v>6268</v>
      </c>
      <c r="H961" t="s">
        <v>4176</v>
      </c>
      <c r="I961">
        <v>0</v>
      </c>
    </row>
    <row r="962" spans="1:9" x14ac:dyDescent="0.3">
      <c r="A962" t="s">
        <v>4179</v>
      </c>
      <c r="B962" t="s">
        <v>4180</v>
      </c>
      <c r="C962" t="s">
        <v>3008</v>
      </c>
      <c r="D962" t="s">
        <v>1216</v>
      </c>
      <c r="E962" t="s">
        <v>1287</v>
      </c>
      <c r="F962" t="s">
        <v>4144</v>
      </c>
      <c r="G962" t="s">
        <v>6267</v>
      </c>
      <c r="H962" t="s">
        <v>4145</v>
      </c>
      <c r="I962">
        <v>0</v>
      </c>
    </row>
    <row r="963" spans="1:9" x14ac:dyDescent="0.3">
      <c r="A963" t="s">
        <v>4181</v>
      </c>
      <c r="B963" t="s">
        <v>4182</v>
      </c>
      <c r="C963" t="s">
        <v>2983</v>
      </c>
      <c r="D963" t="s">
        <v>1216</v>
      </c>
      <c r="E963" t="s">
        <v>1287</v>
      </c>
      <c r="F963" t="s">
        <v>4116</v>
      </c>
      <c r="G963" t="s">
        <v>6261</v>
      </c>
      <c r="H963" t="s">
        <v>12</v>
      </c>
      <c r="I963">
        <v>0</v>
      </c>
    </row>
    <row r="964" spans="1:9" x14ac:dyDescent="0.3">
      <c r="A964" t="s">
        <v>4183</v>
      </c>
      <c r="B964" t="s">
        <v>4184</v>
      </c>
      <c r="C964" t="s">
        <v>3008</v>
      </c>
      <c r="D964" t="s">
        <v>1216</v>
      </c>
      <c r="E964" t="s">
        <v>1287</v>
      </c>
      <c r="F964" t="s">
        <v>4122</v>
      </c>
      <c r="G964" t="s">
        <v>6263</v>
      </c>
      <c r="H964" t="s">
        <v>4123</v>
      </c>
      <c r="I964">
        <v>0</v>
      </c>
    </row>
    <row r="965" spans="1:9" x14ac:dyDescent="0.3">
      <c r="A965" t="s">
        <v>4185</v>
      </c>
      <c r="B965" t="s">
        <v>4186</v>
      </c>
      <c r="C965" t="s">
        <v>4187</v>
      </c>
      <c r="D965" t="s">
        <v>1326</v>
      </c>
      <c r="E965" t="s">
        <v>1287</v>
      </c>
      <c r="F965" t="s">
        <v>4188</v>
      </c>
      <c r="G965" t="s">
        <v>6269</v>
      </c>
      <c r="H965">
        <v>0</v>
      </c>
      <c r="I965">
        <v>0</v>
      </c>
    </row>
    <row r="966" spans="1:9" x14ac:dyDescent="0.3">
      <c r="A966" t="s">
        <v>4189</v>
      </c>
      <c r="B966" t="s">
        <v>4190</v>
      </c>
      <c r="C966" t="s">
        <v>4187</v>
      </c>
      <c r="D966" t="s">
        <v>1326</v>
      </c>
      <c r="E966" t="s">
        <v>1287</v>
      </c>
      <c r="F966" t="s">
        <v>4191</v>
      </c>
      <c r="G966" t="s">
        <v>6270</v>
      </c>
      <c r="H966">
        <v>0</v>
      </c>
      <c r="I966">
        <v>0</v>
      </c>
    </row>
    <row r="967" spans="1:9" x14ac:dyDescent="0.3">
      <c r="A967" t="s">
        <v>4192</v>
      </c>
      <c r="B967" t="s">
        <v>4193</v>
      </c>
      <c r="C967" t="s">
        <v>4187</v>
      </c>
      <c r="D967" t="s">
        <v>1326</v>
      </c>
      <c r="E967" t="s">
        <v>1287</v>
      </c>
      <c r="F967" t="s">
        <v>4194</v>
      </c>
      <c r="G967" t="s">
        <v>6271</v>
      </c>
      <c r="H967" t="s">
        <v>4195</v>
      </c>
      <c r="I967">
        <v>0</v>
      </c>
    </row>
    <row r="968" spans="1:9" x14ac:dyDescent="0.3">
      <c r="A968" t="s">
        <v>4196</v>
      </c>
      <c r="B968" t="s">
        <v>4197</v>
      </c>
      <c r="C968" t="s">
        <v>4187</v>
      </c>
      <c r="D968" t="s">
        <v>1326</v>
      </c>
      <c r="E968" t="s">
        <v>1287</v>
      </c>
      <c r="F968" t="s">
        <v>4198</v>
      </c>
      <c r="G968" t="s">
        <v>6272</v>
      </c>
      <c r="H968" t="s">
        <v>4195</v>
      </c>
      <c r="I968">
        <v>0</v>
      </c>
    </row>
    <row r="969" spans="1:9" x14ac:dyDescent="0.3">
      <c r="A969" t="s">
        <v>4199</v>
      </c>
      <c r="B969" t="s">
        <v>4200</v>
      </c>
      <c r="C969" t="s">
        <v>4187</v>
      </c>
      <c r="D969" t="s">
        <v>1326</v>
      </c>
      <c r="E969" t="s">
        <v>1287</v>
      </c>
      <c r="F969" t="s">
        <v>4201</v>
      </c>
      <c r="G969" t="s">
        <v>6273</v>
      </c>
      <c r="H969" t="s">
        <v>4195</v>
      </c>
      <c r="I969">
        <v>0</v>
      </c>
    </row>
    <row r="970" spans="1:9" x14ac:dyDescent="0.3">
      <c r="A970" t="s">
        <v>4202</v>
      </c>
      <c r="B970" t="s">
        <v>4203</v>
      </c>
      <c r="C970" t="s">
        <v>4187</v>
      </c>
      <c r="D970" t="s">
        <v>1326</v>
      </c>
      <c r="E970" t="s">
        <v>1287</v>
      </c>
      <c r="F970" t="s">
        <v>4204</v>
      </c>
      <c r="G970" t="s">
        <v>6274</v>
      </c>
      <c r="H970">
        <v>0</v>
      </c>
      <c r="I970">
        <v>0</v>
      </c>
    </row>
    <row r="971" spans="1:9" x14ac:dyDescent="0.3">
      <c r="A971" t="s">
        <v>4205</v>
      </c>
      <c r="B971" t="s">
        <v>4206</v>
      </c>
      <c r="C971" t="s">
        <v>4187</v>
      </c>
      <c r="D971" t="s">
        <v>1326</v>
      </c>
      <c r="E971" t="s">
        <v>1287</v>
      </c>
      <c r="F971" t="s">
        <v>4207</v>
      </c>
      <c r="G971" t="s">
        <v>6275</v>
      </c>
      <c r="H971" t="s">
        <v>4208</v>
      </c>
      <c r="I971">
        <v>0</v>
      </c>
    </row>
    <row r="972" spans="1:9" x14ac:dyDescent="0.3">
      <c r="A972" t="s">
        <v>4209</v>
      </c>
      <c r="B972" t="s">
        <v>4210</v>
      </c>
      <c r="C972" t="s">
        <v>4187</v>
      </c>
      <c r="D972" t="s">
        <v>1326</v>
      </c>
      <c r="E972" t="s">
        <v>1287</v>
      </c>
      <c r="F972" t="s">
        <v>4211</v>
      </c>
      <c r="G972" t="s">
        <v>6276</v>
      </c>
      <c r="H972" t="s">
        <v>4208</v>
      </c>
      <c r="I972">
        <v>0</v>
      </c>
    </row>
    <row r="973" spans="1:9" x14ac:dyDescent="0.3">
      <c r="A973" t="s">
        <v>4212</v>
      </c>
      <c r="B973" t="s">
        <v>4213</v>
      </c>
      <c r="C973" t="s">
        <v>4187</v>
      </c>
      <c r="D973" t="s">
        <v>1326</v>
      </c>
      <c r="E973" t="s">
        <v>1287</v>
      </c>
      <c r="F973" t="s">
        <v>4214</v>
      </c>
      <c r="G973" t="s">
        <v>6277</v>
      </c>
      <c r="H973">
        <v>0</v>
      </c>
      <c r="I973">
        <v>0</v>
      </c>
    </row>
    <row r="974" spans="1:9" x14ac:dyDescent="0.3">
      <c r="A974" t="s">
        <v>4215</v>
      </c>
      <c r="B974" t="s">
        <v>4216</v>
      </c>
      <c r="C974" t="s">
        <v>4187</v>
      </c>
      <c r="D974" t="s">
        <v>1326</v>
      </c>
      <c r="E974" t="s">
        <v>1287</v>
      </c>
      <c r="F974" t="s">
        <v>4217</v>
      </c>
      <c r="G974" t="s">
        <v>6278</v>
      </c>
      <c r="H974">
        <v>0</v>
      </c>
      <c r="I974">
        <v>0</v>
      </c>
    </row>
    <row r="975" spans="1:9" x14ac:dyDescent="0.3">
      <c r="A975" t="s">
        <v>4218</v>
      </c>
      <c r="B975" t="s">
        <v>4219</v>
      </c>
      <c r="C975" t="s">
        <v>4187</v>
      </c>
      <c r="D975" t="s">
        <v>1326</v>
      </c>
      <c r="E975" t="s">
        <v>1287</v>
      </c>
      <c r="F975" t="s">
        <v>4220</v>
      </c>
      <c r="G975" t="s">
        <v>6279</v>
      </c>
      <c r="H975">
        <v>0</v>
      </c>
      <c r="I975">
        <v>0</v>
      </c>
    </row>
    <row r="976" spans="1:9" x14ac:dyDescent="0.3">
      <c r="A976" t="s">
        <v>4221</v>
      </c>
      <c r="B976" t="s">
        <v>4222</v>
      </c>
      <c r="C976" t="s">
        <v>4187</v>
      </c>
      <c r="D976" t="s">
        <v>1326</v>
      </c>
      <c r="E976" t="s">
        <v>1287</v>
      </c>
      <c r="F976" t="s">
        <v>4223</v>
      </c>
      <c r="G976" t="s">
        <v>6280</v>
      </c>
      <c r="H976">
        <v>0</v>
      </c>
      <c r="I976">
        <v>0</v>
      </c>
    </row>
    <row r="977" spans="1:9" x14ac:dyDescent="0.3">
      <c r="A977" t="s">
        <v>4224</v>
      </c>
      <c r="B977" t="s">
        <v>4225</v>
      </c>
      <c r="C977" t="s">
        <v>4187</v>
      </c>
      <c r="D977" t="s">
        <v>1326</v>
      </c>
      <c r="E977" t="s">
        <v>1287</v>
      </c>
      <c r="F977" t="s">
        <v>4226</v>
      </c>
      <c r="G977" t="s">
        <v>6281</v>
      </c>
      <c r="H977" t="s">
        <v>4195</v>
      </c>
      <c r="I977">
        <v>0</v>
      </c>
    </row>
    <row r="978" spans="1:9" x14ac:dyDescent="0.3">
      <c r="A978" t="s">
        <v>4227</v>
      </c>
      <c r="B978" t="s">
        <v>4228</v>
      </c>
      <c r="C978" t="s">
        <v>4187</v>
      </c>
      <c r="D978" t="s">
        <v>1326</v>
      </c>
      <c r="E978" t="s">
        <v>1287</v>
      </c>
      <c r="F978" t="s">
        <v>4229</v>
      </c>
      <c r="G978" t="s">
        <v>6282</v>
      </c>
      <c r="H978">
        <v>0</v>
      </c>
      <c r="I978">
        <v>0</v>
      </c>
    </row>
    <row r="979" spans="1:9" x14ac:dyDescent="0.3">
      <c r="A979" t="s">
        <v>4230</v>
      </c>
      <c r="B979" t="s">
        <v>4231</v>
      </c>
      <c r="C979" t="s">
        <v>4187</v>
      </c>
      <c r="D979" t="s">
        <v>1326</v>
      </c>
      <c r="E979" t="s">
        <v>1287</v>
      </c>
      <c r="F979" t="s">
        <v>4232</v>
      </c>
      <c r="G979" t="s">
        <v>6283</v>
      </c>
      <c r="H979">
        <v>0</v>
      </c>
      <c r="I979">
        <v>0</v>
      </c>
    </row>
    <row r="980" spans="1:9" x14ac:dyDescent="0.3">
      <c r="A980" t="s">
        <v>4233</v>
      </c>
      <c r="B980" t="s">
        <v>4234</v>
      </c>
      <c r="C980" t="s">
        <v>4187</v>
      </c>
      <c r="D980" t="s">
        <v>1326</v>
      </c>
      <c r="E980" t="s">
        <v>1287</v>
      </c>
      <c r="F980" t="s">
        <v>4235</v>
      </c>
      <c r="G980" t="s">
        <v>6284</v>
      </c>
      <c r="H980">
        <v>0</v>
      </c>
      <c r="I980">
        <v>0</v>
      </c>
    </row>
    <row r="981" spans="1:9" x14ac:dyDescent="0.3">
      <c r="A981" t="s">
        <v>4236</v>
      </c>
      <c r="B981" t="s">
        <v>4237</v>
      </c>
      <c r="C981" t="s">
        <v>4187</v>
      </c>
      <c r="D981" t="s">
        <v>1326</v>
      </c>
      <c r="E981" t="s">
        <v>1287</v>
      </c>
      <c r="F981" t="s">
        <v>4238</v>
      </c>
      <c r="G981" t="s">
        <v>6285</v>
      </c>
      <c r="H981">
        <v>0</v>
      </c>
      <c r="I981">
        <v>0</v>
      </c>
    </row>
    <row r="982" spans="1:9" x14ac:dyDescent="0.3">
      <c r="A982" t="s">
        <v>4239</v>
      </c>
      <c r="B982" t="s">
        <v>4240</v>
      </c>
      <c r="C982" t="s">
        <v>4187</v>
      </c>
      <c r="D982" t="s">
        <v>1326</v>
      </c>
      <c r="E982" t="s">
        <v>1287</v>
      </c>
      <c r="F982" t="s">
        <v>4241</v>
      </c>
      <c r="G982" t="s">
        <v>6286</v>
      </c>
      <c r="H982">
        <v>0</v>
      </c>
      <c r="I982">
        <v>0</v>
      </c>
    </row>
    <row r="983" spans="1:9" x14ac:dyDescent="0.3">
      <c r="A983" t="s">
        <v>4242</v>
      </c>
      <c r="B983" t="s">
        <v>4243</v>
      </c>
      <c r="C983" t="s">
        <v>4187</v>
      </c>
      <c r="D983" t="s">
        <v>1326</v>
      </c>
      <c r="E983" t="s">
        <v>1287</v>
      </c>
      <c r="F983" t="s">
        <v>4244</v>
      </c>
      <c r="G983" t="s">
        <v>6287</v>
      </c>
      <c r="H983" t="s">
        <v>4208</v>
      </c>
      <c r="I983">
        <v>0</v>
      </c>
    </row>
    <row r="984" spans="1:9" x14ac:dyDescent="0.3">
      <c r="A984" t="s">
        <v>4245</v>
      </c>
      <c r="B984" t="s">
        <v>4246</v>
      </c>
      <c r="C984" t="s">
        <v>4187</v>
      </c>
      <c r="D984" t="s">
        <v>1326</v>
      </c>
      <c r="E984" t="s">
        <v>1287</v>
      </c>
      <c r="F984" t="s">
        <v>4247</v>
      </c>
      <c r="G984" t="s">
        <v>6288</v>
      </c>
      <c r="H984" t="s">
        <v>4208</v>
      </c>
      <c r="I984">
        <v>0</v>
      </c>
    </row>
    <row r="985" spans="1:9" x14ac:dyDescent="0.3">
      <c r="A985" t="s">
        <v>4248</v>
      </c>
      <c r="B985" t="s">
        <v>4249</v>
      </c>
      <c r="C985" t="s">
        <v>4187</v>
      </c>
      <c r="D985" t="s">
        <v>1326</v>
      </c>
      <c r="E985" t="s">
        <v>1287</v>
      </c>
      <c r="F985" t="s">
        <v>4250</v>
      </c>
      <c r="G985" t="s">
        <v>6289</v>
      </c>
      <c r="H985" t="s">
        <v>4208</v>
      </c>
      <c r="I985">
        <v>0</v>
      </c>
    </row>
    <row r="986" spans="1:9" x14ac:dyDescent="0.3">
      <c r="A986" t="s">
        <v>4251</v>
      </c>
      <c r="B986" t="s">
        <v>4252</v>
      </c>
      <c r="C986" t="s">
        <v>4253</v>
      </c>
      <c r="D986" t="s">
        <v>2707</v>
      </c>
      <c r="E986" t="s">
        <v>1236</v>
      </c>
      <c r="F986" t="s">
        <v>4254</v>
      </c>
      <c r="G986" t="s">
        <v>6290</v>
      </c>
      <c r="H986" t="s">
        <v>4255</v>
      </c>
      <c r="I986">
        <v>0</v>
      </c>
    </row>
    <row r="987" spans="1:9" x14ac:dyDescent="0.3">
      <c r="A987" t="s">
        <v>4256</v>
      </c>
      <c r="B987" t="s">
        <v>4257</v>
      </c>
      <c r="C987" t="s">
        <v>4253</v>
      </c>
      <c r="D987" t="s">
        <v>2707</v>
      </c>
      <c r="E987" t="s">
        <v>1236</v>
      </c>
      <c r="F987" t="s">
        <v>4258</v>
      </c>
      <c r="G987" t="s">
        <v>6291</v>
      </c>
      <c r="H987" t="s">
        <v>4259</v>
      </c>
      <c r="I987" t="s">
        <v>4260</v>
      </c>
    </row>
    <row r="988" spans="1:9" x14ac:dyDescent="0.3">
      <c r="A988" t="s">
        <v>4261</v>
      </c>
      <c r="B988" t="s">
        <v>4262</v>
      </c>
      <c r="C988" t="s">
        <v>4253</v>
      </c>
      <c r="D988" t="s">
        <v>2707</v>
      </c>
      <c r="E988" t="s">
        <v>1236</v>
      </c>
      <c r="F988" t="s">
        <v>4263</v>
      </c>
      <c r="G988" t="s">
        <v>6292</v>
      </c>
      <c r="H988">
        <v>0</v>
      </c>
      <c r="I988" t="s">
        <v>4264</v>
      </c>
    </row>
    <row r="989" spans="1:9" x14ac:dyDescent="0.3">
      <c r="A989" t="s">
        <v>4265</v>
      </c>
      <c r="B989" t="s">
        <v>4266</v>
      </c>
      <c r="C989" t="s">
        <v>4253</v>
      </c>
      <c r="D989" t="s">
        <v>2707</v>
      </c>
      <c r="E989" t="s">
        <v>1236</v>
      </c>
      <c r="F989" t="s">
        <v>4263</v>
      </c>
      <c r="G989" t="s">
        <v>6292</v>
      </c>
      <c r="H989">
        <v>0</v>
      </c>
      <c r="I989" t="s">
        <v>4264</v>
      </c>
    </row>
    <row r="990" spans="1:9" x14ac:dyDescent="0.3">
      <c r="A990" t="s">
        <v>4267</v>
      </c>
      <c r="B990" t="s">
        <v>4268</v>
      </c>
      <c r="C990" t="s">
        <v>4253</v>
      </c>
      <c r="D990" t="s">
        <v>2707</v>
      </c>
      <c r="E990" t="s">
        <v>1236</v>
      </c>
      <c r="F990" t="s">
        <v>4269</v>
      </c>
      <c r="G990" t="s">
        <v>6293</v>
      </c>
      <c r="H990" t="s">
        <v>4259</v>
      </c>
      <c r="I990" t="s">
        <v>4270</v>
      </c>
    </row>
    <row r="991" spans="1:9" x14ac:dyDescent="0.3">
      <c r="A991" t="s">
        <v>4271</v>
      </c>
      <c r="B991" t="s">
        <v>4272</v>
      </c>
      <c r="C991" t="s">
        <v>4253</v>
      </c>
      <c r="D991" t="s">
        <v>2707</v>
      </c>
      <c r="E991" t="s">
        <v>1236</v>
      </c>
      <c r="F991" t="s">
        <v>4258</v>
      </c>
      <c r="G991" t="s">
        <v>6291</v>
      </c>
      <c r="H991" t="s">
        <v>4259</v>
      </c>
      <c r="I991" t="s">
        <v>4260</v>
      </c>
    </row>
    <row r="992" spans="1:9" x14ac:dyDescent="0.3">
      <c r="A992" t="s">
        <v>4273</v>
      </c>
      <c r="B992" t="s">
        <v>4274</v>
      </c>
      <c r="C992" t="s">
        <v>4253</v>
      </c>
      <c r="D992" t="s">
        <v>2707</v>
      </c>
      <c r="E992" t="s">
        <v>1236</v>
      </c>
      <c r="F992" t="s">
        <v>4275</v>
      </c>
      <c r="G992" t="s">
        <v>6294</v>
      </c>
      <c r="H992">
        <v>0</v>
      </c>
      <c r="I992">
        <v>0</v>
      </c>
    </row>
    <row r="993" spans="1:9" x14ac:dyDescent="0.3">
      <c r="A993" t="s">
        <v>4276</v>
      </c>
      <c r="B993" t="s">
        <v>4277</v>
      </c>
      <c r="C993" t="s">
        <v>4253</v>
      </c>
      <c r="D993" t="s">
        <v>2707</v>
      </c>
      <c r="E993" t="s">
        <v>1236</v>
      </c>
      <c r="F993" t="s">
        <v>4278</v>
      </c>
      <c r="G993" t="s">
        <v>6295</v>
      </c>
      <c r="H993" t="s">
        <v>4279</v>
      </c>
      <c r="I993" t="s">
        <v>4280</v>
      </c>
    </row>
    <row r="994" spans="1:9" x14ac:dyDescent="0.3">
      <c r="A994" t="s">
        <v>4281</v>
      </c>
      <c r="B994" t="s">
        <v>4282</v>
      </c>
      <c r="C994" t="s">
        <v>4253</v>
      </c>
      <c r="D994" t="s">
        <v>2707</v>
      </c>
      <c r="E994" t="s">
        <v>1236</v>
      </c>
      <c r="F994" t="s">
        <v>4283</v>
      </c>
      <c r="G994" t="s">
        <v>6296</v>
      </c>
      <c r="H994" t="s">
        <v>4279</v>
      </c>
      <c r="I994" t="s">
        <v>4284</v>
      </c>
    </row>
    <row r="995" spans="1:9" x14ac:dyDescent="0.3">
      <c r="A995" t="s">
        <v>4285</v>
      </c>
      <c r="B995" t="s">
        <v>4286</v>
      </c>
      <c r="C995" t="s">
        <v>4253</v>
      </c>
      <c r="D995" t="s">
        <v>2707</v>
      </c>
      <c r="E995" t="s">
        <v>1236</v>
      </c>
      <c r="F995" t="s">
        <v>4283</v>
      </c>
      <c r="G995" t="s">
        <v>6296</v>
      </c>
      <c r="H995" t="s">
        <v>4279</v>
      </c>
      <c r="I995" t="s">
        <v>4284</v>
      </c>
    </row>
    <row r="996" spans="1:9" x14ac:dyDescent="0.3">
      <c r="A996" t="s">
        <v>4287</v>
      </c>
      <c r="B996" t="s">
        <v>4288</v>
      </c>
      <c r="C996" t="s">
        <v>4253</v>
      </c>
      <c r="D996" t="s">
        <v>2707</v>
      </c>
      <c r="E996" t="s">
        <v>1236</v>
      </c>
      <c r="F996" t="s">
        <v>4269</v>
      </c>
      <c r="G996" t="s">
        <v>6293</v>
      </c>
      <c r="H996" t="s">
        <v>4259</v>
      </c>
      <c r="I996" t="s">
        <v>4270</v>
      </c>
    </row>
    <row r="997" spans="1:9" x14ac:dyDescent="0.3">
      <c r="A997" t="s">
        <v>4289</v>
      </c>
      <c r="B997" t="s">
        <v>4290</v>
      </c>
      <c r="C997" t="s">
        <v>4253</v>
      </c>
      <c r="D997" t="s">
        <v>2707</v>
      </c>
      <c r="E997" t="s">
        <v>1236</v>
      </c>
      <c r="F997" t="s">
        <v>4269</v>
      </c>
      <c r="G997" t="s">
        <v>6293</v>
      </c>
      <c r="H997" t="s">
        <v>4259</v>
      </c>
      <c r="I997" t="s">
        <v>4270</v>
      </c>
    </row>
    <row r="998" spans="1:9" x14ac:dyDescent="0.3">
      <c r="A998" t="s">
        <v>4291</v>
      </c>
      <c r="B998" t="s">
        <v>4292</v>
      </c>
      <c r="C998" t="s">
        <v>4253</v>
      </c>
      <c r="D998" t="s">
        <v>2707</v>
      </c>
      <c r="E998" t="s">
        <v>1236</v>
      </c>
      <c r="F998" t="s">
        <v>4278</v>
      </c>
      <c r="G998" t="s">
        <v>6295</v>
      </c>
      <c r="H998" t="s">
        <v>4279</v>
      </c>
      <c r="I998" t="s">
        <v>4280</v>
      </c>
    </row>
    <row r="999" spans="1:9" x14ac:dyDescent="0.3">
      <c r="A999" t="s">
        <v>4293</v>
      </c>
      <c r="B999" t="s">
        <v>4294</v>
      </c>
      <c r="C999" t="s">
        <v>4253</v>
      </c>
      <c r="D999" t="s">
        <v>2707</v>
      </c>
      <c r="E999" t="s">
        <v>1236</v>
      </c>
      <c r="F999" t="s">
        <v>4295</v>
      </c>
      <c r="G999" t="s">
        <v>6297</v>
      </c>
      <c r="H999">
        <v>0</v>
      </c>
      <c r="I999">
        <v>0</v>
      </c>
    </row>
    <row r="1000" spans="1:9" x14ac:dyDescent="0.3">
      <c r="A1000" t="s">
        <v>4296</v>
      </c>
      <c r="B1000" t="s">
        <v>4297</v>
      </c>
      <c r="C1000" t="s">
        <v>4253</v>
      </c>
      <c r="D1000" t="s">
        <v>2707</v>
      </c>
      <c r="E1000" t="s">
        <v>1236</v>
      </c>
      <c r="F1000" t="s">
        <v>4298</v>
      </c>
      <c r="G1000" t="s">
        <v>6298</v>
      </c>
      <c r="H1000">
        <v>0</v>
      </c>
      <c r="I1000">
        <v>0</v>
      </c>
    </row>
    <row r="1001" spans="1:9" x14ac:dyDescent="0.3">
      <c r="A1001" t="s">
        <v>4299</v>
      </c>
      <c r="B1001" t="s">
        <v>4300</v>
      </c>
      <c r="C1001" t="s">
        <v>4253</v>
      </c>
      <c r="D1001" t="s">
        <v>2707</v>
      </c>
      <c r="E1001" t="s">
        <v>1236</v>
      </c>
      <c r="F1001" t="s">
        <v>4301</v>
      </c>
      <c r="G1001" t="s">
        <v>6299</v>
      </c>
      <c r="H1001" t="s">
        <v>686</v>
      </c>
      <c r="I1001" t="s">
        <v>4302</v>
      </c>
    </row>
    <row r="1002" spans="1:9" x14ac:dyDescent="0.3">
      <c r="A1002" t="s">
        <v>4303</v>
      </c>
      <c r="B1002" t="s">
        <v>4304</v>
      </c>
      <c r="C1002" t="s">
        <v>4253</v>
      </c>
      <c r="D1002" t="s">
        <v>2707</v>
      </c>
      <c r="E1002" t="s">
        <v>1236</v>
      </c>
      <c r="F1002" t="s">
        <v>4301</v>
      </c>
      <c r="G1002" t="s">
        <v>6299</v>
      </c>
      <c r="H1002" t="s">
        <v>686</v>
      </c>
      <c r="I1002" t="s">
        <v>4302</v>
      </c>
    </row>
    <row r="1003" spans="1:9" x14ac:dyDescent="0.3">
      <c r="A1003" t="s">
        <v>4305</v>
      </c>
      <c r="B1003" t="s">
        <v>4306</v>
      </c>
      <c r="C1003" t="s">
        <v>4253</v>
      </c>
      <c r="D1003" t="s">
        <v>2707</v>
      </c>
      <c r="E1003" t="s">
        <v>1236</v>
      </c>
      <c r="F1003" t="s">
        <v>4307</v>
      </c>
      <c r="G1003" t="s">
        <v>6300</v>
      </c>
      <c r="H1003">
        <v>0</v>
      </c>
      <c r="I1003">
        <v>0</v>
      </c>
    </row>
    <row r="1004" spans="1:9" x14ac:dyDescent="0.3">
      <c r="A1004" t="s">
        <v>4308</v>
      </c>
      <c r="B1004" t="s">
        <v>4309</v>
      </c>
      <c r="C1004" t="s">
        <v>4253</v>
      </c>
      <c r="D1004" t="s">
        <v>2707</v>
      </c>
      <c r="E1004" t="s">
        <v>1236</v>
      </c>
      <c r="F1004" t="s">
        <v>4310</v>
      </c>
      <c r="G1004" t="s">
        <v>6301</v>
      </c>
      <c r="H1004" t="s">
        <v>4255</v>
      </c>
      <c r="I1004">
        <v>0</v>
      </c>
    </row>
    <row r="1005" spans="1:9" x14ac:dyDescent="0.3">
      <c r="A1005" t="s">
        <v>4311</v>
      </c>
      <c r="B1005" t="s">
        <v>4312</v>
      </c>
      <c r="C1005" t="s">
        <v>4253</v>
      </c>
      <c r="D1005" t="s">
        <v>2707</v>
      </c>
      <c r="E1005" t="s">
        <v>1236</v>
      </c>
      <c r="F1005" t="s">
        <v>4313</v>
      </c>
      <c r="G1005" t="s">
        <v>6302</v>
      </c>
      <c r="H1005">
        <v>0</v>
      </c>
      <c r="I1005">
        <v>0</v>
      </c>
    </row>
    <row r="1006" spans="1:9" x14ac:dyDescent="0.3">
      <c r="A1006" t="s">
        <v>4314</v>
      </c>
      <c r="B1006" t="s">
        <v>4315</v>
      </c>
      <c r="C1006" t="s">
        <v>4253</v>
      </c>
      <c r="D1006" t="s">
        <v>2707</v>
      </c>
      <c r="E1006" t="s">
        <v>1236</v>
      </c>
      <c r="F1006" t="s">
        <v>4316</v>
      </c>
      <c r="G1006" t="s">
        <v>6303</v>
      </c>
      <c r="H1006">
        <v>0</v>
      </c>
      <c r="I1006">
        <v>0</v>
      </c>
    </row>
    <row r="1007" spans="1:9" x14ac:dyDescent="0.3">
      <c r="A1007" t="s">
        <v>4317</v>
      </c>
      <c r="B1007" t="s">
        <v>4318</v>
      </c>
      <c r="C1007" t="s">
        <v>4253</v>
      </c>
      <c r="D1007" t="s">
        <v>2707</v>
      </c>
      <c r="E1007" t="s">
        <v>1236</v>
      </c>
      <c r="F1007" t="s">
        <v>4283</v>
      </c>
      <c r="G1007" t="s">
        <v>6296</v>
      </c>
      <c r="H1007" t="s">
        <v>4279</v>
      </c>
      <c r="I1007">
        <v>0</v>
      </c>
    </row>
    <row r="1008" spans="1:9" x14ac:dyDescent="0.3">
      <c r="A1008" t="s">
        <v>4319</v>
      </c>
      <c r="B1008" t="s">
        <v>4320</v>
      </c>
      <c r="C1008" t="s">
        <v>4253</v>
      </c>
      <c r="D1008" t="s">
        <v>2707</v>
      </c>
      <c r="E1008" t="s">
        <v>1236</v>
      </c>
      <c r="F1008" t="s">
        <v>4283</v>
      </c>
      <c r="G1008" t="s">
        <v>6296</v>
      </c>
      <c r="H1008" t="s">
        <v>4279</v>
      </c>
      <c r="I1008">
        <v>0</v>
      </c>
    </row>
    <row r="1009" spans="1:9" x14ac:dyDescent="0.3">
      <c r="A1009" t="s">
        <v>4321</v>
      </c>
      <c r="B1009" t="s">
        <v>4322</v>
      </c>
      <c r="C1009" t="s">
        <v>4253</v>
      </c>
      <c r="D1009" t="s">
        <v>2707</v>
      </c>
      <c r="E1009" t="s">
        <v>1236</v>
      </c>
      <c r="F1009" t="s">
        <v>4275</v>
      </c>
      <c r="G1009" t="s">
        <v>6294</v>
      </c>
      <c r="H1009">
        <v>0</v>
      </c>
      <c r="I1009">
        <v>0</v>
      </c>
    </row>
    <row r="1010" spans="1:9" x14ac:dyDescent="0.3">
      <c r="A1010" t="s">
        <v>4323</v>
      </c>
      <c r="B1010" t="s">
        <v>4324</v>
      </c>
      <c r="C1010" t="s">
        <v>4253</v>
      </c>
      <c r="D1010" t="s">
        <v>2707</v>
      </c>
      <c r="E1010" t="s">
        <v>1236</v>
      </c>
      <c r="F1010" t="s">
        <v>4283</v>
      </c>
      <c r="G1010" t="s">
        <v>6296</v>
      </c>
      <c r="H1010" t="s">
        <v>4279</v>
      </c>
      <c r="I1010">
        <v>0</v>
      </c>
    </row>
    <row r="1011" spans="1:9" x14ac:dyDescent="0.3">
      <c r="A1011" t="s">
        <v>4325</v>
      </c>
      <c r="B1011" t="s">
        <v>4326</v>
      </c>
      <c r="C1011" t="s">
        <v>1219</v>
      </c>
      <c r="D1011" t="s">
        <v>1235</v>
      </c>
      <c r="E1011" t="s">
        <v>1236</v>
      </c>
      <c r="F1011" t="s">
        <v>4327</v>
      </c>
      <c r="G1011" t="s">
        <v>6304</v>
      </c>
      <c r="H1011">
        <v>0</v>
      </c>
      <c r="I1011">
        <v>0</v>
      </c>
    </row>
    <row r="1012" spans="1:9" x14ac:dyDescent="0.3">
      <c r="A1012" t="s">
        <v>4328</v>
      </c>
      <c r="B1012" t="s">
        <v>4329</v>
      </c>
      <c r="C1012" t="s">
        <v>1219</v>
      </c>
      <c r="D1012" t="s">
        <v>1235</v>
      </c>
      <c r="E1012" t="s">
        <v>1236</v>
      </c>
      <c r="F1012" t="s">
        <v>4330</v>
      </c>
      <c r="G1012" t="s">
        <v>6305</v>
      </c>
      <c r="H1012">
        <v>0</v>
      </c>
      <c r="I1012">
        <v>0</v>
      </c>
    </row>
    <row r="1013" spans="1:9" x14ac:dyDescent="0.3">
      <c r="A1013" t="s">
        <v>4331</v>
      </c>
      <c r="B1013" t="s">
        <v>4332</v>
      </c>
      <c r="C1013" t="s">
        <v>1219</v>
      </c>
      <c r="D1013" t="s">
        <v>1235</v>
      </c>
      <c r="E1013" t="s">
        <v>1236</v>
      </c>
      <c r="F1013" t="s">
        <v>4333</v>
      </c>
      <c r="G1013" t="s">
        <v>6306</v>
      </c>
      <c r="H1013">
        <v>0</v>
      </c>
      <c r="I1013">
        <v>0</v>
      </c>
    </row>
    <row r="1014" spans="1:9" x14ac:dyDescent="0.3">
      <c r="A1014" t="s">
        <v>4334</v>
      </c>
      <c r="B1014" t="s">
        <v>4335</v>
      </c>
      <c r="C1014" t="s">
        <v>1219</v>
      </c>
      <c r="D1014" t="s">
        <v>1235</v>
      </c>
      <c r="E1014" t="s">
        <v>1236</v>
      </c>
      <c r="F1014" t="s">
        <v>4336</v>
      </c>
      <c r="G1014" t="s">
        <v>6307</v>
      </c>
      <c r="H1014" t="s">
        <v>4337</v>
      </c>
      <c r="I1014">
        <v>0</v>
      </c>
    </row>
    <row r="1015" spans="1:9" x14ac:dyDescent="0.3">
      <c r="A1015" t="s">
        <v>4338</v>
      </c>
      <c r="B1015" t="s">
        <v>4339</v>
      </c>
      <c r="C1015" t="s">
        <v>1219</v>
      </c>
      <c r="D1015" t="s">
        <v>1235</v>
      </c>
      <c r="E1015" t="s">
        <v>1236</v>
      </c>
      <c r="F1015" t="s">
        <v>4340</v>
      </c>
      <c r="G1015" t="s">
        <v>6308</v>
      </c>
      <c r="H1015" t="s">
        <v>4337</v>
      </c>
      <c r="I1015">
        <v>0</v>
      </c>
    </row>
    <row r="1016" spans="1:9" x14ac:dyDescent="0.3">
      <c r="A1016" t="s">
        <v>4341</v>
      </c>
      <c r="B1016" t="s">
        <v>4342</v>
      </c>
      <c r="C1016" t="s">
        <v>1219</v>
      </c>
      <c r="D1016" t="s">
        <v>1235</v>
      </c>
      <c r="E1016" t="s">
        <v>1236</v>
      </c>
      <c r="F1016" t="s">
        <v>4343</v>
      </c>
      <c r="G1016" t="s">
        <v>6309</v>
      </c>
      <c r="H1016" t="s">
        <v>4337</v>
      </c>
      <c r="I1016">
        <v>0</v>
      </c>
    </row>
    <row r="1017" spans="1:9" x14ac:dyDescent="0.3">
      <c r="A1017" t="s">
        <v>4344</v>
      </c>
      <c r="B1017" t="s">
        <v>4345</v>
      </c>
      <c r="C1017" t="s">
        <v>1219</v>
      </c>
      <c r="D1017" t="s">
        <v>1235</v>
      </c>
      <c r="E1017" t="s">
        <v>1236</v>
      </c>
      <c r="F1017" t="s">
        <v>4346</v>
      </c>
      <c r="G1017" t="s">
        <v>6310</v>
      </c>
      <c r="H1017" t="s">
        <v>4347</v>
      </c>
      <c r="I1017">
        <v>0</v>
      </c>
    </row>
    <row r="1018" spans="1:9" x14ac:dyDescent="0.3">
      <c r="A1018" t="s">
        <v>4348</v>
      </c>
      <c r="B1018" t="s">
        <v>4349</v>
      </c>
      <c r="C1018" t="s">
        <v>1219</v>
      </c>
      <c r="D1018" t="s">
        <v>1235</v>
      </c>
      <c r="E1018" t="s">
        <v>1236</v>
      </c>
      <c r="F1018" t="s">
        <v>4350</v>
      </c>
      <c r="G1018" t="s">
        <v>6311</v>
      </c>
      <c r="H1018" t="s">
        <v>4351</v>
      </c>
      <c r="I1018">
        <v>0</v>
      </c>
    </row>
    <row r="1019" spans="1:9" x14ac:dyDescent="0.3">
      <c r="A1019" t="s">
        <v>4352</v>
      </c>
      <c r="B1019" t="s">
        <v>4353</v>
      </c>
      <c r="C1019" t="s">
        <v>1219</v>
      </c>
      <c r="D1019" t="s">
        <v>1235</v>
      </c>
      <c r="E1019" t="s">
        <v>1236</v>
      </c>
      <c r="F1019" t="s">
        <v>4354</v>
      </c>
      <c r="G1019" t="s">
        <v>6312</v>
      </c>
      <c r="H1019" t="s">
        <v>4351</v>
      </c>
      <c r="I1019">
        <v>0</v>
      </c>
    </row>
    <row r="1020" spans="1:9" x14ac:dyDescent="0.3">
      <c r="A1020" t="s">
        <v>4355</v>
      </c>
      <c r="B1020" t="s">
        <v>4356</v>
      </c>
      <c r="C1020" t="s">
        <v>1219</v>
      </c>
      <c r="D1020" t="s">
        <v>1235</v>
      </c>
      <c r="E1020" t="s">
        <v>1236</v>
      </c>
      <c r="F1020" t="s">
        <v>4357</v>
      </c>
      <c r="G1020" t="s">
        <v>6313</v>
      </c>
      <c r="H1020" t="s">
        <v>4351</v>
      </c>
      <c r="I1020">
        <v>0</v>
      </c>
    </row>
    <row r="1021" spans="1:9" x14ac:dyDescent="0.3">
      <c r="A1021" t="s">
        <v>4358</v>
      </c>
      <c r="B1021" t="s">
        <v>4359</v>
      </c>
      <c r="C1021" t="s">
        <v>1219</v>
      </c>
      <c r="D1021" t="s">
        <v>1235</v>
      </c>
      <c r="E1021" t="s">
        <v>1236</v>
      </c>
      <c r="F1021" t="s">
        <v>4360</v>
      </c>
      <c r="G1021" t="s">
        <v>6314</v>
      </c>
      <c r="H1021" t="s">
        <v>4337</v>
      </c>
      <c r="I1021">
        <v>0</v>
      </c>
    </row>
    <row r="1022" spans="1:9" x14ac:dyDescent="0.3">
      <c r="A1022" t="s">
        <v>4361</v>
      </c>
      <c r="B1022" t="s">
        <v>4362</v>
      </c>
      <c r="C1022" t="s">
        <v>1219</v>
      </c>
      <c r="D1022" t="s">
        <v>1235</v>
      </c>
      <c r="E1022" t="s">
        <v>1236</v>
      </c>
      <c r="F1022" t="s">
        <v>4363</v>
      </c>
      <c r="G1022" t="s">
        <v>6315</v>
      </c>
      <c r="H1022" t="s">
        <v>4337</v>
      </c>
      <c r="I1022">
        <v>0</v>
      </c>
    </row>
    <row r="1023" spans="1:9" x14ac:dyDescent="0.3">
      <c r="A1023" t="s">
        <v>4364</v>
      </c>
      <c r="B1023" t="s">
        <v>4365</v>
      </c>
      <c r="C1023" t="s">
        <v>1219</v>
      </c>
      <c r="D1023" t="s">
        <v>1235</v>
      </c>
      <c r="E1023" t="s">
        <v>1236</v>
      </c>
      <c r="F1023" t="s">
        <v>4366</v>
      </c>
      <c r="G1023" t="s">
        <v>6316</v>
      </c>
      <c r="H1023" t="s">
        <v>4347</v>
      </c>
      <c r="I1023">
        <v>0</v>
      </c>
    </row>
    <row r="1024" spans="1:9" x14ac:dyDescent="0.3">
      <c r="A1024" t="s">
        <v>4367</v>
      </c>
      <c r="B1024" t="s">
        <v>4368</v>
      </c>
      <c r="C1024" t="s">
        <v>1219</v>
      </c>
      <c r="D1024" t="s">
        <v>1235</v>
      </c>
      <c r="E1024" t="s">
        <v>1236</v>
      </c>
      <c r="F1024" t="s">
        <v>4369</v>
      </c>
      <c r="G1024" t="s">
        <v>6317</v>
      </c>
      <c r="H1024" t="s">
        <v>4351</v>
      </c>
      <c r="I1024">
        <v>0</v>
      </c>
    </row>
    <row r="1025" spans="1:9" x14ac:dyDescent="0.3">
      <c r="A1025" t="s">
        <v>4370</v>
      </c>
      <c r="B1025" t="s">
        <v>4371</v>
      </c>
      <c r="C1025" t="s">
        <v>1219</v>
      </c>
      <c r="D1025" t="s">
        <v>1235</v>
      </c>
      <c r="E1025" t="s">
        <v>1236</v>
      </c>
      <c r="F1025" t="s">
        <v>4372</v>
      </c>
      <c r="G1025" t="s">
        <v>6318</v>
      </c>
      <c r="H1025" t="s">
        <v>4351</v>
      </c>
      <c r="I1025">
        <v>0</v>
      </c>
    </row>
    <row r="1026" spans="1:9" x14ac:dyDescent="0.3">
      <c r="A1026" t="s">
        <v>4373</v>
      </c>
      <c r="B1026" t="s">
        <v>4374</v>
      </c>
      <c r="C1026" t="s">
        <v>1219</v>
      </c>
      <c r="D1026" t="s">
        <v>1235</v>
      </c>
      <c r="E1026" t="s">
        <v>1236</v>
      </c>
      <c r="F1026" t="s">
        <v>4375</v>
      </c>
      <c r="G1026" t="s">
        <v>6319</v>
      </c>
      <c r="H1026" t="s">
        <v>4351</v>
      </c>
      <c r="I1026">
        <v>0</v>
      </c>
    </row>
    <row r="1027" spans="1:9" x14ac:dyDescent="0.3">
      <c r="A1027" t="s">
        <v>4376</v>
      </c>
      <c r="B1027" t="s">
        <v>4377</v>
      </c>
      <c r="C1027" t="s">
        <v>1219</v>
      </c>
      <c r="D1027" t="s">
        <v>1235</v>
      </c>
      <c r="E1027" t="s">
        <v>1236</v>
      </c>
      <c r="F1027" t="s">
        <v>4378</v>
      </c>
      <c r="G1027" t="s">
        <v>6320</v>
      </c>
      <c r="H1027" t="s">
        <v>4379</v>
      </c>
      <c r="I1027">
        <v>0</v>
      </c>
    </row>
    <row r="1028" spans="1:9" x14ac:dyDescent="0.3">
      <c r="A1028" t="s">
        <v>4380</v>
      </c>
      <c r="B1028" t="s">
        <v>4381</v>
      </c>
      <c r="C1028" t="s">
        <v>1219</v>
      </c>
      <c r="D1028" t="s">
        <v>1235</v>
      </c>
      <c r="E1028" t="s">
        <v>1236</v>
      </c>
      <c r="F1028" t="s">
        <v>4382</v>
      </c>
      <c r="G1028" t="s">
        <v>6321</v>
      </c>
      <c r="H1028" t="s">
        <v>4379</v>
      </c>
      <c r="I1028">
        <v>0</v>
      </c>
    </row>
    <row r="1029" spans="1:9" x14ac:dyDescent="0.3">
      <c r="A1029" t="s">
        <v>4383</v>
      </c>
      <c r="B1029" t="s">
        <v>4384</v>
      </c>
      <c r="C1029" t="s">
        <v>1219</v>
      </c>
      <c r="D1029" t="s">
        <v>1235</v>
      </c>
      <c r="E1029" t="s">
        <v>1236</v>
      </c>
      <c r="F1029" t="s">
        <v>4385</v>
      </c>
      <c r="G1029" t="s">
        <v>6322</v>
      </c>
      <c r="H1029" t="s">
        <v>4347</v>
      </c>
      <c r="I1029">
        <v>0</v>
      </c>
    </row>
    <row r="1030" spans="1:9" x14ac:dyDescent="0.3">
      <c r="A1030" t="s">
        <v>4386</v>
      </c>
      <c r="B1030" t="s">
        <v>4312</v>
      </c>
      <c r="C1030" t="s">
        <v>1219</v>
      </c>
      <c r="D1030" t="s">
        <v>1235</v>
      </c>
      <c r="E1030" t="s">
        <v>1236</v>
      </c>
      <c r="F1030" t="s">
        <v>4387</v>
      </c>
      <c r="G1030" t="s">
        <v>6302</v>
      </c>
      <c r="H1030" t="s">
        <v>4379</v>
      </c>
      <c r="I1030">
        <v>0</v>
      </c>
    </row>
    <row r="1031" spans="1:9" x14ac:dyDescent="0.3">
      <c r="A1031" t="s">
        <v>4388</v>
      </c>
      <c r="B1031" t="s">
        <v>4315</v>
      </c>
      <c r="C1031" t="s">
        <v>1219</v>
      </c>
      <c r="D1031" t="s">
        <v>1235</v>
      </c>
      <c r="E1031" t="s">
        <v>1236</v>
      </c>
      <c r="F1031" t="s">
        <v>4389</v>
      </c>
      <c r="G1031" t="s">
        <v>6303</v>
      </c>
      <c r="H1031" t="s">
        <v>4379</v>
      </c>
      <c r="I1031">
        <v>0</v>
      </c>
    </row>
    <row r="1032" spans="1:9" x14ac:dyDescent="0.3">
      <c r="A1032" t="s">
        <v>4390</v>
      </c>
      <c r="B1032" t="s">
        <v>4391</v>
      </c>
      <c r="C1032" t="s">
        <v>1219</v>
      </c>
      <c r="D1032" t="s">
        <v>1235</v>
      </c>
      <c r="E1032" t="s">
        <v>1236</v>
      </c>
      <c r="F1032" t="s">
        <v>4392</v>
      </c>
      <c r="G1032" t="s">
        <v>6323</v>
      </c>
      <c r="H1032" t="s">
        <v>4351</v>
      </c>
      <c r="I1032">
        <v>0</v>
      </c>
    </row>
    <row r="1033" spans="1:9" x14ac:dyDescent="0.3">
      <c r="A1033" t="s">
        <v>4393</v>
      </c>
      <c r="B1033" t="s">
        <v>4394</v>
      </c>
      <c r="C1033" t="s">
        <v>1219</v>
      </c>
      <c r="D1033" t="s">
        <v>1235</v>
      </c>
      <c r="E1033" t="s">
        <v>1236</v>
      </c>
      <c r="F1033" t="s">
        <v>4395</v>
      </c>
      <c r="G1033" t="s">
        <v>6324</v>
      </c>
      <c r="H1033" t="s">
        <v>4351</v>
      </c>
      <c r="I1033">
        <v>0</v>
      </c>
    </row>
    <row r="1034" spans="1:9" x14ac:dyDescent="0.3">
      <c r="A1034" t="s">
        <v>4396</v>
      </c>
      <c r="B1034" t="s">
        <v>4397</v>
      </c>
      <c r="C1034" t="s">
        <v>1219</v>
      </c>
      <c r="D1034" t="s">
        <v>1235</v>
      </c>
      <c r="E1034" t="s">
        <v>1236</v>
      </c>
      <c r="F1034" t="s">
        <v>4398</v>
      </c>
      <c r="G1034" t="s">
        <v>6325</v>
      </c>
      <c r="H1034" t="s">
        <v>4347</v>
      </c>
      <c r="I1034">
        <v>0</v>
      </c>
    </row>
    <row r="1035" spans="1:9" x14ac:dyDescent="0.3">
      <c r="A1035" t="s">
        <v>4399</v>
      </c>
      <c r="B1035" t="s">
        <v>4400</v>
      </c>
      <c r="C1035" t="s">
        <v>1219</v>
      </c>
      <c r="D1035" t="s">
        <v>1235</v>
      </c>
      <c r="E1035" t="s">
        <v>1236</v>
      </c>
      <c r="F1035" t="s">
        <v>4401</v>
      </c>
      <c r="G1035" t="s">
        <v>6326</v>
      </c>
      <c r="H1035" t="s">
        <v>4337</v>
      </c>
      <c r="I1035">
        <v>0</v>
      </c>
    </row>
    <row r="1036" spans="1:9" x14ac:dyDescent="0.3">
      <c r="A1036" t="s">
        <v>4402</v>
      </c>
      <c r="B1036" t="s">
        <v>4403</v>
      </c>
      <c r="C1036" t="s">
        <v>1219</v>
      </c>
      <c r="D1036" t="s">
        <v>1235</v>
      </c>
      <c r="E1036" t="s">
        <v>1236</v>
      </c>
      <c r="F1036" t="s">
        <v>4404</v>
      </c>
      <c r="G1036" t="s">
        <v>6327</v>
      </c>
      <c r="H1036" t="s">
        <v>4337</v>
      </c>
      <c r="I1036">
        <v>0</v>
      </c>
    </row>
    <row r="1037" spans="1:9" x14ac:dyDescent="0.3">
      <c r="A1037" t="s">
        <v>4405</v>
      </c>
      <c r="B1037" t="s">
        <v>4406</v>
      </c>
      <c r="C1037" t="s">
        <v>1219</v>
      </c>
      <c r="D1037" t="s">
        <v>1235</v>
      </c>
      <c r="E1037" t="s">
        <v>1236</v>
      </c>
      <c r="F1037" t="s">
        <v>4407</v>
      </c>
      <c r="G1037" t="s">
        <v>6328</v>
      </c>
      <c r="H1037" t="s">
        <v>4337</v>
      </c>
      <c r="I1037">
        <v>0</v>
      </c>
    </row>
    <row r="1038" spans="1:9" x14ac:dyDescent="0.3">
      <c r="A1038" t="s">
        <v>4408</v>
      </c>
      <c r="B1038" t="s">
        <v>4409</v>
      </c>
      <c r="C1038" t="s">
        <v>4410</v>
      </c>
      <c r="D1038" t="s">
        <v>2908</v>
      </c>
      <c r="E1038" t="s">
        <v>1236</v>
      </c>
      <c r="F1038" t="s">
        <v>4411</v>
      </c>
      <c r="G1038" t="s">
        <v>6329</v>
      </c>
      <c r="H1038" t="s">
        <v>90</v>
      </c>
      <c r="I1038">
        <v>0</v>
      </c>
    </row>
    <row r="1039" spans="1:9" x14ac:dyDescent="0.3">
      <c r="A1039" t="s">
        <v>4412</v>
      </c>
      <c r="B1039" t="s">
        <v>4413</v>
      </c>
      <c r="C1039" t="s">
        <v>4410</v>
      </c>
      <c r="D1039" t="s">
        <v>2908</v>
      </c>
      <c r="E1039" t="s">
        <v>1236</v>
      </c>
      <c r="F1039" t="s">
        <v>4414</v>
      </c>
      <c r="G1039" t="s">
        <v>6330</v>
      </c>
      <c r="H1039">
        <v>0</v>
      </c>
      <c r="I1039">
        <v>0</v>
      </c>
    </row>
    <row r="1040" spans="1:9" x14ac:dyDescent="0.3">
      <c r="A1040" t="s">
        <v>4415</v>
      </c>
      <c r="B1040" t="s">
        <v>4416</v>
      </c>
      <c r="C1040" t="s">
        <v>4410</v>
      </c>
      <c r="D1040" t="s">
        <v>2908</v>
      </c>
      <c r="E1040" t="s">
        <v>1236</v>
      </c>
      <c r="F1040" t="s">
        <v>4417</v>
      </c>
      <c r="G1040" t="s">
        <v>6331</v>
      </c>
      <c r="H1040" t="s">
        <v>90</v>
      </c>
      <c r="I1040">
        <v>0</v>
      </c>
    </row>
    <row r="1041" spans="1:9" x14ac:dyDescent="0.3">
      <c r="A1041" t="s">
        <v>4418</v>
      </c>
      <c r="B1041" t="s">
        <v>4419</v>
      </c>
      <c r="C1041" t="s">
        <v>4410</v>
      </c>
      <c r="D1041" t="s">
        <v>2908</v>
      </c>
      <c r="E1041" t="s">
        <v>1236</v>
      </c>
      <c r="F1041" t="s">
        <v>4420</v>
      </c>
      <c r="G1041" t="s">
        <v>6332</v>
      </c>
      <c r="H1041" t="s">
        <v>90</v>
      </c>
      <c r="I1041">
        <v>0</v>
      </c>
    </row>
    <row r="1042" spans="1:9" x14ac:dyDescent="0.3">
      <c r="A1042" t="s">
        <v>4421</v>
      </c>
      <c r="B1042" t="s">
        <v>4422</v>
      </c>
      <c r="C1042" t="s">
        <v>4410</v>
      </c>
      <c r="D1042" t="s">
        <v>2908</v>
      </c>
      <c r="E1042" t="s">
        <v>1236</v>
      </c>
      <c r="F1042" t="s">
        <v>4423</v>
      </c>
      <c r="G1042" t="s">
        <v>6333</v>
      </c>
      <c r="H1042">
        <v>0</v>
      </c>
      <c r="I1042">
        <v>0</v>
      </c>
    </row>
    <row r="1043" spans="1:9" x14ac:dyDescent="0.3">
      <c r="A1043" t="s">
        <v>4424</v>
      </c>
      <c r="B1043" t="s">
        <v>4425</v>
      </c>
      <c r="C1043" t="s">
        <v>4410</v>
      </c>
      <c r="D1043" t="s">
        <v>2908</v>
      </c>
      <c r="E1043" t="s">
        <v>1236</v>
      </c>
      <c r="F1043" t="s">
        <v>4426</v>
      </c>
      <c r="G1043" t="s">
        <v>6334</v>
      </c>
      <c r="H1043">
        <v>0</v>
      </c>
      <c r="I1043">
        <v>0</v>
      </c>
    </row>
    <row r="1044" spans="1:9" x14ac:dyDescent="0.3">
      <c r="A1044" t="s">
        <v>4427</v>
      </c>
      <c r="B1044" t="s">
        <v>4428</v>
      </c>
      <c r="C1044" t="s">
        <v>4410</v>
      </c>
      <c r="D1044" t="s">
        <v>2908</v>
      </c>
      <c r="E1044" t="s">
        <v>1236</v>
      </c>
      <c r="F1044" t="s">
        <v>4429</v>
      </c>
      <c r="G1044" t="s">
        <v>6335</v>
      </c>
      <c r="H1044">
        <v>0</v>
      </c>
      <c r="I1044">
        <v>0</v>
      </c>
    </row>
    <row r="1045" spans="1:9" x14ac:dyDescent="0.3">
      <c r="A1045" t="s">
        <v>4430</v>
      </c>
      <c r="B1045" t="s">
        <v>4431</v>
      </c>
      <c r="C1045" t="s">
        <v>4410</v>
      </c>
      <c r="D1045" t="s">
        <v>2908</v>
      </c>
      <c r="E1045" t="s">
        <v>1236</v>
      </c>
      <c r="F1045" t="s">
        <v>4432</v>
      </c>
      <c r="G1045" t="s">
        <v>6336</v>
      </c>
      <c r="H1045">
        <v>0</v>
      </c>
      <c r="I1045">
        <v>0</v>
      </c>
    </row>
    <row r="1046" spans="1:9" x14ac:dyDescent="0.3">
      <c r="A1046" t="s">
        <v>4433</v>
      </c>
      <c r="B1046" t="s">
        <v>4434</v>
      </c>
      <c r="C1046" t="s">
        <v>4410</v>
      </c>
      <c r="D1046" t="s">
        <v>2908</v>
      </c>
      <c r="E1046" t="s">
        <v>1236</v>
      </c>
      <c r="F1046" t="s">
        <v>4435</v>
      </c>
      <c r="G1046" t="s">
        <v>6337</v>
      </c>
      <c r="H1046">
        <v>0</v>
      </c>
      <c r="I1046">
        <v>0</v>
      </c>
    </row>
    <row r="1047" spans="1:9" x14ac:dyDescent="0.3">
      <c r="A1047" t="s">
        <v>4436</v>
      </c>
      <c r="B1047" t="s">
        <v>4437</v>
      </c>
      <c r="C1047" t="s">
        <v>4410</v>
      </c>
      <c r="D1047" t="s">
        <v>2908</v>
      </c>
      <c r="E1047" t="s">
        <v>1236</v>
      </c>
      <c r="F1047" t="s">
        <v>4438</v>
      </c>
      <c r="G1047" t="s">
        <v>6338</v>
      </c>
      <c r="H1047" t="s">
        <v>90</v>
      </c>
      <c r="I1047">
        <v>0</v>
      </c>
    </row>
    <row r="1048" spans="1:9" x14ac:dyDescent="0.3">
      <c r="A1048" t="s">
        <v>4439</v>
      </c>
      <c r="B1048" t="s">
        <v>4440</v>
      </c>
      <c r="C1048" t="s">
        <v>4410</v>
      </c>
      <c r="D1048" t="s">
        <v>2908</v>
      </c>
      <c r="E1048" t="s">
        <v>1236</v>
      </c>
      <c r="F1048" t="s">
        <v>4441</v>
      </c>
      <c r="G1048" t="s">
        <v>6339</v>
      </c>
      <c r="H1048" t="s">
        <v>90</v>
      </c>
      <c r="I1048">
        <v>0</v>
      </c>
    </row>
    <row r="1049" spans="1:9" x14ac:dyDescent="0.3">
      <c r="A1049" t="s">
        <v>4442</v>
      </c>
      <c r="B1049" t="s">
        <v>4443</v>
      </c>
      <c r="C1049" t="s">
        <v>4410</v>
      </c>
      <c r="D1049" t="s">
        <v>2908</v>
      </c>
      <c r="E1049" t="s">
        <v>1236</v>
      </c>
      <c r="F1049" t="s">
        <v>4444</v>
      </c>
      <c r="G1049" t="s">
        <v>6340</v>
      </c>
      <c r="H1049">
        <v>0</v>
      </c>
      <c r="I1049">
        <v>0</v>
      </c>
    </row>
    <row r="1050" spans="1:9" x14ac:dyDescent="0.3">
      <c r="A1050" t="s">
        <v>4445</v>
      </c>
      <c r="B1050" t="s">
        <v>4446</v>
      </c>
      <c r="C1050" t="s">
        <v>4410</v>
      </c>
      <c r="D1050" t="s">
        <v>2908</v>
      </c>
      <c r="E1050" t="s">
        <v>1236</v>
      </c>
      <c r="F1050" t="s">
        <v>4447</v>
      </c>
      <c r="G1050" t="s">
        <v>6341</v>
      </c>
      <c r="H1050" t="s">
        <v>121</v>
      </c>
      <c r="I1050">
        <v>0</v>
      </c>
    </row>
    <row r="1051" spans="1:9" x14ac:dyDescent="0.3">
      <c r="A1051" t="s">
        <v>4448</v>
      </c>
      <c r="B1051" t="s">
        <v>4449</v>
      </c>
      <c r="C1051" t="s">
        <v>4410</v>
      </c>
      <c r="D1051" t="s">
        <v>2908</v>
      </c>
      <c r="E1051" t="s">
        <v>1236</v>
      </c>
      <c r="F1051" t="s">
        <v>4450</v>
      </c>
      <c r="G1051" t="s">
        <v>6342</v>
      </c>
      <c r="H1051" t="s">
        <v>121</v>
      </c>
      <c r="I1051">
        <v>0</v>
      </c>
    </row>
    <row r="1052" spans="1:9" x14ac:dyDescent="0.3">
      <c r="A1052" t="s">
        <v>4451</v>
      </c>
      <c r="B1052" t="s">
        <v>4452</v>
      </c>
      <c r="C1052" t="s">
        <v>4410</v>
      </c>
      <c r="D1052" t="s">
        <v>2908</v>
      </c>
      <c r="E1052" t="s">
        <v>1236</v>
      </c>
      <c r="F1052" t="s">
        <v>4453</v>
      </c>
      <c r="G1052" t="s">
        <v>6343</v>
      </c>
      <c r="H1052" t="s">
        <v>90</v>
      </c>
      <c r="I1052">
        <v>0</v>
      </c>
    </row>
    <row r="1053" spans="1:9" x14ac:dyDescent="0.3">
      <c r="A1053" t="s">
        <v>4454</v>
      </c>
      <c r="B1053" t="s">
        <v>4455</v>
      </c>
      <c r="C1053" t="s">
        <v>4410</v>
      </c>
      <c r="D1053" t="s">
        <v>2908</v>
      </c>
      <c r="E1053" t="s">
        <v>1236</v>
      </c>
      <c r="F1053" t="s">
        <v>4456</v>
      </c>
      <c r="G1053" t="s">
        <v>6344</v>
      </c>
      <c r="H1053">
        <v>0</v>
      </c>
      <c r="I1053">
        <v>0</v>
      </c>
    </row>
    <row r="1054" spans="1:9" x14ac:dyDescent="0.3">
      <c r="A1054" t="s">
        <v>4457</v>
      </c>
      <c r="B1054" t="s">
        <v>4458</v>
      </c>
      <c r="C1054" t="s">
        <v>4410</v>
      </c>
      <c r="D1054" t="s">
        <v>2908</v>
      </c>
      <c r="E1054" t="s">
        <v>1236</v>
      </c>
      <c r="F1054" t="s">
        <v>4459</v>
      </c>
      <c r="G1054" t="s">
        <v>6345</v>
      </c>
      <c r="H1054">
        <v>0</v>
      </c>
      <c r="I1054">
        <v>0</v>
      </c>
    </row>
    <row r="1055" spans="1:9" x14ac:dyDescent="0.3">
      <c r="A1055" t="s">
        <v>4460</v>
      </c>
      <c r="B1055" t="s">
        <v>4461</v>
      </c>
      <c r="C1055" t="s">
        <v>4410</v>
      </c>
      <c r="D1055" t="s">
        <v>2908</v>
      </c>
      <c r="E1055" t="s">
        <v>1236</v>
      </c>
      <c r="F1055" t="s">
        <v>4462</v>
      </c>
      <c r="G1055" t="s">
        <v>6346</v>
      </c>
      <c r="H1055" t="s">
        <v>121</v>
      </c>
      <c r="I1055">
        <v>0</v>
      </c>
    </row>
    <row r="1056" spans="1:9" x14ac:dyDescent="0.3">
      <c r="A1056" t="s">
        <v>4463</v>
      </c>
      <c r="B1056" t="s">
        <v>4464</v>
      </c>
      <c r="C1056" t="s">
        <v>4410</v>
      </c>
      <c r="D1056" t="s">
        <v>2908</v>
      </c>
      <c r="E1056" t="s">
        <v>1236</v>
      </c>
      <c r="F1056" t="s">
        <v>4465</v>
      </c>
      <c r="G1056" t="s">
        <v>6347</v>
      </c>
      <c r="H1056" t="s">
        <v>121</v>
      </c>
      <c r="I1056">
        <v>0</v>
      </c>
    </row>
    <row r="1057" spans="1:9" x14ac:dyDescent="0.3">
      <c r="A1057" t="s">
        <v>4466</v>
      </c>
      <c r="B1057" t="s">
        <v>4467</v>
      </c>
      <c r="C1057" t="s">
        <v>4410</v>
      </c>
      <c r="D1057" t="s">
        <v>2908</v>
      </c>
      <c r="E1057" t="s">
        <v>1236</v>
      </c>
      <c r="F1057" t="s">
        <v>4468</v>
      </c>
      <c r="G1057" t="s">
        <v>6348</v>
      </c>
      <c r="H1057" t="s">
        <v>121</v>
      </c>
      <c r="I1057">
        <v>0</v>
      </c>
    </row>
    <row r="1058" spans="1:9" x14ac:dyDescent="0.3">
      <c r="A1058" t="s">
        <v>4469</v>
      </c>
      <c r="B1058" t="s">
        <v>2870</v>
      </c>
      <c r="C1058" t="s">
        <v>4410</v>
      </c>
      <c r="D1058" t="s">
        <v>2908</v>
      </c>
      <c r="E1058" t="s">
        <v>1236</v>
      </c>
      <c r="F1058" t="s">
        <v>4470</v>
      </c>
      <c r="G1058" t="s">
        <v>5889</v>
      </c>
      <c r="H1058">
        <v>0</v>
      </c>
      <c r="I1058">
        <v>0</v>
      </c>
    </row>
    <row r="1059" spans="1:9" x14ac:dyDescent="0.3">
      <c r="A1059" t="s">
        <v>4471</v>
      </c>
      <c r="B1059" t="s">
        <v>4472</v>
      </c>
      <c r="C1059" t="s">
        <v>4410</v>
      </c>
      <c r="D1059" t="s">
        <v>2908</v>
      </c>
      <c r="E1059" t="s">
        <v>1236</v>
      </c>
      <c r="F1059" t="s">
        <v>4473</v>
      </c>
      <c r="G1059" t="s">
        <v>6349</v>
      </c>
      <c r="H1059">
        <v>0</v>
      </c>
      <c r="I1059">
        <v>0</v>
      </c>
    </row>
    <row r="1060" spans="1:9" x14ac:dyDescent="0.3">
      <c r="A1060" t="s">
        <v>4474</v>
      </c>
      <c r="B1060" t="s">
        <v>4475</v>
      </c>
      <c r="C1060" t="s">
        <v>4410</v>
      </c>
      <c r="D1060" t="s">
        <v>2908</v>
      </c>
      <c r="E1060" t="s">
        <v>1236</v>
      </c>
      <c r="F1060" t="s">
        <v>4476</v>
      </c>
      <c r="G1060" t="s">
        <v>6350</v>
      </c>
      <c r="H1060">
        <v>0</v>
      </c>
      <c r="I1060">
        <v>0</v>
      </c>
    </row>
    <row r="1061" spans="1:9" x14ac:dyDescent="0.3">
      <c r="A1061" t="s">
        <v>4477</v>
      </c>
      <c r="B1061" t="s">
        <v>4478</v>
      </c>
      <c r="C1061" t="s">
        <v>4410</v>
      </c>
      <c r="D1061" t="s">
        <v>2908</v>
      </c>
      <c r="E1061" t="s">
        <v>1236</v>
      </c>
      <c r="F1061" t="s">
        <v>4479</v>
      </c>
      <c r="G1061" t="s">
        <v>6351</v>
      </c>
      <c r="H1061" t="s">
        <v>121</v>
      </c>
      <c r="I1061">
        <v>0</v>
      </c>
    </row>
    <row r="1062" spans="1:9" x14ac:dyDescent="0.3">
      <c r="A1062" t="s">
        <v>4480</v>
      </c>
      <c r="B1062" t="s">
        <v>4481</v>
      </c>
      <c r="C1062" t="s">
        <v>4410</v>
      </c>
      <c r="D1062" t="s">
        <v>2908</v>
      </c>
      <c r="E1062" t="s">
        <v>1236</v>
      </c>
      <c r="F1062" t="s">
        <v>4482</v>
      </c>
      <c r="G1062" t="s">
        <v>6352</v>
      </c>
      <c r="H1062" t="s">
        <v>90</v>
      </c>
      <c r="I1062">
        <v>0</v>
      </c>
    </row>
    <row r="1063" spans="1:9" x14ac:dyDescent="0.3">
      <c r="A1063" t="s">
        <v>4483</v>
      </c>
      <c r="B1063" t="s">
        <v>4484</v>
      </c>
      <c r="C1063" t="s">
        <v>4410</v>
      </c>
      <c r="D1063" t="s">
        <v>2908</v>
      </c>
      <c r="E1063" t="s">
        <v>1236</v>
      </c>
      <c r="F1063" t="s">
        <v>4485</v>
      </c>
      <c r="G1063" t="s">
        <v>6353</v>
      </c>
      <c r="H1063" t="s">
        <v>90</v>
      </c>
      <c r="I1063">
        <v>0</v>
      </c>
    </row>
    <row r="1064" spans="1:9" x14ac:dyDescent="0.3">
      <c r="A1064" t="s">
        <v>4486</v>
      </c>
      <c r="B1064" t="s">
        <v>4487</v>
      </c>
      <c r="C1064" t="s">
        <v>4410</v>
      </c>
      <c r="D1064" t="s">
        <v>2908</v>
      </c>
      <c r="E1064" t="s">
        <v>1236</v>
      </c>
      <c r="F1064" t="s">
        <v>4488</v>
      </c>
      <c r="G1064" t="s">
        <v>6354</v>
      </c>
      <c r="H1064" t="s">
        <v>121</v>
      </c>
      <c r="I1064">
        <v>0</v>
      </c>
    </row>
    <row r="1065" spans="1:9" x14ac:dyDescent="0.3">
      <c r="A1065" t="s">
        <v>4489</v>
      </c>
      <c r="B1065" t="s">
        <v>4490</v>
      </c>
      <c r="C1065" t="s">
        <v>4410</v>
      </c>
      <c r="D1065" t="s">
        <v>2908</v>
      </c>
      <c r="E1065" t="s">
        <v>1236</v>
      </c>
      <c r="F1065" t="s">
        <v>4491</v>
      </c>
      <c r="G1065" t="s">
        <v>6355</v>
      </c>
      <c r="H1065">
        <v>0</v>
      </c>
      <c r="I1065">
        <v>0</v>
      </c>
    </row>
    <row r="1066" spans="1:9" x14ac:dyDescent="0.3">
      <c r="A1066" t="s">
        <v>4492</v>
      </c>
      <c r="B1066" t="s">
        <v>4493</v>
      </c>
      <c r="C1066" t="s">
        <v>4410</v>
      </c>
      <c r="D1066" t="s">
        <v>2908</v>
      </c>
      <c r="E1066" t="s">
        <v>1236</v>
      </c>
      <c r="F1066" t="s">
        <v>4494</v>
      </c>
      <c r="G1066" t="s">
        <v>6356</v>
      </c>
      <c r="H1066">
        <v>0</v>
      </c>
      <c r="I1066">
        <v>0</v>
      </c>
    </row>
    <row r="1067" spans="1:9" x14ac:dyDescent="0.3">
      <c r="A1067" t="s">
        <v>4495</v>
      </c>
      <c r="B1067" t="s">
        <v>4496</v>
      </c>
      <c r="C1067" t="s">
        <v>4410</v>
      </c>
      <c r="D1067" t="s">
        <v>2908</v>
      </c>
      <c r="E1067" t="s">
        <v>1236</v>
      </c>
      <c r="F1067" t="s">
        <v>4497</v>
      </c>
      <c r="G1067" t="s">
        <v>6357</v>
      </c>
      <c r="H1067">
        <v>0</v>
      </c>
      <c r="I1067">
        <v>0</v>
      </c>
    </row>
    <row r="1068" spans="1:9" x14ac:dyDescent="0.3">
      <c r="A1068" t="s">
        <v>4498</v>
      </c>
      <c r="B1068" t="s">
        <v>4499</v>
      </c>
      <c r="C1068" t="s">
        <v>4500</v>
      </c>
      <c r="D1068" t="s">
        <v>2707</v>
      </c>
      <c r="E1068" t="s">
        <v>1236</v>
      </c>
      <c r="F1068" t="s">
        <v>4501</v>
      </c>
      <c r="G1068" t="s">
        <v>6358</v>
      </c>
      <c r="H1068">
        <v>0</v>
      </c>
      <c r="I1068">
        <v>0</v>
      </c>
    </row>
    <row r="1069" spans="1:9" x14ac:dyDescent="0.3">
      <c r="A1069" t="s">
        <v>4502</v>
      </c>
      <c r="B1069" t="s">
        <v>4503</v>
      </c>
      <c r="C1069" t="s">
        <v>4500</v>
      </c>
      <c r="D1069" t="s">
        <v>2707</v>
      </c>
      <c r="E1069" t="s">
        <v>1236</v>
      </c>
      <c r="F1069" t="s">
        <v>4504</v>
      </c>
      <c r="G1069" t="s">
        <v>6359</v>
      </c>
      <c r="H1069">
        <v>0</v>
      </c>
      <c r="I1069">
        <v>0</v>
      </c>
    </row>
    <row r="1070" spans="1:9" x14ac:dyDescent="0.3">
      <c r="A1070" t="s">
        <v>4505</v>
      </c>
      <c r="B1070" t="s">
        <v>4506</v>
      </c>
      <c r="C1070" t="s">
        <v>4500</v>
      </c>
      <c r="D1070" t="s">
        <v>2707</v>
      </c>
      <c r="E1070" t="s">
        <v>1236</v>
      </c>
      <c r="F1070" t="s">
        <v>4507</v>
      </c>
      <c r="G1070" t="s">
        <v>6360</v>
      </c>
      <c r="H1070">
        <v>0</v>
      </c>
      <c r="I1070">
        <v>0</v>
      </c>
    </row>
    <row r="1071" spans="1:9" x14ac:dyDescent="0.3">
      <c r="A1071" t="s">
        <v>4508</v>
      </c>
      <c r="B1071" t="s">
        <v>4509</v>
      </c>
      <c r="C1071" t="s">
        <v>4500</v>
      </c>
      <c r="D1071" t="s">
        <v>2707</v>
      </c>
      <c r="E1071" t="s">
        <v>1236</v>
      </c>
      <c r="F1071" t="s">
        <v>4510</v>
      </c>
      <c r="G1071" t="s">
        <v>6361</v>
      </c>
      <c r="H1071">
        <v>0</v>
      </c>
      <c r="I1071">
        <v>0</v>
      </c>
    </row>
    <row r="1072" spans="1:9" x14ac:dyDescent="0.3">
      <c r="A1072" t="s">
        <v>4511</v>
      </c>
      <c r="B1072" t="s">
        <v>4512</v>
      </c>
      <c r="C1072" t="s">
        <v>4500</v>
      </c>
      <c r="D1072" t="s">
        <v>2707</v>
      </c>
      <c r="E1072" t="s">
        <v>1236</v>
      </c>
      <c r="F1072" t="s">
        <v>4513</v>
      </c>
      <c r="G1072" t="s">
        <v>6362</v>
      </c>
      <c r="H1072">
        <v>0</v>
      </c>
      <c r="I1072">
        <v>0</v>
      </c>
    </row>
    <row r="1073" spans="1:9" x14ac:dyDescent="0.3">
      <c r="A1073" t="s">
        <v>4514</v>
      </c>
      <c r="B1073" t="s">
        <v>4515</v>
      </c>
      <c r="C1073" t="s">
        <v>4500</v>
      </c>
      <c r="D1073" t="s">
        <v>2707</v>
      </c>
      <c r="E1073" t="s">
        <v>1236</v>
      </c>
      <c r="F1073" t="s">
        <v>4516</v>
      </c>
      <c r="G1073" t="s">
        <v>6363</v>
      </c>
      <c r="H1073" t="s">
        <v>737</v>
      </c>
      <c r="I1073">
        <v>0</v>
      </c>
    </row>
    <row r="1074" spans="1:9" x14ac:dyDescent="0.3">
      <c r="A1074" t="s">
        <v>4517</v>
      </c>
      <c r="B1074" t="s">
        <v>4518</v>
      </c>
      <c r="C1074" t="s">
        <v>4500</v>
      </c>
      <c r="D1074" t="s">
        <v>2707</v>
      </c>
      <c r="E1074" t="s">
        <v>1236</v>
      </c>
      <c r="F1074" t="s">
        <v>4519</v>
      </c>
      <c r="G1074" t="s">
        <v>6364</v>
      </c>
      <c r="H1074">
        <v>0</v>
      </c>
      <c r="I1074">
        <v>0</v>
      </c>
    </row>
    <row r="1075" spans="1:9" x14ac:dyDescent="0.3">
      <c r="A1075" t="s">
        <v>4520</v>
      </c>
      <c r="B1075" t="s">
        <v>4521</v>
      </c>
      <c r="C1075" t="s">
        <v>4500</v>
      </c>
      <c r="D1075" t="s">
        <v>2707</v>
      </c>
      <c r="E1075" t="s">
        <v>1236</v>
      </c>
      <c r="F1075" t="s">
        <v>4522</v>
      </c>
      <c r="G1075" t="s">
        <v>6365</v>
      </c>
      <c r="H1075">
        <v>0</v>
      </c>
      <c r="I1075">
        <v>0</v>
      </c>
    </row>
    <row r="1076" spans="1:9" x14ac:dyDescent="0.3">
      <c r="A1076" t="s">
        <v>4523</v>
      </c>
      <c r="B1076" t="s">
        <v>4524</v>
      </c>
      <c r="C1076" t="s">
        <v>4500</v>
      </c>
      <c r="D1076" t="s">
        <v>2707</v>
      </c>
      <c r="E1076" t="s">
        <v>1236</v>
      </c>
      <c r="F1076" t="s">
        <v>4525</v>
      </c>
      <c r="G1076" t="s">
        <v>6366</v>
      </c>
      <c r="H1076">
        <v>0</v>
      </c>
      <c r="I1076">
        <v>0</v>
      </c>
    </row>
    <row r="1077" spans="1:9" x14ac:dyDescent="0.3">
      <c r="A1077" t="s">
        <v>4526</v>
      </c>
      <c r="B1077" t="s">
        <v>4527</v>
      </c>
      <c r="C1077" t="s">
        <v>4500</v>
      </c>
      <c r="D1077" t="s">
        <v>2707</v>
      </c>
      <c r="E1077" t="s">
        <v>1236</v>
      </c>
      <c r="F1077" t="s">
        <v>4528</v>
      </c>
      <c r="G1077" t="s">
        <v>6367</v>
      </c>
      <c r="H1077">
        <v>0</v>
      </c>
      <c r="I1077">
        <v>0</v>
      </c>
    </row>
    <row r="1078" spans="1:9" x14ac:dyDescent="0.3">
      <c r="A1078" t="s">
        <v>4529</v>
      </c>
      <c r="B1078" t="s">
        <v>4530</v>
      </c>
      <c r="C1078" t="s">
        <v>4500</v>
      </c>
      <c r="D1078" t="s">
        <v>2707</v>
      </c>
      <c r="E1078" t="s">
        <v>1236</v>
      </c>
      <c r="F1078" t="s">
        <v>4531</v>
      </c>
      <c r="G1078" t="s">
        <v>6368</v>
      </c>
      <c r="H1078" t="s">
        <v>737</v>
      </c>
      <c r="I1078">
        <v>0</v>
      </c>
    </row>
    <row r="1079" spans="1:9" x14ac:dyDescent="0.3">
      <c r="A1079" t="s">
        <v>4532</v>
      </c>
      <c r="B1079" t="s">
        <v>4533</v>
      </c>
      <c r="C1079" t="s">
        <v>4500</v>
      </c>
      <c r="D1079" t="s">
        <v>2707</v>
      </c>
      <c r="E1079" t="s">
        <v>1236</v>
      </c>
      <c r="F1079" t="s">
        <v>4534</v>
      </c>
      <c r="G1079" t="s">
        <v>6369</v>
      </c>
      <c r="H1079" t="s">
        <v>737</v>
      </c>
      <c r="I1079">
        <v>0</v>
      </c>
    </row>
    <row r="1080" spans="1:9" x14ac:dyDescent="0.3">
      <c r="A1080" t="s">
        <v>4535</v>
      </c>
      <c r="B1080" t="s">
        <v>4536</v>
      </c>
      <c r="C1080" t="s">
        <v>4500</v>
      </c>
      <c r="D1080" t="s">
        <v>2707</v>
      </c>
      <c r="E1080" t="s">
        <v>1236</v>
      </c>
      <c r="F1080" t="s">
        <v>4537</v>
      </c>
      <c r="G1080" t="s">
        <v>6370</v>
      </c>
      <c r="H1080">
        <v>0</v>
      </c>
      <c r="I1080">
        <v>0</v>
      </c>
    </row>
    <row r="1081" spans="1:9" x14ac:dyDescent="0.3">
      <c r="A1081" t="s">
        <v>4538</v>
      </c>
      <c r="B1081" t="s">
        <v>4539</v>
      </c>
      <c r="C1081" t="s">
        <v>4500</v>
      </c>
      <c r="D1081" t="s">
        <v>2707</v>
      </c>
      <c r="E1081" t="s">
        <v>1236</v>
      </c>
      <c r="F1081" t="s">
        <v>4540</v>
      </c>
      <c r="G1081" t="s">
        <v>6371</v>
      </c>
      <c r="H1081">
        <v>0</v>
      </c>
      <c r="I1081">
        <v>0</v>
      </c>
    </row>
    <row r="1082" spans="1:9" x14ac:dyDescent="0.3">
      <c r="A1082" t="s">
        <v>4541</v>
      </c>
      <c r="B1082" t="s">
        <v>4542</v>
      </c>
      <c r="C1082" t="s">
        <v>4500</v>
      </c>
      <c r="D1082" t="s">
        <v>2707</v>
      </c>
      <c r="E1082" t="s">
        <v>1236</v>
      </c>
      <c r="F1082" t="s">
        <v>4543</v>
      </c>
      <c r="G1082" t="s">
        <v>6372</v>
      </c>
      <c r="H1082">
        <v>0</v>
      </c>
      <c r="I1082">
        <v>0</v>
      </c>
    </row>
    <row r="1083" spans="1:9" x14ac:dyDescent="0.3">
      <c r="A1083" t="s">
        <v>4544</v>
      </c>
      <c r="B1083" t="s">
        <v>4545</v>
      </c>
      <c r="C1083" t="s">
        <v>4500</v>
      </c>
      <c r="D1083" t="s">
        <v>2707</v>
      </c>
      <c r="E1083" t="s">
        <v>1236</v>
      </c>
      <c r="F1083" t="s">
        <v>4546</v>
      </c>
      <c r="G1083" t="s">
        <v>6373</v>
      </c>
      <c r="H1083">
        <v>0</v>
      </c>
      <c r="I1083">
        <v>0</v>
      </c>
    </row>
    <row r="1084" spans="1:9" x14ac:dyDescent="0.3">
      <c r="A1084" t="s">
        <v>4547</v>
      </c>
      <c r="B1084" t="s">
        <v>4548</v>
      </c>
      <c r="C1084" t="s">
        <v>4500</v>
      </c>
      <c r="D1084" t="s">
        <v>2707</v>
      </c>
      <c r="E1084" t="s">
        <v>1236</v>
      </c>
      <c r="F1084" t="s">
        <v>4549</v>
      </c>
      <c r="G1084" t="s">
        <v>6374</v>
      </c>
      <c r="H1084">
        <v>0</v>
      </c>
      <c r="I1084">
        <v>0</v>
      </c>
    </row>
    <row r="1085" spans="1:9" x14ac:dyDescent="0.3">
      <c r="A1085" t="s">
        <v>4550</v>
      </c>
      <c r="B1085" t="s">
        <v>4551</v>
      </c>
      <c r="C1085" t="s">
        <v>4500</v>
      </c>
      <c r="D1085" t="s">
        <v>2707</v>
      </c>
      <c r="E1085" t="s">
        <v>1236</v>
      </c>
      <c r="F1085" t="s">
        <v>4552</v>
      </c>
      <c r="G1085" t="s">
        <v>6375</v>
      </c>
      <c r="H1085">
        <v>0</v>
      </c>
      <c r="I1085">
        <v>0</v>
      </c>
    </row>
    <row r="1086" spans="1:9" x14ac:dyDescent="0.3">
      <c r="A1086" t="s">
        <v>4553</v>
      </c>
      <c r="B1086" t="s">
        <v>4554</v>
      </c>
      <c r="C1086" t="s">
        <v>4500</v>
      </c>
      <c r="D1086" t="s">
        <v>2707</v>
      </c>
      <c r="E1086" t="s">
        <v>1236</v>
      </c>
      <c r="F1086" t="s">
        <v>4555</v>
      </c>
      <c r="G1086" t="s">
        <v>6376</v>
      </c>
      <c r="H1086">
        <v>0</v>
      </c>
      <c r="I1086">
        <v>0</v>
      </c>
    </row>
    <row r="1087" spans="1:9" x14ac:dyDescent="0.3">
      <c r="A1087" t="s">
        <v>4556</v>
      </c>
      <c r="B1087" t="s">
        <v>4557</v>
      </c>
      <c r="C1087" t="s">
        <v>4500</v>
      </c>
      <c r="D1087" t="s">
        <v>2707</v>
      </c>
      <c r="E1087" t="s">
        <v>1236</v>
      </c>
      <c r="F1087" t="s">
        <v>4558</v>
      </c>
      <c r="G1087" t="s">
        <v>6377</v>
      </c>
      <c r="H1087">
        <v>0</v>
      </c>
      <c r="I1087" t="s">
        <v>4559</v>
      </c>
    </row>
    <row r="1088" spans="1:9" x14ac:dyDescent="0.3">
      <c r="A1088" t="s">
        <v>4560</v>
      </c>
      <c r="B1088" t="s">
        <v>4561</v>
      </c>
      <c r="C1088" t="s">
        <v>4500</v>
      </c>
      <c r="D1088" t="s">
        <v>2707</v>
      </c>
      <c r="E1088" t="s">
        <v>1236</v>
      </c>
      <c r="F1088" t="s">
        <v>4558</v>
      </c>
      <c r="G1088" t="s">
        <v>6377</v>
      </c>
      <c r="H1088">
        <v>0</v>
      </c>
      <c r="I1088" t="s">
        <v>4559</v>
      </c>
    </row>
    <row r="1089" spans="1:9" x14ac:dyDescent="0.3">
      <c r="A1089" t="s">
        <v>4562</v>
      </c>
      <c r="B1089" t="s">
        <v>4563</v>
      </c>
      <c r="C1089" t="s">
        <v>4500</v>
      </c>
      <c r="D1089" t="s">
        <v>2707</v>
      </c>
      <c r="E1089" t="s">
        <v>1236</v>
      </c>
      <c r="F1089" t="s">
        <v>4564</v>
      </c>
      <c r="G1089" t="s">
        <v>6378</v>
      </c>
      <c r="H1089">
        <v>0</v>
      </c>
      <c r="I1089">
        <v>0</v>
      </c>
    </row>
    <row r="1090" spans="1:9" x14ac:dyDescent="0.3">
      <c r="A1090" t="s">
        <v>4565</v>
      </c>
      <c r="B1090" t="s">
        <v>4566</v>
      </c>
      <c r="C1090" t="s">
        <v>4500</v>
      </c>
      <c r="D1090" t="s">
        <v>2707</v>
      </c>
      <c r="E1090" t="s">
        <v>1236</v>
      </c>
      <c r="F1090" t="s">
        <v>4567</v>
      </c>
      <c r="G1090" t="s">
        <v>6379</v>
      </c>
      <c r="H1090">
        <v>0</v>
      </c>
      <c r="I1090">
        <v>0</v>
      </c>
    </row>
    <row r="1091" spans="1:9" x14ac:dyDescent="0.3">
      <c r="A1091" t="s">
        <v>4568</v>
      </c>
      <c r="B1091" t="s">
        <v>4569</v>
      </c>
      <c r="C1091" t="s">
        <v>4500</v>
      </c>
      <c r="D1091" t="s">
        <v>2707</v>
      </c>
      <c r="E1091" t="s">
        <v>1236</v>
      </c>
      <c r="F1091" t="s">
        <v>4570</v>
      </c>
      <c r="G1091" t="s">
        <v>6380</v>
      </c>
      <c r="H1091">
        <v>0</v>
      </c>
      <c r="I1091">
        <v>0</v>
      </c>
    </row>
    <row r="1092" spans="1:9" x14ac:dyDescent="0.3">
      <c r="A1092" t="s">
        <v>4571</v>
      </c>
      <c r="B1092" t="s">
        <v>4572</v>
      </c>
      <c r="C1092" t="s">
        <v>4573</v>
      </c>
      <c r="D1092" t="s">
        <v>1286</v>
      </c>
      <c r="E1092" t="s">
        <v>1287</v>
      </c>
      <c r="F1092" t="s">
        <v>4574</v>
      </c>
      <c r="G1092" t="s">
        <v>6381</v>
      </c>
      <c r="H1092">
        <v>0</v>
      </c>
      <c r="I1092">
        <v>0</v>
      </c>
    </row>
    <row r="1093" spans="1:9" x14ac:dyDescent="0.3">
      <c r="A1093" t="s">
        <v>4575</v>
      </c>
      <c r="B1093" t="s">
        <v>4576</v>
      </c>
      <c r="C1093" t="s">
        <v>4573</v>
      </c>
      <c r="D1093" t="s">
        <v>1286</v>
      </c>
      <c r="E1093" t="s">
        <v>1287</v>
      </c>
      <c r="F1093" t="s">
        <v>4577</v>
      </c>
      <c r="G1093" t="s">
        <v>6382</v>
      </c>
      <c r="H1093">
        <v>0</v>
      </c>
      <c r="I1093">
        <v>0</v>
      </c>
    </row>
    <row r="1094" spans="1:9" x14ac:dyDescent="0.3">
      <c r="A1094" t="s">
        <v>4578</v>
      </c>
      <c r="B1094" t="s">
        <v>4579</v>
      </c>
      <c r="C1094" t="s">
        <v>4573</v>
      </c>
      <c r="D1094" t="s">
        <v>1286</v>
      </c>
      <c r="E1094" t="s">
        <v>1287</v>
      </c>
      <c r="F1094" t="s">
        <v>4580</v>
      </c>
      <c r="G1094" t="s">
        <v>6383</v>
      </c>
      <c r="H1094">
        <v>0</v>
      </c>
      <c r="I1094">
        <v>0</v>
      </c>
    </row>
    <row r="1095" spans="1:9" x14ac:dyDescent="0.3">
      <c r="A1095" t="s">
        <v>4581</v>
      </c>
      <c r="B1095" t="s">
        <v>4582</v>
      </c>
      <c r="C1095" t="s">
        <v>4573</v>
      </c>
      <c r="D1095" t="s">
        <v>1286</v>
      </c>
      <c r="E1095" t="s">
        <v>1287</v>
      </c>
      <c r="F1095" t="s">
        <v>4583</v>
      </c>
      <c r="G1095" t="s">
        <v>6384</v>
      </c>
      <c r="H1095">
        <v>0</v>
      </c>
      <c r="I1095">
        <v>0</v>
      </c>
    </row>
    <row r="1096" spans="1:9" x14ac:dyDescent="0.3">
      <c r="A1096" t="s">
        <v>4584</v>
      </c>
      <c r="B1096" t="s">
        <v>4585</v>
      </c>
      <c r="C1096" t="s">
        <v>4573</v>
      </c>
      <c r="D1096" t="s">
        <v>1286</v>
      </c>
      <c r="E1096" t="s">
        <v>1287</v>
      </c>
      <c r="F1096" t="s">
        <v>4586</v>
      </c>
      <c r="G1096" t="s">
        <v>6385</v>
      </c>
      <c r="H1096" t="s">
        <v>4587</v>
      </c>
      <c r="I1096">
        <v>0</v>
      </c>
    </row>
    <row r="1097" spans="1:9" x14ac:dyDescent="0.3">
      <c r="A1097" t="s">
        <v>4588</v>
      </c>
      <c r="B1097" t="s">
        <v>4589</v>
      </c>
      <c r="C1097" t="s">
        <v>4573</v>
      </c>
      <c r="D1097" t="s">
        <v>1286</v>
      </c>
      <c r="E1097" t="s">
        <v>1287</v>
      </c>
      <c r="F1097" t="s">
        <v>4590</v>
      </c>
      <c r="G1097" t="s">
        <v>6386</v>
      </c>
      <c r="H1097" t="s">
        <v>4587</v>
      </c>
      <c r="I1097">
        <v>0</v>
      </c>
    </row>
    <row r="1098" spans="1:9" x14ac:dyDescent="0.3">
      <c r="A1098" t="s">
        <v>4591</v>
      </c>
      <c r="B1098" t="s">
        <v>4592</v>
      </c>
      <c r="C1098" t="s">
        <v>4573</v>
      </c>
      <c r="D1098" t="s">
        <v>1286</v>
      </c>
      <c r="E1098" t="s">
        <v>1287</v>
      </c>
      <c r="F1098" t="s">
        <v>4593</v>
      </c>
      <c r="G1098" t="s">
        <v>6387</v>
      </c>
      <c r="H1098" t="s">
        <v>4594</v>
      </c>
      <c r="I1098">
        <v>0</v>
      </c>
    </row>
    <row r="1099" spans="1:9" x14ac:dyDescent="0.3">
      <c r="A1099" t="s">
        <v>4595</v>
      </c>
      <c r="B1099" t="s">
        <v>4596</v>
      </c>
      <c r="C1099" t="s">
        <v>4573</v>
      </c>
      <c r="D1099" t="s">
        <v>1286</v>
      </c>
      <c r="E1099" t="s">
        <v>1287</v>
      </c>
      <c r="F1099" t="s">
        <v>4597</v>
      </c>
      <c r="G1099" t="s">
        <v>6388</v>
      </c>
      <c r="H1099">
        <v>0</v>
      </c>
      <c r="I1099">
        <v>0</v>
      </c>
    </row>
    <row r="1100" spans="1:9" x14ac:dyDescent="0.3">
      <c r="A1100" t="s">
        <v>4598</v>
      </c>
      <c r="B1100" t="s">
        <v>4599</v>
      </c>
      <c r="C1100" t="s">
        <v>4573</v>
      </c>
      <c r="D1100" t="s">
        <v>1286</v>
      </c>
      <c r="E1100" t="s">
        <v>1287</v>
      </c>
      <c r="F1100" t="s">
        <v>4600</v>
      </c>
      <c r="G1100" t="s">
        <v>6389</v>
      </c>
      <c r="H1100" t="s">
        <v>4601</v>
      </c>
      <c r="I1100">
        <v>0</v>
      </c>
    </row>
    <row r="1101" spans="1:9" x14ac:dyDescent="0.3">
      <c r="A1101" t="s">
        <v>4602</v>
      </c>
      <c r="B1101" t="s">
        <v>4603</v>
      </c>
      <c r="C1101" t="s">
        <v>4573</v>
      </c>
      <c r="D1101" t="s">
        <v>1286</v>
      </c>
      <c r="E1101" t="s">
        <v>1287</v>
      </c>
      <c r="F1101" t="s">
        <v>4604</v>
      </c>
      <c r="G1101" t="s">
        <v>6390</v>
      </c>
      <c r="H1101">
        <v>0</v>
      </c>
      <c r="I1101">
        <v>0</v>
      </c>
    </row>
    <row r="1102" spans="1:9" x14ac:dyDescent="0.3">
      <c r="A1102" t="s">
        <v>4605</v>
      </c>
      <c r="B1102" t="s">
        <v>4606</v>
      </c>
      <c r="C1102" t="s">
        <v>4573</v>
      </c>
      <c r="D1102" t="s">
        <v>1286</v>
      </c>
      <c r="E1102" t="s">
        <v>1287</v>
      </c>
      <c r="F1102" t="s">
        <v>4607</v>
      </c>
      <c r="G1102" t="s">
        <v>6391</v>
      </c>
      <c r="H1102" t="s">
        <v>4601</v>
      </c>
      <c r="I1102">
        <v>0</v>
      </c>
    </row>
    <row r="1103" spans="1:9" x14ac:dyDescent="0.3">
      <c r="A1103" t="s">
        <v>4608</v>
      </c>
      <c r="B1103" t="s">
        <v>4609</v>
      </c>
      <c r="C1103" t="s">
        <v>4573</v>
      </c>
      <c r="D1103" t="s">
        <v>1286</v>
      </c>
      <c r="E1103" t="s">
        <v>1287</v>
      </c>
      <c r="F1103" t="s">
        <v>4610</v>
      </c>
      <c r="G1103" t="s">
        <v>6392</v>
      </c>
      <c r="H1103" t="s">
        <v>4594</v>
      </c>
      <c r="I1103">
        <v>0</v>
      </c>
    </row>
    <row r="1104" spans="1:9" x14ac:dyDescent="0.3">
      <c r="A1104" t="s">
        <v>4611</v>
      </c>
      <c r="B1104" t="s">
        <v>4612</v>
      </c>
      <c r="C1104" t="s">
        <v>4573</v>
      </c>
      <c r="D1104" t="s">
        <v>1286</v>
      </c>
      <c r="E1104" t="s">
        <v>1287</v>
      </c>
      <c r="F1104" t="s">
        <v>4613</v>
      </c>
      <c r="G1104" t="s">
        <v>6393</v>
      </c>
      <c r="H1104">
        <v>0</v>
      </c>
      <c r="I1104">
        <v>0</v>
      </c>
    </row>
    <row r="1105" spans="1:9" x14ac:dyDescent="0.3">
      <c r="A1105" t="s">
        <v>4614</v>
      </c>
      <c r="B1105" t="s">
        <v>4615</v>
      </c>
      <c r="C1105" t="s">
        <v>4573</v>
      </c>
      <c r="D1105" t="s">
        <v>1286</v>
      </c>
      <c r="E1105" t="s">
        <v>1287</v>
      </c>
      <c r="F1105" t="s">
        <v>4616</v>
      </c>
      <c r="G1105" t="s">
        <v>6394</v>
      </c>
      <c r="H1105" t="s">
        <v>4601</v>
      </c>
      <c r="I1105">
        <v>0</v>
      </c>
    </row>
    <row r="1106" spans="1:9" x14ac:dyDescent="0.3">
      <c r="A1106" t="s">
        <v>4617</v>
      </c>
      <c r="B1106" t="s">
        <v>4618</v>
      </c>
      <c r="C1106" t="s">
        <v>4573</v>
      </c>
      <c r="D1106" t="s">
        <v>1286</v>
      </c>
      <c r="E1106" t="s">
        <v>1287</v>
      </c>
      <c r="F1106" t="s">
        <v>4619</v>
      </c>
      <c r="G1106" t="s">
        <v>6395</v>
      </c>
      <c r="H1106" t="s">
        <v>4587</v>
      </c>
      <c r="I1106">
        <v>0</v>
      </c>
    </row>
    <row r="1107" spans="1:9" x14ac:dyDescent="0.3">
      <c r="A1107" t="s">
        <v>4620</v>
      </c>
      <c r="B1107" t="s">
        <v>4621</v>
      </c>
      <c r="C1107" t="s">
        <v>4573</v>
      </c>
      <c r="D1107" t="s">
        <v>1286</v>
      </c>
      <c r="E1107" t="s">
        <v>1287</v>
      </c>
      <c r="F1107" t="s">
        <v>4622</v>
      </c>
      <c r="G1107" t="s">
        <v>6396</v>
      </c>
      <c r="H1107">
        <v>0</v>
      </c>
      <c r="I1107">
        <v>0</v>
      </c>
    </row>
    <row r="1108" spans="1:9" x14ac:dyDescent="0.3">
      <c r="A1108" t="s">
        <v>4623</v>
      </c>
      <c r="B1108" t="s">
        <v>4624</v>
      </c>
      <c r="C1108" t="s">
        <v>4573</v>
      </c>
      <c r="D1108" t="s">
        <v>1286</v>
      </c>
      <c r="E1108" t="s">
        <v>1287</v>
      </c>
      <c r="F1108" t="s">
        <v>4625</v>
      </c>
      <c r="G1108" t="s">
        <v>6397</v>
      </c>
      <c r="H1108">
        <v>0</v>
      </c>
      <c r="I1108">
        <v>0</v>
      </c>
    </row>
    <row r="1109" spans="1:9" x14ac:dyDescent="0.3">
      <c r="A1109" t="s">
        <v>4626</v>
      </c>
      <c r="B1109" t="s">
        <v>4627</v>
      </c>
      <c r="C1109" t="s">
        <v>4573</v>
      </c>
      <c r="D1109" t="s">
        <v>1286</v>
      </c>
      <c r="E1109" t="s">
        <v>1287</v>
      </c>
      <c r="F1109" t="s">
        <v>4628</v>
      </c>
      <c r="G1109" t="s">
        <v>6398</v>
      </c>
      <c r="H1109">
        <v>0</v>
      </c>
      <c r="I1109">
        <v>0</v>
      </c>
    </row>
    <row r="1110" spans="1:9" x14ac:dyDescent="0.3">
      <c r="A1110" t="s">
        <v>4629</v>
      </c>
      <c r="B1110" t="s">
        <v>4630</v>
      </c>
      <c r="C1110" t="s">
        <v>4573</v>
      </c>
      <c r="D1110" t="s">
        <v>1286</v>
      </c>
      <c r="E1110" t="s">
        <v>1287</v>
      </c>
      <c r="F1110" t="s">
        <v>4631</v>
      </c>
      <c r="G1110" t="s">
        <v>6399</v>
      </c>
      <c r="H1110">
        <v>0</v>
      </c>
      <c r="I1110">
        <v>0</v>
      </c>
    </row>
    <row r="1111" spans="1:9" x14ac:dyDescent="0.3">
      <c r="A1111" t="s">
        <v>4632</v>
      </c>
      <c r="B1111" t="s">
        <v>4633</v>
      </c>
      <c r="C1111" t="s">
        <v>4573</v>
      </c>
      <c r="D1111" t="s">
        <v>1286</v>
      </c>
      <c r="E1111" t="s">
        <v>1287</v>
      </c>
      <c r="F1111" t="s">
        <v>4634</v>
      </c>
      <c r="G1111" t="s">
        <v>6400</v>
      </c>
      <c r="H1111" t="s">
        <v>4594</v>
      </c>
      <c r="I1111">
        <v>0</v>
      </c>
    </row>
    <row r="1112" spans="1:9" x14ac:dyDescent="0.3">
      <c r="A1112" t="s">
        <v>4635</v>
      </c>
      <c r="B1112" t="s">
        <v>4636</v>
      </c>
      <c r="C1112" t="s">
        <v>4573</v>
      </c>
      <c r="D1112" t="s">
        <v>1286</v>
      </c>
      <c r="E1112" t="s">
        <v>1287</v>
      </c>
      <c r="F1112" t="s">
        <v>4637</v>
      </c>
      <c r="G1112" t="s">
        <v>6401</v>
      </c>
      <c r="H1112" t="s">
        <v>4638</v>
      </c>
      <c r="I1112">
        <v>0</v>
      </c>
    </row>
    <row r="1113" spans="1:9" x14ac:dyDescent="0.3">
      <c r="A1113" t="s">
        <v>4639</v>
      </c>
      <c r="B1113" t="s">
        <v>4640</v>
      </c>
      <c r="C1113" t="s">
        <v>4573</v>
      </c>
      <c r="D1113" t="s">
        <v>1286</v>
      </c>
      <c r="E1113" t="s">
        <v>1287</v>
      </c>
      <c r="F1113" t="s">
        <v>4641</v>
      </c>
      <c r="G1113" t="s">
        <v>6402</v>
      </c>
      <c r="H1113" t="s">
        <v>4638</v>
      </c>
      <c r="I1113">
        <v>0</v>
      </c>
    </row>
    <row r="1114" spans="1:9" x14ac:dyDescent="0.3">
      <c r="A1114" t="s">
        <v>4642</v>
      </c>
      <c r="B1114" t="s">
        <v>4643</v>
      </c>
      <c r="C1114" t="s">
        <v>4573</v>
      </c>
      <c r="D1114" t="s">
        <v>1286</v>
      </c>
      <c r="E1114" t="s">
        <v>1287</v>
      </c>
      <c r="F1114" t="s">
        <v>4644</v>
      </c>
      <c r="G1114" t="s">
        <v>6403</v>
      </c>
      <c r="H1114" t="s">
        <v>4594</v>
      </c>
      <c r="I1114">
        <v>0</v>
      </c>
    </row>
    <row r="1115" spans="1:9" x14ac:dyDescent="0.3">
      <c r="A1115" t="s">
        <v>4645</v>
      </c>
      <c r="B1115" t="s">
        <v>4646</v>
      </c>
      <c r="C1115" t="s">
        <v>4573</v>
      </c>
      <c r="D1115" t="s">
        <v>1286</v>
      </c>
      <c r="E1115" t="s">
        <v>1287</v>
      </c>
      <c r="F1115" t="s">
        <v>4647</v>
      </c>
      <c r="G1115" t="s">
        <v>6404</v>
      </c>
      <c r="H1115">
        <v>0</v>
      </c>
      <c r="I1115">
        <v>0</v>
      </c>
    </row>
    <row r="1116" spans="1:9" x14ac:dyDescent="0.3">
      <c r="A1116" t="s">
        <v>4648</v>
      </c>
      <c r="B1116" t="s">
        <v>4649</v>
      </c>
      <c r="C1116" t="s">
        <v>4573</v>
      </c>
      <c r="D1116" t="s">
        <v>1286</v>
      </c>
      <c r="E1116" t="s">
        <v>1287</v>
      </c>
      <c r="F1116" t="s">
        <v>4650</v>
      </c>
      <c r="G1116" t="s">
        <v>6405</v>
      </c>
      <c r="H1116">
        <v>0</v>
      </c>
      <c r="I1116">
        <v>0</v>
      </c>
    </row>
    <row r="1117" spans="1:9" x14ac:dyDescent="0.3">
      <c r="A1117" t="s">
        <v>4651</v>
      </c>
      <c r="B1117" t="s">
        <v>4652</v>
      </c>
      <c r="C1117" t="s">
        <v>4573</v>
      </c>
      <c r="D1117" t="s">
        <v>1286</v>
      </c>
      <c r="E1117" t="s">
        <v>1287</v>
      </c>
      <c r="F1117" t="s">
        <v>4653</v>
      </c>
      <c r="G1117" t="s">
        <v>6406</v>
      </c>
      <c r="H1117" t="s">
        <v>4601</v>
      </c>
      <c r="I1117">
        <v>0</v>
      </c>
    </row>
    <row r="1118" spans="1:9" x14ac:dyDescent="0.3">
      <c r="A1118" t="s">
        <v>4654</v>
      </c>
      <c r="B1118" t="s">
        <v>4655</v>
      </c>
      <c r="C1118" t="s">
        <v>4573</v>
      </c>
      <c r="D1118" t="s">
        <v>1286</v>
      </c>
      <c r="E1118" t="s">
        <v>1287</v>
      </c>
      <c r="F1118" t="s">
        <v>4656</v>
      </c>
      <c r="G1118" t="s">
        <v>6407</v>
      </c>
      <c r="H1118" t="s">
        <v>4594</v>
      </c>
      <c r="I1118">
        <v>0</v>
      </c>
    </row>
    <row r="1119" spans="1:9" x14ac:dyDescent="0.3">
      <c r="A1119" t="s">
        <v>4657</v>
      </c>
      <c r="B1119" t="s">
        <v>4658</v>
      </c>
      <c r="C1119" t="s">
        <v>4573</v>
      </c>
      <c r="D1119" t="s">
        <v>1286</v>
      </c>
      <c r="E1119" t="s">
        <v>1287</v>
      </c>
      <c r="F1119" t="s">
        <v>4659</v>
      </c>
      <c r="G1119" t="s">
        <v>6408</v>
      </c>
      <c r="H1119" t="s">
        <v>4601</v>
      </c>
      <c r="I1119">
        <v>0</v>
      </c>
    </row>
    <row r="1120" spans="1:9" x14ac:dyDescent="0.3">
      <c r="A1120" t="s">
        <v>4660</v>
      </c>
      <c r="B1120" t="s">
        <v>4661</v>
      </c>
      <c r="C1120" t="s">
        <v>4573</v>
      </c>
      <c r="D1120" t="s">
        <v>1286</v>
      </c>
      <c r="E1120" t="s">
        <v>1287</v>
      </c>
      <c r="F1120" t="s">
        <v>4662</v>
      </c>
      <c r="G1120" t="s">
        <v>6409</v>
      </c>
      <c r="H1120" t="s">
        <v>4587</v>
      </c>
      <c r="I1120">
        <v>0</v>
      </c>
    </row>
    <row r="1121" spans="1:9" x14ac:dyDescent="0.3">
      <c r="A1121" t="s">
        <v>4663</v>
      </c>
      <c r="B1121" t="s">
        <v>4664</v>
      </c>
      <c r="C1121" t="s">
        <v>4573</v>
      </c>
      <c r="D1121" t="s">
        <v>1286</v>
      </c>
      <c r="E1121" t="s">
        <v>1287</v>
      </c>
      <c r="F1121" t="s">
        <v>4665</v>
      </c>
      <c r="G1121" t="s">
        <v>6410</v>
      </c>
      <c r="H1121">
        <v>0</v>
      </c>
      <c r="I1121">
        <v>0</v>
      </c>
    </row>
    <row r="1122" spans="1:9" x14ac:dyDescent="0.3">
      <c r="A1122" t="s">
        <v>4666</v>
      </c>
      <c r="B1122" t="s">
        <v>4667</v>
      </c>
      <c r="C1122" t="s">
        <v>4573</v>
      </c>
      <c r="D1122" t="s">
        <v>1286</v>
      </c>
      <c r="E1122" t="s">
        <v>1287</v>
      </c>
      <c r="F1122" t="s">
        <v>4668</v>
      </c>
      <c r="G1122" t="s">
        <v>6411</v>
      </c>
      <c r="H1122">
        <v>0</v>
      </c>
      <c r="I1122">
        <v>0</v>
      </c>
    </row>
    <row r="1123" spans="1:9" x14ac:dyDescent="0.3">
      <c r="A1123" t="s">
        <v>4669</v>
      </c>
      <c r="B1123" t="s">
        <v>4670</v>
      </c>
      <c r="C1123" t="s">
        <v>1220</v>
      </c>
      <c r="D1123" t="s">
        <v>1326</v>
      </c>
      <c r="E1123" t="s">
        <v>1287</v>
      </c>
      <c r="F1123" t="s">
        <v>4671</v>
      </c>
      <c r="G1123" t="s">
        <v>6412</v>
      </c>
      <c r="H1123">
        <v>0</v>
      </c>
      <c r="I1123">
        <v>0</v>
      </c>
    </row>
    <row r="1124" spans="1:9" x14ac:dyDescent="0.3">
      <c r="A1124" t="s">
        <v>4672</v>
      </c>
      <c r="B1124" t="s">
        <v>4673</v>
      </c>
      <c r="C1124" t="s">
        <v>1220</v>
      </c>
      <c r="D1124" t="s">
        <v>1326</v>
      </c>
      <c r="E1124" t="s">
        <v>1287</v>
      </c>
      <c r="F1124" t="s">
        <v>4674</v>
      </c>
      <c r="G1124" t="s">
        <v>6413</v>
      </c>
      <c r="H1124">
        <v>0</v>
      </c>
      <c r="I1124">
        <v>0</v>
      </c>
    </row>
    <row r="1125" spans="1:9" x14ac:dyDescent="0.3">
      <c r="A1125" t="s">
        <v>4675</v>
      </c>
      <c r="B1125" t="s">
        <v>4676</v>
      </c>
      <c r="C1125" t="s">
        <v>1220</v>
      </c>
      <c r="D1125" t="s">
        <v>1326</v>
      </c>
      <c r="E1125" t="s">
        <v>1287</v>
      </c>
      <c r="F1125" t="s">
        <v>4677</v>
      </c>
      <c r="G1125" t="s">
        <v>6414</v>
      </c>
      <c r="H1125" t="s">
        <v>4678</v>
      </c>
      <c r="I1125">
        <v>0</v>
      </c>
    </row>
    <row r="1126" spans="1:9" x14ac:dyDescent="0.3">
      <c r="A1126" t="s">
        <v>4679</v>
      </c>
      <c r="B1126" t="s">
        <v>4680</v>
      </c>
      <c r="C1126" t="s">
        <v>1220</v>
      </c>
      <c r="D1126" t="s">
        <v>1326</v>
      </c>
      <c r="E1126" t="s">
        <v>1287</v>
      </c>
      <c r="F1126" t="s">
        <v>4681</v>
      </c>
      <c r="G1126" t="s">
        <v>6415</v>
      </c>
      <c r="H1126" t="s">
        <v>4682</v>
      </c>
      <c r="I1126">
        <v>0</v>
      </c>
    </row>
    <row r="1127" spans="1:9" x14ac:dyDescent="0.3">
      <c r="A1127" t="s">
        <v>4683</v>
      </c>
      <c r="B1127" t="s">
        <v>4684</v>
      </c>
      <c r="C1127" t="s">
        <v>1220</v>
      </c>
      <c r="D1127" t="s">
        <v>1326</v>
      </c>
      <c r="E1127" t="s">
        <v>1287</v>
      </c>
      <c r="F1127" t="s">
        <v>4685</v>
      </c>
      <c r="G1127" t="s">
        <v>6416</v>
      </c>
      <c r="H1127">
        <v>0</v>
      </c>
      <c r="I1127">
        <v>0</v>
      </c>
    </row>
    <row r="1128" spans="1:9" x14ac:dyDescent="0.3">
      <c r="A1128" t="s">
        <v>4686</v>
      </c>
      <c r="B1128" t="s">
        <v>4687</v>
      </c>
      <c r="C1128" t="s">
        <v>1220</v>
      </c>
      <c r="D1128" t="s">
        <v>1326</v>
      </c>
      <c r="E1128" t="s">
        <v>1287</v>
      </c>
      <c r="F1128" t="s">
        <v>4688</v>
      </c>
      <c r="G1128" t="s">
        <v>6417</v>
      </c>
      <c r="H1128">
        <v>0</v>
      </c>
      <c r="I1128">
        <v>0</v>
      </c>
    </row>
    <row r="1129" spans="1:9" x14ac:dyDescent="0.3">
      <c r="A1129" t="s">
        <v>4689</v>
      </c>
      <c r="B1129" t="s">
        <v>4690</v>
      </c>
      <c r="C1129" t="s">
        <v>1220</v>
      </c>
      <c r="D1129" t="s">
        <v>1326</v>
      </c>
      <c r="E1129" t="s">
        <v>1287</v>
      </c>
      <c r="F1129" t="s">
        <v>4691</v>
      </c>
      <c r="G1129" t="s">
        <v>6418</v>
      </c>
      <c r="H1129" t="s">
        <v>4692</v>
      </c>
      <c r="I1129">
        <v>0</v>
      </c>
    </row>
    <row r="1130" spans="1:9" x14ac:dyDescent="0.3">
      <c r="A1130" t="s">
        <v>4693</v>
      </c>
      <c r="B1130" t="s">
        <v>4694</v>
      </c>
      <c r="C1130" t="s">
        <v>1220</v>
      </c>
      <c r="D1130" t="s">
        <v>1326</v>
      </c>
      <c r="E1130" t="s">
        <v>1287</v>
      </c>
      <c r="F1130" t="s">
        <v>4695</v>
      </c>
      <c r="G1130" t="s">
        <v>6419</v>
      </c>
      <c r="H1130" t="s">
        <v>782</v>
      </c>
      <c r="I1130">
        <v>0</v>
      </c>
    </row>
    <row r="1131" spans="1:9" x14ac:dyDescent="0.3">
      <c r="A1131" t="s">
        <v>4696</v>
      </c>
      <c r="B1131" t="s">
        <v>4697</v>
      </c>
      <c r="C1131" t="s">
        <v>1220</v>
      </c>
      <c r="D1131" t="s">
        <v>1326</v>
      </c>
      <c r="E1131" t="s">
        <v>1287</v>
      </c>
      <c r="F1131" t="s">
        <v>4698</v>
      </c>
      <c r="G1131" t="s">
        <v>6420</v>
      </c>
      <c r="H1131" t="s">
        <v>4699</v>
      </c>
      <c r="I1131">
        <v>0</v>
      </c>
    </row>
    <row r="1132" spans="1:9" x14ac:dyDescent="0.3">
      <c r="A1132" t="s">
        <v>4700</v>
      </c>
      <c r="B1132" t="s">
        <v>4701</v>
      </c>
      <c r="C1132" t="s">
        <v>1220</v>
      </c>
      <c r="D1132" t="s">
        <v>1326</v>
      </c>
      <c r="E1132" t="s">
        <v>1287</v>
      </c>
      <c r="F1132" t="s">
        <v>4702</v>
      </c>
      <c r="G1132" t="s">
        <v>6421</v>
      </c>
      <c r="H1132" t="s">
        <v>4703</v>
      </c>
      <c r="I1132">
        <v>0</v>
      </c>
    </row>
    <row r="1133" spans="1:9" x14ac:dyDescent="0.3">
      <c r="A1133" t="s">
        <v>4704</v>
      </c>
      <c r="B1133" t="s">
        <v>4705</v>
      </c>
      <c r="C1133" t="s">
        <v>1220</v>
      </c>
      <c r="D1133" t="s">
        <v>1326</v>
      </c>
      <c r="E1133" t="s">
        <v>1287</v>
      </c>
      <c r="F1133" t="s">
        <v>4706</v>
      </c>
      <c r="G1133" t="s">
        <v>6422</v>
      </c>
      <c r="H1133">
        <v>0</v>
      </c>
      <c r="I1133">
        <v>0</v>
      </c>
    </row>
    <row r="1134" spans="1:9" x14ac:dyDescent="0.3">
      <c r="A1134" t="s">
        <v>4707</v>
      </c>
      <c r="B1134" t="s">
        <v>4708</v>
      </c>
      <c r="C1134" t="s">
        <v>1220</v>
      </c>
      <c r="D1134" t="s">
        <v>1326</v>
      </c>
      <c r="E1134" t="s">
        <v>1287</v>
      </c>
      <c r="F1134" t="s">
        <v>4709</v>
      </c>
      <c r="G1134" t="s">
        <v>6423</v>
      </c>
      <c r="H1134" t="s">
        <v>4703</v>
      </c>
      <c r="I1134">
        <v>0</v>
      </c>
    </row>
    <row r="1135" spans="1:9" x14ac:dyDescent="0.3">
      <c r="A1135" t="s">
        <v>4710</v>
      </c>
      <c r="B1135" t="s">
        <v>4711</v>
      </c>
      <c r="C1135" t="s">
        <v>1220</v>
      </c>
      <c r="D1135" t="s">
        <v>1326</v>
      </c>
      <c r="E1135" t="s">
        <v>1287</v>
      </c>
      <c r="F1135" t="s">
        <v>4712</v>
      </c>
      <c r="G1135" t="s">
        <v>6424</v>
      </c>
      <c r="H1135" t="s">
        <v>4678</v>
      </c>
      <c r="I1135">
        <v>0</v>
      </c>
    </row>
    <row r="1136" spans="1:9" x14ac:dyDescent="0.3">
      <c r="A1136" t="s">
        <v>4713</v>
      </c>
      <c r="B1136" t="s">
        <v>4714</v>
      </c>
      <c r="C1136" t="s">
        <v>1220</v>
      </c>
      <c r="D1136" t="s">
        <v>1326</v>
      </c>
      <c r="E1136" t="s">
        <v>1287</v>
      </c>
      <c r="F1136" t="s">
        <v>4715</v>
      </c>
      <c r="G1136" t="s">
        <v>6425</v>
      </c>
      <c r="H1136" t="s">
        <v>784</v>
      </c>
      <c r="I1136">
        <v>0</v>
      </c>
    </row>
    <row r="1137" spans="1:9" x14ac:dyDescent="0.3">
      <c r="A1137" t="s">
        <v>4716</v>
      </c>
      <c r="B1137" t="s">
        <v>4717</v>
      </c>
      <c r="C1137" t="s">
        <v>1220</v>
      </c>
      <c r="D1137" t="s">
        <v>1326</v>
      </c>
      <c r="E1137" t="s">
        <v>1287</v>
      </c>
      <c r="F1137" t="s">
        <v>4718</v>
      </c>
      <c r="G1137" t="s">
        <v>6426</v>
      </c>
      <c r="H1137" t="s">
        <v>784</v>
      </c>
      <c r="I1137">
        <v>0</v>
      </c>
    </row>
    <row r="1138" spans="1:9" x14ac:dyDescent="0.3">
      <c r="A1138" t="s">
        <v>4719</v>
      </c>
      <c r="B1138" t="s">
        <v>4720</v>
      </c>
      <c r="C1138" t="s">
        <v>1220</v>
      </c>
      <c r="D1138" t="s">
        <v>1326</v>
      </c>
      <c r="E1138" t="s">
        <v>1287</v>
      </c>
      <c r="F1138" t="s">
        <v>4721</v>
      </c>
      <c r="G1138" t="s">
        <v>6427</v>
      </c>
      <c r="H1138" t="s">
        <v>4703</v>
      </c>
      <c r="I1138">
        <v>0</v>
      </c>
    </row>
    <row r="1139" spans="1:9" x14ac:dyDescent="0.3">
      <c r="A1139" t="s">
        <v>4722</v>
      </c>
      <c r="B1139" t="s">
        <v>4723</v>
      </c>
      <c r="C1139" t="s">
        <v>1220</v>
      </c>
      <c r="D1139" t="s">
        <v>1326</v>
      </c>
      <c r="E1139" t="s">
        <v>1287</v>
      </c>
      <c r="F1139" t="s">
        <v>4724</v>
      </c>
      <c r="G1139" t="s">
        <v>6428</v>
      </c>
      <c r="H1139" t="s">
        <v>4703</v>
      </c>
      <c r="I1139">
        <v>0</v>
      </c>
    </row>
    <row r="1140" spans="1:9" x14ac:dyDescent="0.3">
      <c r="A1140" t="s">
        <v>4725</v>
      </c>
      <c r="B1140" t="s">
        <v>4726</v>
      </c>
      <c r="C1140" t="s">
        <v>1220</v>
      </c>
      <c r="D1140" t="s">
        <v>1326</v>
      </c>
      <c r="E1140" t="s">
        <v>1287</v>
      </c>
      <c r="F1140" t="s">
        <v>4727</v>
      </c>
      <c r="G1140" t="s">
        <v>6429</v>
      </c>
      <c r="H1140">
        <v>0</v>
      </c>
      <c r="I1140">
        <v>0</v>
      </c>
    </row>
    <row r="1141" spans="1:9" x14ac:dyDescent="0.3">
      <c r="A1141" t="s">
        <v>4728</v>
      </c>
      <c r="B1141" t="s">
        <v>4729</v>
      </c>
      <c r="C1141" t="s">
        <v>1220</v>
      </c>
      <c r="D1141" t="s">
        <v>1326</v>
      </c>
      <c r="E1141" t="s">
        <v>1287</v>
      </c>
      <c r="F1141" t="s">
        <v>4730</v>
      </c>
      <c r="G1141" t="s">
        <v>6430</v>
      </c>
      <c r="H1141">
        <v>0</v>
      </c>
      <c r="I1141">
        <v>0</v>
      </c>
    </row>
    <row r="1142" spans="1:9" x14ac:dyDescent="0.3">
      <c r="A1142" t="s">
        <v>4731</v>
      </c>
      <c r="B1142" t="s">
        <v>4732</v>
      </c>
      <c r="C1142" t="s">
        <v>1220</v>
      </c>
      <c r="D1142" t="s">
        <v>1326</v>
      </c>
      <c r="E1142" t="s">
        <v>1287</v>
      </c>
      <c r="F1142" t="s">
        <v>4733</v>
      </c>
      <c r="G1142" t="s">
        <v>6431</v>
      </c>
      <c r="H1142" t="s">
        <v>4734</v>
      </c>
      <c r="I1142">
        <v>0</v>
      </c>
    </row>
    <row r="1143" spans="1:9" x14ac:dyDescent="0.3">
      <c r="A1143" t="s">
        <v>4735</v>
      </c>
      <c r="B1143" t="s">
        <v>4736</v>
      </c>
      <c r="C1143" t="s">
        <v>1220</v>
      </c>
      <c r="D1143" t="s">
        <v>1326</v>
      </c>
      <c r="E1143" t="s">
        <v>1287</v>
      </c>
      <c r="F1143" t="s">
        <v>4737</v>
      </c>
      <c r="G1143" t="s">
        <v>6432</v>
      </c>
      <c r="H1143" t="s">
        <v>4734</v>
      </c>
      <c r="I1143">
        <v>0</v>
      </c>
    </row>
    <row r="1144" spans="1:9" x14ac:dyDescent="0.3">
      <c r="A1144" t="s">
        <v>4738</v>
      </c>
      <c r="B1144" t="s">
        <v>4739</v>
      </c>
      <c r="C1144" t="s">
        <v>1220</v>
      </c>
      <c r="D1144" t="s">
        <v>1326</v>
      </c>
      <c r="E1144" t="s">
        <v>1287</v>
      </c>
      <c r="F1144" t="s">
        <v>4740</v>
      </c>
      <c r="G1144" t="s">
        <v>6433</v>
      </c>
      <c r="H1144" t="s">
        <v>4699</v>
      </c>
      <c r="I1144">
        <v>0</v>
      </c>
    </row>
    <row r="1145" spans="1:9" x14ac:dyDescent="0.3">
      <c r="A1145" t="s">
        <v>4741</v>
      </c>
      <c r="B1145" t="s">
        <v>4742</v>
      </c>
      <c r="C1145" t="s">
        <v>1220</v>
      </c>
      <c r="D1145" t="s">
        <v>1326</v>
      </c>
      <c r="E1145" t="s">
        <v>1287</v>
      </c>
      <c r="F1145" t="s">
        <v>4743</v>
      </c>
      <c r="G1145" t="s">
        <v>6434</v>
      </c>
      <c r="H1145" t="s">
        <v>807</v>
      </c>
      <c r="I1145">
        <v>0</v>
      </c>
    </row>
    <row r="1146" spans="1:9" x14ac:dyDescent="0.3">
      <c r="A1146" t="s">
        <v>4744</v>
      </c>
      <c r="B1146" t="s">
        <v>4745</v>
      </c>
      <c r="C1146" t="s">
        <v>4746</v>
      </c>
      <c r="D1146" t="s">
        <v>1599</v>
      </c>
      <c r="E1146" t="s">
        <v>1236</v>
      </c>
      <c r="F1146" t="s">
        <v>4747</v>
      </c>
      <c r="G1146" t="s">
        <v>6435</v>
      </c>
      <c r="H1146">
        <v>0</v>
      </c>
      <c r="I1146">
        <v>0</v>
      </c>
    </row>
    <row r="1147" spans="1:9" x14ac:dyDescent="0.3">
      <c r="A1147" t="s">
        <v>4748</v>
      </c>
      <c r="B1147" t="s">
        <v>4749</v>
      </c>
      <c r="C1147" t="s">
        <v>4746</v>
      </c>
      <c r="D1147" t="s">
        <v>1599</v>
      </c>
      <c r="E1147" t="s">
        <v>1236</v>
      </c>
      <c r="F1147" t="s">
        <v>4750</v>
      </c>
      <c r="G1147" t="s">
        <v>6436</v>
      </c>
      <c r="H1147" t="s">
        <v>4751</v>
      </c>
      <c r="I1147">
        <v>0</v>
      </c>
    </row>
    <row r="1148" spans="1:9" x14ac:dyDescent="0.3">
      <c r="A1148" t="s">
        <v>4752</v>
      </c>
      <c r="B1148" t="s">
        <v>4753</v>
      </c>
      <c r="C1148" t="s">
        <v>4746</v>
      </c>
      <c r="D1148" t="s">
        <v>1599</v>
      </c>
      <c r="E1148" t="s">
        <v>1236</v>
      </c>
      <c r="F1148" t="s">
        <v>4754</v>
      </c>
      <c r="G1148" t="s">
        <v>6437</v>
      </c>
      <c r="H1148">
        <v>0</v>
      </c>
      <c r="I1148">
        <v>0</v>
      </c>
    </row>
    <row r="1149" spans="1:9" x14ac:dyDescent="0.3">
      <c r="A1149" t="s">
        <v>4755</v>
      </c>
      <c r="B1149" t="s">
        <v>4756</v>
      </c>
      <c r="C1149" t="s">
        <v>4746</v>
      </c>
      <c r="D1149" t="s">
        <v>1599</v>
      </c>
      <c r="E1149" t="s">
        <v>1236</v>
      </c>
      <c r="F1149" t="s">
        <v>4757</v>
      </c>
      <c r="G1149" t="s">
        <v>6438</v>
      </c>
      <c r="H1149">
        <v>0</v>
      </c>
      <c r="I1149">
        <v>0</v>
      </c>
    </row>
    <row r="1150" spans="1:9" x14ac:dyDescent="0.3">
      <c r="A1150" t="s">
        <v>4758</v>
      </c>
      <c r="B1150" t="s">
        <v>4759</v>
      </c>
      <c r="C1150" t="s">
        <v>4746</v>
      </c>
      <c r="D1150" t="s">
        <v>1599</v>
      </c>
      <c r="E1150" t="s">
        <v>1236</v>
      </c>
      <c r="F1150" t="s">
        <v>4760</v>
      </c>
      <c r="G1150" t="s">
        <v>6439</v>
      </c>
      <c r="H1150">
        <v>0</v>
      </c>
      <c r="I1150">
        <v>0</v>
      </c>
    </row>
    <row r="1151" spans="1:9" x14ac:dyDescent="0.3">
      <c r="A1151" t="s">
        <v>4761</v>
      </c>
      <c r="B1151" t="s">
        <v>4762</v>
      </c>
      <c r="C1151" t="s">
        <v>4746</v>
      </c>
      <c r="D1151" t="s">
        <v>1599</v>
      </c>
      <c r="E1151" t="s">
        <v>1236</v>
      </c>
      <c r="F1151" t="s">
        <v>4763</v>
      </c>
      <c r="G1151" t="s">
        <v>6440</v>
      </c>
      <c r="H1151" t="s">
        <v>4751</v>
      </c>
      <c r="I1151">
        <v>0</v>
      </c>
    </row>
    <row r="1152" spans="1:9" x14ac:dyDescent="0.3">
      <c r="A1152" t="s">
        <v>4764</v>
      </c>
      <c r="B1152" t="s">
        <v>4765</v>
      </c>
      <c r="C1152" t="s">
        <v>4746</v>
      </c>
      <c r="D1152" t="s">
        <v>1599</v>
      </c>
      <c r="E1152" t="s">
        <v>1236</v>
      </c>
      <c r="F1152" t="s">
        <v>4766</v>
      </c>
      <c r="G1152" t="s">
        <v>6441</v>
      </c>
      <c r="H1152">
        <v>0</v>
      </c>
      <c r="I1152">
        <v>0</v>
      </c>
    </row>
    <row r="1153" spans="1:9" x14ac:dyDescent="0.3">
      <c r="A1153" t="s">
        <v>4767</v>
      </c>
      <c r="B1153" t="s">
        <v>4768</v>
      </c>
      <c r="C1153" t="s">
        <v>4746</v>
      </c>
      <c r="D1153" t="s">
        <v>1599</v>
      </c>
      <c r="E1153" t="s">
        <v>1236</v>
      </c>
      <c r="F1153" t="s">
        <v>4769</v>
      </c>
      <c r="G1153" t="s">
        <v>6442</v>
      </c>
      <c r="H1153">
        <v>0</v>
      </c>
      <c r="I1153">
        <v>0</v>
      </c>
    </row>
    <row r="1154" spans="1:9" x14ac:dyDescent="0.3">
      <c r="A1154" t="s">
        <v>4770</v>
      </c>
      <c r="B1154" t="s">
        <v>4771</v>
      </c>
      <c r="C1154" t="s">
        <v>4746</v>
      </c>
      <c r="D1154" t="s">
        <v>1599</v>
      </c>
      <c r="E1154" t="s">
        <v>1236</v>
      </c>
      <c r="F1154" t="s">
        <v>4772</v>
      </c>
      <c r="G1154" t="s">
        <v>6443</v>
      </c>
      <c r="H1154" t="s">
        <v>4751</v>
      </c>
      <c r="I1154">
        <v>0</v>
      </c>
    </row>
    <row r="1155" spans="1:9" x14ac:dyDescent="0.3">
      <c r="A1155" t="s">
        <v>4773</v>
      </c>
      <c r="B1155" t="s">
        <v>4774</v>
      </c>
      <c r="C1155" t="s">
        <v>4746</v>
      </c>
      <c r="D1155" t="s">
        <v>1599</v>
      </c>
      <c r="E1155" t="s">
        <v>1236</v>
      </c>
      <c r="F1155" t="s">
        <v>4775</v>
      </c>
      <c r="G1155" t="s">
        <v>6444</v>
      </c>
      <c r="H1155">
        <v>0</v>
      </c>
      <c r="I1155">
        <v>0</v>
      </c>
    </row>
    <row r="1156" spans="1:9" x14ac:dyDescent="0.3">
      <c r="A1156" t="s">
        <v>4776</v>
      </c>
      <c r="B1156" t="s">
        <v>4777</v>
      </c>
      <c r="C1156" t="s">
        <v>4746</v>
      </c>
      <c r="D1156" t="s">
        <v>1599</v>
      </c>
      <c r="E1156" t="s">
        <v>1236</v>
      </c>
      <c r="F1156" t="s">
        <v>4778</v>
      </c>
      <c r="G1156" t="s">
        <v>6445</v>
      </c>
      <c r="H1156">
        <v>0</v>
      </c>
      <c r="I1156">
        <v>0</v>
      </c>
    </row>
    <row r="1157" spans="1:9" x14ac:dyDescent="0.3">
      <c r="A1157" t="s">
        <v>4779</v>
      </c>
      <c r="B1157" t="s">
        <v>4780</v>
      </c>
      <c r="C1157" t="s">
        <v>4746</v>
      </c>
      <c r="D1157" t="s">
        <v>1599</v>
      </c>
      <c r="E1157" t="s">
        <v>1236</v>
      </c>
      <c r="F1157" t="s">
        <v>4781</v>
      </c>
      <c r="G1157" t="s">
        <v>6446</v>
      </c>
      <c r="H1157">
        <v>0</v>
      </c>
      <c r="I1157">
        <v>0</v>
      </c>
    </row>
    <row r="1158" spans="1:9" x14ac:dyDescent="0.3">
      <c r="A1158" t="s">
        <v>4782</v>
      </c>
      <c r="B1158" t="s">
        <v>4783</v>
      </c>
      <c r="C1158" t="s">
        <v>4746</v>
      </c>
      <c r="D1158" t="s">
        <v>1599</v>
      </c>
      <c r="E1158" t="s">
        <v>1236</v>
      </c>
      <c r="F1158" t="s">
        <v>4784</v>
      </c>
      <c r="G1158" t="s">
        <v>6447</v>
      </c>
      <c r="H1158">
        <v>0</v>
      </c>
      <c r="I1158">
        <v>0</v>
      </c>
    </row>
    <row r="1159" spans="1:9" x14ac:dyDescent="0.3">
      <c r="A1159" t="s">
        <v>4785</v>
      </c>
      <c r="B1159" t="s">
        <v>4786</v>
      </c>
      <c r="C1159" t="s">
        <v>4746</v>
      </c>
      <c r="D1159" t="s">
        <v>1599</v>
      </c>
      <c r="E1159" t="s">
        <v>1236</v>
      </c>
      <c r="F1159" t="s">
        <v>4787</v>
      </c>
      <c r="G1159" t="s">
        <v>6448</v>
      </c>
      <c r="H1159" t="s">
        <v>4751</v>
      </c>
      <c r="I1159">
        <v>0</v>
      </c>
    </row>
    <row r="1160" spans="1:9" x14ac:dyDescent="0.3">
      <c r="A1160" t="s">
        <v>4788</v>
      </c>
      <c r="B1160" t="s">
        <v>4789</v>
      </c>
      <c r="C1160" t="s">
        <v>4746</v>
      </c>
      <c r="D1160" t="s">
        <v>1599</v>
      </c>
      <c r="E1160" t="s">
        <v>1236</v>
      </c>
      <c r="F1160" t="s">
        <v>4790</v>
      </c>
      <c r="G1160" t="s">
        <v>6449</v>
      </c>
      <c r="H1160">
        <v>0</v>
      </c>
      <c r="I1160">
        <v>0</v>
      </c>
    </row>
    <row r="1161" spans="1:9" x14ac:dyDescent="0.3">
      <c r="A1161" t="s">
        <v>4791</v>
      </c>
      <c r="B1161" t="s">
        <v>4792</v>
      </c>
      <c r="C1161" t="s">
        <v>4746</v>
      </c>
      <c r="D1161" t="s">
        <v>1599</v>
      </c>
      <c r="E1161" t="s">
        <v>1236</v>
      </c>
      <c r="F1161" t="s">
        <v>4790</v>
      </c>
      <c r="G1161" t="s">
        <v>6449</v>
      </c>
      <c r="H1161">
        <v>0</v>
      </c>
      <c r="I1161" t="s">
        <v>4793</v>
      </c>
    </row>
    <row r="1162" spans="1:9" x14ac:dyDescent="0.3">
      <c r="A1162" t="s">
        <v>4794</v>
      </c>
      <c r="B1162" t="s">
        <v>4795</v>
      </c>
      <c r="C1162" t="s">
        <v>4746</v>
      </c>
      <c r="D1162" t="s">
        <v>1599</v>
      </c>
      <c r="E1162" t="s">
        <v>1236</v>
      </c>
      <c r="F1162" t="s">
        <v>4796</v>
      </c>
      <c r="G1162" t="s">
        <v>6450</v>
      </c>
      <c r="H1162">
        <v>0</v>
      </c>
      <c r="I1162">
        <v>0</v>
      </c>
    </row>
    <row r="1163" spans="1:9" x14ac:dyDescent="0.3">
      <c r="A1163" t="s">
        <v>4797</v>
      </c>
      <c r="B1163" t="s">
        <v>4798</v>
      </c>
      <c r="C1163" t="s">
        <v>4746</v>
      </c>
      <c r="D1163" t="s">
        <v>1599</v>
      </c>
      <c r="E1163" t="s">
        <v>1236</v>
      </c>
      <c r="F1163" t="s">
        <v>4799</v>
      </c>
      <c r="G1163" t="s">
        <v>6451</v>
      </c>
      <c r="H1163">
        <v>0</v>
      </c>
      <c r="I1163">
        <v>0</v>
      </c>
    </row>
    <row r="1164" spans="1:9" x14ac:dyDescent="0.3">
      <c r="A1164" t="s">
        <v>4800</v>
      </c>
      <c r="B1164" t="s">
        <v>4801</v>
      </c>
      <c r="C1164" t="s">
        <v>4746</v>
      </c>
      <c r="D1164" t="s">
        <v>1599</v>
      </c>
      <c r="E1164" t="s">
        <v>1236</v>
      </c>
      <c r="F1164" t="s">
        <v>4802</v>
      </c>
      <c r="G1164" t="s">
        <v>6452</v>
      </c>
      <c r="H1164">
        <v>0</v>
      </c>
      <c r="I1164">
        <v>0</v>
      </c>
    </row>
    <row r="1165" spans="1:9" x14ac:dyDescent="0.3">
      <c r="A1165" t="s">
        <v>4803</v>
      </c>
      <c r="B1165" t="s">
        <v>4804</v>
      </c>
      <c r="C1165" t="s">
        <v>4746</v>
      </c>
      <c r="D1165" t="s">
        <v>1599</v>
      </c>
      <c r="E1165" t="s">
        <v>1236</v>
      </c>
      <c r="F1165" t="s">
        <v>4805</v>
      </c>
      <c r="G1165" t="s">
        <v>6453</v>
      </c>
      <c r="H1165">
        <v>0</v>
      </c>
      <c r="I1165">
        <v>0</v>
      </c>
    </row>
    <row r="1166" spans="1:9" x14ac:dyDescent="0.3">
      <c r="A1166" t="s">
        <v>4806</v>
      </c>
      <c r="B1166" t="s">
        <v>4807</v>
      </c>
      <c r="C1166" t="s">
        <v>4746</v>
      </c>
      <c r="D1166" t="s">
        <v>1599</v>
      </c>
      <c r="E1166" t="s">
        <v>1236</v>
      </c>
      <c r="F1166" t="s">
        <v>4808</v>
      </c>
      <c r="G1166" t="s">
        <v>6454</v>
      </c>
      <c r="H1166">
        <v>0</v>
      </c>
      <c r="I1166">
        <v>0</v>
      </c>
    </row>
    <row r="1167" spans="1:9" x14ac:dyDescent="0.3">
      <c r="A1167" t="s">
        <v>4809</v>
      </c>
      <c r="B1167" t="s">
        <v>4810</v>
      </c>
      <c r="C1167" t="s">
        <v>4811</v>
      </c>
      <c r="D1167" t="s">
        <v>2707</v>
      </c>
      <c r="E1167" t="s">
        <v>1236</v>
      </c>
      <c r="F1167" t="s">
        <v>4812</v>
      </c>
      <c r="G1167" t="s">
        <v>6455</v>
      </c>
      <c r="H1167" t="s">
        <v>4813</v>
      </c>
      <c r="I1167">
        <v>0</v>
      </c>
    </row>
    <row r="1168" spans="1:9" x14ac:dyDescent="0.3">
      <c r="A1168" t="s">
        <v>4814</v>
      </c>
      <c r="B1168" t="s">
        <v>4815</v>
      </c>
      <c r="C1168" t="s">
        <v>4811</v>
      </c>
      <c r="D1168" t="s">
        <v>2707</v>
      </c>
      <c r="E1168" t="s">
        <v>1236</v>
      </c>
      <c r="F1168" t="s">
        <v>4816</v>
      </c>
      <c r="G1168" t="s">
        <v>6456</v>
      </c>
      <c r="H1168">
        <v>0</v>
      </c>
      <c r="I1168">
        <v>0</v>
      </c>
    </row>
    <row r="1169" spans="1:9" x14ac:dyDescent="0.3">
      <c r="A1169" t="s">
        <v>4817</v>
      </c>
      <c r="B1169" t="s">
        <v>4818</v>
      </c>
      <c r="C1169" t="s">
        <v>4811</v>
      </c>
      <c r="D1169" t="s">
        <v>2707</v>
      </c>
      <c r="E1169" t="s">
        <v>1236</v>
      </c>
      <c r="F1169" t="s">
        <v>4819</v>
      </c>
      <c r="G1169" t="s">
        <v>6457</v>
      </c>
      <c r="H1169" t="s">
        <v>4820</v>
      </c>
      <c r="I1169">
        <v>0</v>
      </c>
    </row>
    <row r="1170" spans="1:9" x14ac:dyDescent="0.3">
      <c r="A1170" t="s">
        <v>4821</v>
      </c>
      <c r="B1170" t="s">
        <v>4822</v>
      </c>
      <c r="C1170" t="s">
        <v>4811</v>
      </c>
      <c r="D1170" t="s">
        <v>2707</v>
      </c>
      <c r="E1170" t="s">
        <v>1236</v>
      </c>
      <c r="F1170" t="s">
        <v>4823</v>
      </c>
      <c r="G1170" t="s">
        <v>6458</v>
      </c>
      <c r="H1170" t="s">
        <v>836</v>
      </c>
      <c r="I1170">
        <v>0</v>
      </c>
    </row>
    <row r="1171" spans="1:9" x14ac:dyDescent="0.3">
      <c r="A1171" t="s">
        <v>4824</v>
      </c>
      <c r="B1171" t="s">
        <v>4825</v>
      </c>
      <c r="C1171" t="s">
        <v>4811</v>
      </c>
      <c r="D1171" t="s">
        <v>2707</v>
      </c>
      <c r="E1171" t="s">
        <v>1236</v>
      </c>
      <c r="F1171" t="s">
        <v>4826</v>
      </c>
      <c r="G1171" t="s">
        <v>6459</v>
      </c>
      <c r="H1171" t="s">
        <v>4820</v>
      </c>
      <c r="I1171">
        <v>0</v>
      </c>
    </row>
    <row r="1172" spans="1:9" x14ac:dyDescent="0.3">
      <c r="A1172" t="s">
        <v>4827</v>
      </c>
      <c r="B1172" t="s">
        <v>4828</v>
      </c>
      <c r="C1172" t="s">
        <v>4811</v>
      </c>
      <c r="D1172" t="s">
        <v>2707</v>
      </c>
      <c r="E1172" t="s">
        <v>1236</v>
      </c>
      <c r="F1172" t="s">
        <v>4829</v>
      </c>
      <c r="G1172" t="s">
        <v>6460</v>
      </c>
      <c r="H1172" t="s">
        <v>836</v>
      </c>
      <c r="I1172">
        <v>0</v>
      </c>
    </row>
    <row r="1173" spans="1:9" x14ac:dyDescent="0.3">
      <c r="A1173" t="s">
        <v>4830</v>
      </c>
      <c r="B1173" t="s">
        <v>4831</v>
      </c>
      <c r="C1173" t="s">
        <v>4811</v>
      </c>
      <c r="D1173" t="s">
        <v>2707</v>
      </c>
      <c r="E1173" t="s">
        <v>1236</v>
      </c>
      <c r="F1173" t="s">
        <v>4832</v>
      </c>
      <c r="G1173" t="s">
        <v>6461</v>
      </c>
      <c r="H1173" t="s">
        <v>832</v>
      </c>
      <c r="I1173">
        <v>0</v>
      </c>
    </row>
    <row r="1174" spans="1:9" x14ac:dyDescent="0.3">
      <c r="A1174" t="s">
        <v>4833</v>
      </c>
      <c r="B1174" t="s">
        <v>4834</v>
      </c>
      <c r="C1174" t="s">
        <v>4811</v>
      </c>
      <c r="D1174" t="s">
        <v>2707</v>
      </c>
      <c r="E1174" t="s">
        <v>1236</v>
      </c>
      <c r="F1174" t="s">
        <v>4835</v>
      </c>
      <c r="G1174" t="s">
        <v>6462</v>
      </c>
      <c r="H1174" t="s">
        <v>832</v>
      </c>
      <c r="I1174">
        <v>0</v>
      </c>
    </row>
    <row r="1175" spans="1:9" x14ac:dyDescent="0.3">
      <c r="A1175" t="s">
        <v>4836</v>
      </c>
      <c r="B1175" t="s">
        <v>4837</v>
      </c>
      <c r="C1175" t="s">
        <v>4811</v>
      </c>
      <c r="D1175" t="s">
        <v>2707</v>
      </c>
      <c r="E1175" t="s">
        <v>1236</v>
      </c>
      <c r="F1175" t="s">
        <v>4838</v>
      </c>
      <c r="G1175" t="s">
        <v>6463</v>
      </c>
      <c r="H1175" t="s">
        <v>4813</v>
      </c>
      <c r="I1175">
        <v>0</v>
      </c>
    </row>
    <row r="1176" spans="1:9" x14ac:dyDescent="0.3">
      <c r="A1176" t="s">
        <v>4839</v>
      </c>
      <c r="B1176" t="s">
        <v>4840</v>
      </c>
      <c r="C1176" t="s">
        <v>4811</v>
      </c>
      <c r="D1176" t="s">
        <v>2707</v>
      </c>
      <c r="E1176" t="s">
        <v>1236</v>
      </c>
      <c r="F1176" t="s">
        <v>4841</v>
      </c>
      <c r="G1176" t="s">
        <v>6464</v>
      </c>
      <c r="H1176" t="s">
        <v>4813</v>
      </c>
      <c r="I1176">
        <v>0</v>
      </c>
    </row>
    <row r="1177" spans="1:9" x14ac:dyDescent="0.3">
      <c r="A1177" t="s">
        <v>4842</v>
      </c>
      <c r="B1177" t="s">
        <v>4843</v>
      </c>
      <c r="C1177" t="s">
        <v>4811</v>
      </c>
      <c r="D1177" t="s">
        <v>2707</v>
      </c>
      <c r="E1177" t="s">
        <v>1236</v>
      </c>
      <c r="F1177" t="s">
        <v>4844</v>
      </c>
      <c r="G1177" t="s">
        <v>6465</v>
      </c>
      <c r="H1177" t="s">
        <v>4813</v>
      </c>
      <c r="I1177">
        <v>0</v>
      </c>
    </row>
    <row r="1178" spans="1:9" x14ac:dyDescent="0.3">
      <c r="A1178" t="s">
        <v>4845</v>
      </c>
      <c r="B1178" t="s">
        <v>4846</v>
      </c>
      <c r="C1178" t="s">
        <v>4811</v>
      </c>
      <c r="D1178" t="s">
        <v>2707</v>
      </c>
      <c r="E1178" t="s">
        <v>1236</v>
      </c>
      <c r="F1178" t="s">
        <v>4847</v>
      </c>
      <c r="G1178" t="s">
        <v>6466</v>
      </c>
      <c r="H1178" t="s">
        <v>4813</v>
      </c>
      <c r="I1178">
        <v>0</v>
      </c>
    </row>
    <row r="1179" spans="1:9" x14ac:dyDescent="0.3">
      <c r="A1179" t="s">
        <v>4848</v>
      </c>
      <c r="B1179" t="s">
        <v>4849</v>
      </c>
      <c r="C1179" t="s">
        <v>4811</v>
      </c>
      <c r="D1179" t="s">
        <v>2707</v>
      </c>
      <c r="E1179" t="s">
        <v>1236</v>
      </c>
      <c r="F1179" t="s">
        <v>4850</v>
      </c>
      <c r="G1179" t="s">
        <v>6467</v>
      </c>
      <c r="H1179" t="s">
        <v>836</v>
      </c>
      <c r="I1179">
        <v>0</v>
      </c>
    </row>
    <row r="1180" spans="1:9" x14ac:dyDescent="0.3">
      <c r="A1180" t="s">
        <v>4851</v>
      </c>
      <c r="B1180" t="s">
        <v>4852</v>
      </c>
      <c r="C1180" t="s">
        <v>4811</v>
      </c>
      <c r="D1180" t="s">
        <v>2707</v>
      </c>
      <c r="E1180" t="s">
        <v>1236</v>
      </c>
      <c r="F1180" t="s">
        <v>4853</v>
      </c>
      <c r="G1180" t="s">
        <v>6468</v>
      </c>
      <c r="H1180" t="s">
        <v>836</v>
      </c>
      <c r="I1180">
        <v>0</v>
      </c>
    </row>
    <row r="1181" spans="1:9" x14ac:dyDescent="0.3">
      <c r="A1181" t="s">
        <v>4854</v>
      </c>
      <c r="B1181" t="s">
        <v>4855</v>
      </c>
      <c r="C1181" t="s">
        <v>2707</v>
      </c>
      <c r="D1181" t="s">
        <v>2707</v>
      </c>
      <c r="E1181" t="s">
        <v>1236</v>
      </c>
      <c r="F1181" t="s">
        <v>4856</v>
      </c>
      <c r="G1181" t="s">
        <v>6469</v>
      </c>
      <c r="H1181">
        <v>0</v>
      </c>
      <c r="I1181" t="s">
        <v>4857</v>
      </c>
    </row>
    <row r="1182" spans="1:9" x14ac:dyDescent="0.3">
      <c r="A1182" t="s">
        <v>4858</v>
      </c>
      <c r="B1182" t="s">
        <v>4859</v>
      </c>
      <c r="C1182" t="s">
        <v>2707</v>
      </c>
      <c r="D1182" t="s">
        <v>2707</v>
      </c>
      <c r="E1182" t="s">
        <v>1236</v>
      </c>
      <c r="F1182" t="s">
        <v>4860</v>
      </c>
      <c r="G1182" t="s">
        <v>6470</v>
      </c>
      <c r="H1182">
        <v>0</v>
      </c>
      <c r="I1182" t="s">
        <v>4861</v>
      </c>
    </row>
    <row r="1183" spans="1:9" x14ac:dyDescent="0.3">
      <c r="A1183" t="s">
        <v>4862</v>
      </c>
      <c r="B1183" t="s">
        <v>4863</v>
      </c>
      <c r="C1183" t="s">
        <v>2707</v>
      </c>
      <c r="D1183" t="s">
        <v>2707</v>
      </c>
      <c r="E1183" t="s">
        <v>1236</v>
      </c>
      <c r="F1183" t="s">
        <v>4864</v>
      </c>
      <c r="G1183" t="s">
        <v>6471</v>
      </c>
      <c r="H1183">
        <v>0</v>
      </c>
      <c r="I1183" t="s">
        <v>4865</v>
      </c>
    </row>
    <row r="1184" spans="1:9" x14ac:dyDescent="0.3">
      <c r="A1184" t="s">
        <v>4866</v>
      </c>
      <c r="B1184" t="s">
        <v>4867</v>
      </c>
      <c r="C1184" t="s">
        <v>2707</v>
      </c>
      <c r="D1184" t="s">
        <v>2707</v>
      </c>
      <c r="E1184" t="s">
        <v>1236</v>
      </c>
      <c r="F1184" t="s">
        <v>4868</v>
      </c>
      <c r="G1184" t="s">
        <v>6472</v>
      </c>
      <c r="H1184">
        <v>0</v>
      </c>
      <c r="I1184">
        <v>0</v>
      </c>
    </row>
    <row r="1185" spans="1:9" x14ac:dyDescent="0.3">
      <c r="A1185" t="s">
        <v>4869</v>
      </c>
      <c r="B1185" t="s">
        <v>4870</v>
      </c>
      <c r="C1185" t="s">
        <v>2707</v>
      </c>
      <c r="D1185" t="s">
        <v>2707</v>
      </c>
      <c r="E1185" t="s">
        <v>1236</v>
      </c>
      <c r="F1185" t="s">
        <v>4860</v>
      </c>
      <c r="G1185" t="s">
        <v>6470</v>
      </c>
      <c r="H1185">
        <v>0</v>
      </c>
      <c r="I1185" t="s">
        <v>4871</v>
      </c>
    </row>
    <row r="1186" spans="1:9" x14ac:dyDescent="0.3">
      <c r="A1186" t="s">
        <v>4872</v>
      </c>
      <c r="B1186" t="s">
        <v>4873</v>
      </c>
      <c r="C1186" t="s">
        <v>2707</v>
      </c>
      <c r="D1186" t="s">
        <v>2707</v>
      </c>
      <c r="E1186" t="s">
        <v>1236</v>
      </c>
      <c r="F1186" t="s">
        <v>4856</v>
      </c>
      <c r="G1186" t="s">
        <v>6469</v>
      </c>
      <c r="H1186">
        <v>0</v>
      </c>
      <c r="I1186" t="s">
        <v>4857</v>
      </c>
    </row>
    <row r="1187" spans="1:9" x14ac:dyDescent="0.3">
      <c r="A1187" t="s">
        <v>4874</v>
      </c>
      <c r="B1187" t="s">
        <v>4875</v>
      </c>
      <c r="C1187" t="s">
        <v>2707</v>
      </c>
      <c r="D1187" t="s">
        <v>2707</v>
      </c>
      <c r="E1187" t="s">
        <v>1236</v>
      </c>
      <c r="F1187" t="s">
        <v>4864</v>
      </c>
      <c r="G1187" t="s">
        <v>6471</v>
      </c>
      <c r="H1187">
        <v>0</v>
      </c>
      <c r="I1187" t="s">
        <v>4876</v>
      </c>
    </row>
    <row r="1188" spans="1:9" x14ac:dyDescent="0.3">
      <c r="A1188" t="s">
        <v>4877</v>
      </c>
      <c r="B1188" t="s">
        <v>4878</v>
      </c>
      <c r="C1188" t="s">
        <v>2707</v>
      </c>
      <c r="D1188" t="s">
        <v>2707</v>
      </c>
      <c r="E1188" t="s">
        <v>1236</v>
      </c>
      <c r="F1188" t="s">
        <v>4879</v>
      </c>
      <c r="G1188" t="s">
        <v>6473</v>
      </c>
      <c r="H1188">
        <v>0</v>
      </c>
      <c r="I1188">
        <v>0</v>
      </c>
    </row>
    <row r="1189" spans="1:9" x14ac:dyDescent="0.3">
      <c r="A1189" t="s">
        <v>4880</v>
      </c>
      <c r="B1189" t="s">
        <v>4881</v>
      </c>
      <c r="C1189" t="s">
        <v>2707</v>
      </c>
      <c r="D1189" t="s">
        <v>2707</v>
      </c>
      <c r="E1189" t="s">
        <v>1236</v>
      </c>
      <c r="F1189" t="s">
        <v>4882</v>
      </c>
      <c r="G1189" t="s">
        <v>6474</v>
      </c>
      <c r="H1189">
        <v>0</v>
      </c>
      <c r="I1189">
        <v>0</v>
      </c>
    </row>
    <row r="1190" spans="1:9" x14ac:dyDescent="0.3">
      <c r="A1190" t="s">
        <v>4883</v>
      </c>
      <c r="B1190" t="s">
        <v>4884</v>
      </c>
      <c r="C1190" t="s">
        <v>2707</v>
      </c>
      <c r="D1190" t="s">
        <v>2707</v>
      </c>
      <c r="E1190" t="s">
        <v>1236</v>
      </c>
      <c r="F1190" t="s">
        <v>4860</v>
      </c>
      <c r="G1190" t="s">
        <v>6470</v>
      </c>
      <c r="H1190">
        <v>0</v>
      </c>
      <c r="I1190">
        <v>0</v>
      </c>
    </row>
    <row r="1191" spans="1:9" x14ac:dyDescent="0.3">
      <c r="A1191" t="s">
        <v>4885</v>
      </c>
      <c r="B1191" t="s">
        <v>4886</v>
      </c>
      <c r="C1191" t="s">
        <v>2707</v>
      </c>
      <c r="D1191" t="s">
        <v>2707</v>
      </c>
      <c r="E1191" t="s">
        <v>1236</v>
      </c>
      <c r="F1191" t="s">
        <v>4887</v>
      </c>
      <c r="G1191" t="s">
        <v>6475</v>
      </c>
      <c r="H1191">
        <v>0</v>
      </c>
      <c r="I1191">
        <v>0</v>
      </c>
    </row>
    <row r="1192" spans="1:9" x14ac:dyDescent="0.3">
      <c r="A1192" t="s">
        <v>4888</v>
      </c>
      <c r="B1192" t="s">
        <v>4889</v>
      </c>
      <c r="C1192" t="s">
        <v>2707</v>
      </c>
      <c r="D1192" t="s">
        <v>2707</v>
      </c>
      <c r="E1192" t="s">
        <v>1236</v>
      </c>
      <c r="F1192" t="s">
        <v>4890</v>
      </c>
      <c r="G1192" t="s">
        <v>6476</v>
      </c>
      <c r="H1192">
        <v>0</v>
      </c>
      <c r="I1192">
        <v>0</v>
      </c>
    </row>
    <row r="1193" spans="1:9" x14ac:dyDescent="0.3">
      <c r="A1193" t="s">
        <v>4891</v>
      </c>
      <c r="B1193" t="s">
        <v>4892</v>
      </c>
      <c r="C1193" t="s">
        <v>2707</v>
      </c>
      <c r="D1193" t="s">
        <v>2707</v>
      </c>
      <c r="E1193" t="s">
        <v>1236</v>
      </c>
      <c r="F1193" t="s">
        <v>4893</v>
      </c>
      <c r="G1193" t="s">
        <v>6477</v>
      </c>
      <c r="H1193">
        <v>0</v>
      </c>
      <c r="I1193">
        <v>0</v>
      </c>
    </row>
    <row r="1194" spans="1:9" x14ac:dyDescent="0.3">
      <c r="A1194" t="s">
        <v>4894</v>
      </c>
      <c r="B1194" t="s">
        <v>4895</v>
      </c>
      <c r="C1194" t="s">
        <v>2707</v>
      </c>
      <c r="D1194" t="s">
        <v>2707</v>
      </c>
      <c r="E1194" t="s">
        <v>1236</v>
      </c>
      <c r="F1194" t="s">
        <v>4893</v>
      </c>
      <c r="G1194" t="s">
        <v>6477</v>
      </c>
      <c r="H1194">
        <v>0</v>
      </c>
      <c r="I1194">
        <v>0</v>
      </c>
    </row>
    <row r="1195" spans="1:9" x14ac:dyDescent="0.3">
      <c r="A1195" t="s">
        <v>4896</v>
      </c>
      <c r="B1195" t="s">
        <v>4897</v>
      </c>
      <c r="C1195" t="s">
        <v>2707</v>
      </c>
      <c r="D1195" t="s">
        <v>2707</v>
      </c>
      <c r="E1195" t="s">
        <v>1236</v>
      </c>
      <c r="F1195" t="s">
        <v>4860</v>
      </c>
      <c r="G1195" t="s">
        <v>6470</v>
      </c>
      <c r="H1195">
        <v>0</v>
      </c>
      <c r="I1195" t="s">
        <v>4876</v>
      </c>
    </row>
    <row r="1196" spans="1:9" x14ac:dyDescent="0.3">
      <c r="A1196" t="s">
        <v>4898</v>
      </c>
      <c r="B1196" t="s">
        <v>4899</v>
      </c>
      <c r="C1196" t="s">
        <v>2707</v>
      </c>
      <c r="D1196" t="s">
        <v>2707</v>
      </c>
      <c r="E1196" t="s">
        <v>1236</v>
      </c>
      <c r="F1196" t="s">
        <v>4893</v>
      </c>
      <c r="G1196" t="s">
        <v>6477</v>
      </c>
      <c r="H1196">
        <v>0</v>
      </c>
      <c r="I1196">
        <v>0</v>
      </c>
    </row>
    <row r="1197" spans="1:9" x14ac:dyDescent="0.3">
      <c r="A1197" t="s">
        <v>4900</v>
      </c>
      <c r="B1197" t="s">
        <v>4901</v>
      </c>
      <c r="C1197" t="s">
        <v>2707</v>
      </c>
      <c r="D1197" t="s">
        <v>2707</v>
      </c>
      <c r="E1197" t="s">
        <v>1236</v>
      </c>
      <c r="F1197" t="s">
        <v>4902</v>
      </c>
      <c r="G1197" t="s">
        <v>6478</v>
      </c>
      <c r="H1197">
        <v>0</v>
      </c>
      <c r="I1197" t="s">
        <v>4903</v>
      </c>
    </row>
    <row r="1198" spans="1:9" x14ac:dyDescent="0.3">
      <c r="A1198" t="s">
        <v>4904</v>
      </c>
      <c r="B1198" t="s">
        <v>4905</v>
      </c>
      <c r="C1198" t="s">
        <v>2707</v>
      </c>
      <c r="D1198" t="s">
        <v>2707</v>
      </c>
      <c r="E1198" t="s">
        <v>1236</v>
      </c>
      <c r="F1198" t="s">
        <v>4906</v>
      </c>
      <c r="G1198" t="s">
        <v>6479</v>
      </c>
      <c r="H1198">
        <v>0</v>
      </c>
      <c r="I1198">
        <v>0</v>
      </c>
    </row>
    <row r="1199" spans="1:9" x14ac:dyDescent="0.3">
      <c r="A1199" t="s">
        <v>4907</v>
      </c>
      <c r="B1199" t="s">
        <v>4908</v>
      </c>
      <c r="C1199" t="s">
        <v>2707</v>
      </c>
      <c r="D1199" t="s">
        <v>2707</v>
      </c>
      <c r="E1199" t="s">
        <v>1236</v>
      </c>
      <c r="F1199" t="s">
        <v>4909</v>
      </c>
      <c r="G1199" t="s">
        <v>6480</v>
      </c>
      <c r="H1199">
        <v>0</v>
      </c>
      <c r="I1199">
        <v>0</v>
      </c>
    </row>
    <row r="1200" spans="1:9" x14ac:dyDescent="0.3">
      <c r="A1200" t="s">
        <v>4910</v>
      </c>
      <c r="B1200" t="s">
        <v>4911</v>
      </c>
      <c r="C1200" t="s">
        <v>2707</v>
      </c>
      <c r="D1200" t="s">
        <v>2707</v>
      </c>
      <c r="E1200" t="s">
        <v>1236</v>
      </c>
      <c r="F1200" t="s">
        <v>4864</v>
      </c>
      <c r="G1200" t="s">
        <v>6471</v>
      </c>
      <c r="H1200">
        <v>0</v>
      </c>
      <c r="I1200">
        <v>0</v>
      </c>
    </row>
    <row r="1201" spans="1:9" x14ac:dyDescent="0.3">
      <c r="A1201" t="s">
        <v>4912</v>
      </c>
      <c r="B1201" t="s">
        <v>4913</v>
      </c>
      <c r="C1201" t="s">
        <v>2707</v>
      </c>
      <c r="D1201" t="s">
        <v>2707</v>
      </c>
      <c r="E1201" t="s">
        <v>1236</v>
      </c>
      <c r="F1201" t="s">
        <v>4914</v>
      </c>
      <c r="G1201" t="s">
        <v>6481</v>
      </c>
      <c r="H1201">
        <v>0</v>
      </c>
      <c r="I1201">
        <v>0</v>
      </c>
    </row>
    <row r="1202" spans="1:9" x14ac:dyDescent="0.3">
      <c r="A1202" t="s">
        <v>4915</v>
      </c>
      <c r="B1202" t="s">
        <v>4916</v>
      </c>
      <c r="C1202" t="s">
        <v>2707</v>
      </c>
      <c r="D1202" t="s">
        <v>2707</v>
      </c>
      <c r="E1202" t="s">
        <v>1236</v>
      </c>
      <c r="F1202" t="s">
        <v>4882</v>
      </c>
      <c r="G1202" t="s">
        <v>6474</v>
      </c>
      <c r="H1202">
        <v>0</v>
      </c>
      <c r="I1202">
        <v>0</v>
      </c>
    </row>
    <row r="1203" spans="1:9" x14ac:dyDescent="0.3">
      <c r="A1203" t="s">
        <v>4917</v>
      </c>
      <c r="B1203" t="s">
        <v>4918</v>
      </c>
      <c r="C1203" t="s">
        <v>2707</v>
      </c>
      <c r="D1203" t="s">
        <v>2707</v>
      </c>
      <c r="E1203" t="s">
        <v>1236</v>
      </c>
      <c r="F1203" t="s">
        <v>4914</v>
      </c>
      <c r="G1203" t="s">
        <v>6481</v>
      </c>
      <c r="H1203">
        <v>0</v>
      </c>
      <c r="I1203" t="s">
        <v>4919</v>
      </c>
    </row>
    <row r="1204" spans="1:9" x14ac:dyDescent="0.3">
      <c r="A1204" t="s">
        <v>4920</v>
      </c>
      <c r="B1204" t="s">
        <v>4921</v>
      </c>
      <c r="C1204" t="s">
        <v>2707</v>
      </c>
      <c r="D1204" t="s">
        <v>2707</v>
      </c>
      <c r="E1204" t="s">
        <v>1236</v>
      </c>
      <c r="F1204" t="s">
        <v>4864</v>
      </c>
      <c r="G1204" t="s">
        <v>6471</v>
      </c>
      <c r="H1204">
        <v>0</v>
      </c>
      <c r="I1204">
        <v>0</v>
      </c>
    </row>
    <row r="1205" spans="1:9" x14ac:dyDescent="0.3">
      <c r="A1205" t="s">
        <v>4922</v>
      </c>
      <c r="B1205" t="s">
        <v>4923</v>
      </c>
      <c r="C1205" t="s">
        <v>2707</v>
      </c>
      <c r="D1205" t="s">
        <v>2707</v>
      </c>
      <c r="E1205" t="s">
        <v>1236</v>
      </c>
      <c r="F1205" t="s">
        <v>4914</v>
      </c>
      <c r="G1205" t="s">
        <v>6481</v>
      </c>
      <c r="H1205">
        <v>0</v>
      </c>
      <c r="I1205">
        <v>0</v>
      </c>
    </row>
    <row r="1206" spans="1:9" x14ac:dyDescent="0.3">
      <c r="A1206" t="s">
        <v>4924</v>
      </c>
      <c r="B1206" t="s">
        <v>4925</v>
      </c>
      <c r="C1206" t="s">
        <v>2707</v>
      </c>
      <c r="D1206" t="s">
        <v>2707</v>
      </c>
      <c r="E1206" t="s">
        <v>1236</v>
      </c>
      <c r="F1206" t="s">
        <v>4882</v>
      </c>
      <c r="G1206" t="s">
        <v>6474</v>
      </c>
      <c r="H1206">
        <v>0</v>
      </c>
      <c r="I1206" t="s">
        <v>4865</v>
      </c>
    </row>
    <row r="1207" spans="1:9" x14ac:dyDescent="0.3">
      <c r="A1207" t="s">
        <v>4926</v>
      </c>
      <c r="B1207" t="s">
        <v>4927</v>
      </c>
      <c r="C1207" t="s">
        <v>2707</v>
      </c>
      <c r="D1207" t="s">
        <v>2707</v>
      </c>
      <c r="E1207" t="s">
        <v>1236</v>
      </c>
      <c r="F1207" t="s">
        <v>4864</v>
      </c>
      <c r="G1207" t="s">
        <v>6471</v>
      </c>
      <c r="H1207">
        <v>0</v>
      </c>
      <c r="I1207">
        <v>0</v>
      </c>
    </row>
    <row r="1208" spans="1:9" x14ac:dyDescent="0.3">
      <c r="A1208" t="s">
        <v>4928</v>
      </c>
      <c r="B1208" t="s">
        <v>4929</v>
      </c>
      <c r="C1208" t="s">
        <v>4930</v>
      </c>
      <c r="D1208" t="s">
        <v>1326</v>
      </c>
      <c r="E1208" t="s">
        <v>1287</v>
      </c>
      <c r="F1208" t="s">
        <v>4931</v>
      </c>
      <c r="G1208" t="s">
        <v>6482</v>
      </c>
      <c r="H1208">
        <v>0</v>
      </c>
      <c r="I1208">
        <v>0</v>
      </c>
    </row>
    <row r="1209" spans="1:9" x14ac:dyDescent="0.3">
      <c r="A1209" t="s">
        <v>4932</v>
      </c>
      <c r="B1209" t="s">
        <v>4933</v>
      </c>
      <c r="C1209" t="s">
        <v>4930</v>
      </c>
      <c r="D1209" t="s">
        <v>1326</v>
      </c>
      <c r="E1209" t="s">
        <v>1287</v>
      </c>
      <c r="F1209" t="s">
        <v>4934</v>
      </c>
      <c r="G1209" t="s">
        <v>6483</v>
      </c>
      <c r="H1209">
        <v>0</v>
      </c>
      <c r="I1209">
        <v>0</v>
      </c>
    </row>
    <row r="1210" spans="1:9" x14ac:dyDescent="0.3">
      <c r="A1210" t="s">
        <v>4935</v>
      </c>
      <c r="B1210" t="s">
        <v>4936</v>
      </c>
      <c r="C1210" t="s">
        <v>4930</v>
      </c>
      <c r="D1210" t="s">
        <v>1326</v>
      </c>
      <c r="E1210" t="s">
        <v>1287</v>
      </c>
      <c r="F1210" t="s">
        <v>4937</v>
      </c>
      <c r="G1210" t="s">
        <v>6484</v>
      </c>
      <c r="H1210">
        <v>0</v>
      </c>
      <c r="I1210">
        <v>0</v>
      </c>
    </row>
    <row r="1211" spans="1:9" x14ac:dyDescent="0.3">
      <c r="A1211" t="s">
        <v>4938</v>
      </c>
      <c r="B1211" t="s">
        <v>4939</v>
      </c>
      <c r="C1211" t="s">
        <v>4930</v>
      </c>
      <c r="D1211" t="s">
        <v>1326</v>
      </c>
      <c r="E1211" t="s">
        <v>1287</v>
      </c>
      <c r="F1211" t="s">
        <v>4940</v>
      </c>
      <c r="G1211" t="s">
        <v>6485</v>
      </c>
      <c r="H1211">
        <v>0</v>
      </c>
      <c r="I1211">
        <v>0</v>
      </c>
    </row>
    <row r="1212" spans="1:9" x14ac:dyDescent="0.3">
      <c r="A1212" t="s">
        <v>4941</v>
      </c>
      <c r="B1212" t="s">
        <v>4942</v>
      </c>
      <c r="C1212" t="s">
        <v>4930</v>
      </c>
      <c r="D1212" t="s">
        <v>1326</v>
      </c>
      <c r="E1212" t="s">
        <v>1287</v>
      </c>
      <c r="F1212" t="s">
        <v>4943</v>
      </c>
      <c r="G1212" t="s">
        <v>6486</v>
      </c>
      <c r="H1212">
        <v>0</v>
      </c>
      <c r="I1212">
        <v>0</v>
      </c>
    </row>
    <row r="1213" spans="1:9" x14ac:dyDescent="0.3">
      <c r="A1213" t="s">
        <v>4944</v>
      </c>
      <c r="B1213" t="s">
        <v>4945</v>
      </c>
      <c r="C1213" t="s">
        <v>4930</v>
      </c>
      <c r="D1213" t="s">
        <v>1326</v>
      </c>
      <c r="E1213" t="s">
        <v>1287</v>
      </c>
      <c r="F1213" t="s">
        <v>4946</v>
      </c>
      <c r="G1213" t="s">
        <v>6487</v>
      </c>
      <c r="H1213">
        <v>0</v>
      </c>
      <c r="I1213">
        <v>0</v>
      </c>
    </row>
    <row r="1214" spans="1:9" x14ac:dyDescent="0.3">
      <c r="A1214" t="s">
        <v>4947</v>
      </c>
      <c r="B1214" t="s">
        <v>4948</v>
      </c>
      <c r="C1214" t="s">
        <v>4930</v>
      </c>
      <c r="D1214" t="s">
        <v>1326</v>
      </c>
      <c r="E1214" t="s">
        <v>1287</v>
      </c>
      <c r="F1214" t="s">
        <v>4949</v>
      </c>
      <c r="G1214" t="s">
        <v>6488</v>
      </c>
      <c r="H1214">
        <v>0</v>
      </c>
      <c r="I1214">
        <v>0</v>
      </c>
    </row>
    <row r="1215" spans="1:9" x14ac:dyDescent="0.3">
      <c r="A1215" t="s">
        <v>4950</v>
      </c>
      <c r="B1215" t="s">
        <v>4951</v>
      </c>
      <c r="C1215" t="s">
        <v>4930</v>
      </c>
      <c r="D1215" t="s">
        <v>1326</v>
      </c>
      <c r="E1215" t="s">
        <v>1287</v>
      </c>
      <c r="F1215" t="s">
        <v>4952</v>
      </c>
      <c r="G1215" t="s">
        <v>6489</v>
      </c>
      <c r="H1215">
        <v>0</v>
      </c>
      <c r="I1215">
        <v>0</v>
      </c>
    </row>
    <row r="1216" spans="1:9" x14ac:dyDescent="0.3">
      <c r="A1216" t="s">
        <v>4953</v>
      </c>
      <c r="B1216" t="s">
        <v>4954</v>
      </c>
      <c r="C1216" t="s">
        <v>4930</v>
      </c>
      <c r="D1216" t="s">
        <v>1326</v>
      </c>
      <c r="E1216" t="s">
        <v>1287</v>
      </c>
      <c r="F1216" t="s">
        <v>4955</v>
      </c>
      <c r="G1216" t="s">
        <v>6490</v>
      </c>
      <c r="H1216">
        <v>0</v>
      </c>
      <c r="I1216">
        <v>0</v>
      </c>
    </row>
    <row r="1217" spans="1:9" x14ac:dyDescent="0.3">
      <c r="A1217" t="s">
        <v>4956</v>
      </c>
      <c r="B1217" t="s">
        <v>4957</v>
      </c>
      <c r="C1217" t="s">
        <v>4930</v>
      </c>
      <c r="D1217" t="s">
        <v>1326</v>
      </c>
      <c r="E1217" t="s">
        <v>1287</v>
      </c>
      <c r="F1217" t="s">
        <v>4958</v>
      </c>
      <c r="G1217" t="s">
        <v>6491</v>
      </c>
      <c r="H1217">
        <v>0</v>
      </c>
      <c r="I1217">
        <v>0</v>
      </c>
    </row>
    <row r="1218" spans="1:9" x14ac:dyDescent="0.3">
      <c r="A1218" t="s">
        <v>4959</v>
      </c>
      <c r="B1218" t="s">
        <v>4960</v>
      </c>
      <c r="C1218" t="s">
        <v>4930</v>
      </c>
      <c r="D1218" t="s">
        <v>1326</v>
      </c>
      <c r="E1218" t="s">
        <v>1287</v>
      </c>
      <c r="F1218" t="s">
        <v>4961</v>
      </c>
      <c r="G1218" t="s">
        <v>6492</v>
      </c>
      <c r="H1218">
        <v>0</v>
      </c>
      <c r="I1218">
        <v>0</v>
      </c>
    </row>
    <row r="1219" spans="1:9" x14ac:dyDescent="0.3">
      <c r="A1219" t="s">
        <v>4962</v>
      </c>
      <c r="B1219" t="s">
        <v>4963</v>
      </c>
      <c r="C1219" t="s">
        <v>4930</v>
      </c>
      <c r="D1219" t="s">
        <v>1326</v>
      </c>
      <c r="E1219" t="s">
        <v>1287</v>
      </c>
      <c r="F1219" t="s">
        <v>4964</v>
      </c>
      <c r="G1219" t="s">
        <v>6493</v>
      </c>
      <c r="H1219">
        <v>0</v>
      </c>
      <c r="I1219">
        <v>0</v>
      </c>
    </row>
    <row r="1220" spans="1:9" x14ac:dyDescent="0.3">
      <c r="A1220" t="s">
        <v>4965</v>
      </c>
      <c r="B1220" t="s">
        <v>4966</v>
      </c>
      <c r="C1220" t="s">
        <v>4930</v>
      </c>
      <c r="D1220" t="s">
        <v>1326</v>
      </c>
      <c r="E1220" t="s">
        <v>1287</v>
      </c>
      <c r="F1220" t="s">
        <v>4967</v>
      </c>
      <c r="G1220" t="s">
        <v>6494</v>
      </c>
      <c r="H1220">
        <v>0</v>
      </c>
      <c r="I1220">
        <v>0</v>
      </c>
    </row>
    <row r="1221" spans="1:9" x14ac:dyDescent="0.3">
      <c r="A1221" t="s">
        <v>4968</v>
      </c>
      <c r="B1221" t="s">
        <v>4969</v>
      </c>
      <c r="C1221" t="s">
        <v>4930</v>
      </c>
      <c r="D1221" t="s">
        <v>1326</v>
      </c>
      <c r="E1221" t="s">
        <v>1287</v>
      </c>
      <c r="F1221" t="s">
        <v>4970</v>
      </c>
      <c r="G1221" t="s">
        <v>6495</v>
      </c>
      <c r="H1221">
        <v>0</v>
      </c>
      <c r="I1221">
        <v>0</v>
      </c>
    </row>
    <row r="1222" spans="1:9" x14ac:dyDescent="0.3">
      <c r="A1222" t="s">
        <v>4971</v>
      </c>
      <c r="B1222" t="s">
        <v>4972</v>
      </c>
      <c r="C1222" t="s">
        <v>4930</v>
      </c>
      <c r="D1222" t="s">
        <v>1326</v>
      </c>
      <c r="E1222" t="s">
        <v>1287</v>
      </c>
      <c r="F1222" t="s">
        <v>4973</v>
      </c>
      <c r="G1222" t="s">
        <v>6496</v>
      </c>
      <c r="H1222">
        <v>0</v>
      </c>
      <c r="I1222">
        <v>0</v>
      </c>
    </row>
    <row r="1223" spans="1:9" x14ac:dyDescent="0.3">
      <c r="A1223" t="s">
        <v>4974</v>
      </c>
      <c r="B1223" t="s">
        <v>4975</v>
      </c>
      <c r="C1223" t="s">
        <v>4930</v>
      </c>
      <c r="D1223" t="s">
        <v>1326</v>
      </c>
      <c r="E1223" t="s">
        <v>1287</v>
      </c>
      <c r="F1223" t="s">
        <v>4976</v>
      </c>
      <c r="G1223" t="s">
        <v>6497</v>
      </c>
      <c r="H1223">
        <v>0</v>
      </c>
      <c r="I1223">
        <v>0</v>
      </c>
    </row>
    <row r="1224" spans="1:9" x14ac:dyDescent="0.3">
      <c r="A1224" t="s">
        <v>4977</v>
      </c>
      <c r="B1224" t="s">
        <v>4978</v>
      </c>
      <c r="C1224" t="s">
        <v>4930</v>
      </c>
      <c r="D1224" t="s">
        <v>1326</v>
      </c>
      <c r="E1224" t="s">
        <v>1287</v>
      </c>
      <c r="F1224" t="s">
        <v>4979</v>
      </c>
      <c r="G1224" t="s">
        <v>6498</v>
      </c>
      <c r="H1224">
        <v>0</v>
      </c>
      <c r="I1224">
        <v>0</v>
      </c>
    </row>
    <row r="1225" spans="1:9" x14ac:dyDescent="0.3">
      <c r="A1225" t="s">
        <v>4980</v>
      </c>
      <c r="B1225" t="s">
        <v>4981</v>
      </c>
      <c r="C1225" t="s">
        <v>4930</v>
      </c>
      <c r="D1225" t="s">
        <v>1326</v>
      </c>
      <c r="E1225" t="s">
        <v>1287</v>
      </c>
      <c r="F1225" t="s">
        <v>4982</v>
      </c>
      <c r="G1225" t="s">
        <v>6499</v>
      </c>
      <c r="H1225">
        <v>0</v>
      </c>
      <c r="I1225">
        <v>0</v>
      </c>
    </row>
    <row r="1226" spans="1:9" x14ac:dyDescent="0.3">
      <c r="A1226" t="s">
        <v>4983</v>
      </c>
      <c r="B1226" t="s">
        <v>4984</v>
      </c>
      <c r="C1226" t="s">
        <v>4930</v>
      </c>
      <c r="D1226" t="s">
        <v>1326</v>
      </c>
      <c r="E1226" t="s">
        <v>1287</v>
      </c>
      <c r="F1226" t="s">
        <v>4985</v>
      </c>
      <c r="G1226" t="s">
        <v>6500</v>
      </c>
      <c r="H1226">
        <v>0</v>
      </c>
      <c r="I1226">
        <v>0</v>
      </c>
    </row>
    <row r="1227" spans="1:9" x14ac:dyDescent="0.3">
      <c r="A1227" t="s">
        <v>4986</v>
      </c>
      <c r="B1227" t="s">
        <v>4987</v>
      </c>
      <c r="C1227" t="s">
        <v>4988</v>
      </c>
      <c r="D1227" t="s">
        <v>2908</v>
      </c>
      <c r="E1227" t="s">
        <v>1236</v>
      </c>
      <c r="F1227" t="s">
        <v>4989</v>
      </c>
      <c r="G1227" t="s">
        <v>6501</v>
      </c>
      <c r="H1227">
        <v>0</v>
      </c>
      <c r="I1227">
        <v>0</v>
      </c>
    </row>
    <row r="1228" spans="1:9" x14ac:dyDescent="0.3">
      <c r="A1228" t="s">
        <v>4990</v>
      </c>
      <c r="B1228" t="s">
        <v>4991</v>
      </c>
      <c r="C1228" t="s">
        <v>4988</v>
      </c>
      <c r="D1228" t="s">
        <v>2908</v>
      </c>
      <c r="E1228" t="s">
        <v>1236</v>
      </c>
      <c r="F1228" t="s">
        <v>4992</v>
      </c>
      <c r="G1228" t="s">
        <v>6502</v>
      </c>
      <c r="H1228">
        <v>0</v>
      </c>
      <c r="I1228">
        <v>0</v>
      </c>
    </row>
    <row r="1229" spans="1:9" x14ac:dyDescent="0.3">
      <c r="A1229" t="s">
        <v>4993</v>
      </c>
      <c r="B1229" t="s">
        <v>4994</v>
      </c>
      <c r="C1229" t="s">
        <v>4988</v>
      </c>
      <c r="D1229" t="s">
        <v>2908</v>
      </c>
      <c r="E1229" t="s">
        <v>1236</v>
      </c>
      <c r="F1229" t="s">
        <v>4995</v>
      </c>
      <c r="G1229" t="s">
        <v>6503</v>
      </c>
      <c r="H1229" t="s">
        <v>4996</v>
      </c>
      <c r="I1229">
        <v>0</v>
      </c>
    </row>
    <row r="1230" spans="1:9" x14ac:dyDescent="0.3">
      <c r="A1230" t="s">
        <v>4997</v>
      </c>
      <c r="B1230" t="s">
        <v>4998</v>
      </c>
      <c r="C1230" t="s">
        <v>4988</v>
      </c>
      <c r="D1230" t="s">
        <v>2908</v>
      </c>
      <c r="E1230" t="s">
        <v>1236</v>
      </c>
      <c r="F1230" t="s">
        <v>4999</v>
      </c>
      <c r="G1230" t="s">
        <v>6504</v>
      </c>
      <c r="H1230">
        <v>0</v>
      </c>
      <c r="I1230">
        <v>0</v>
      </c>
    </row>
    <row r="1231" spans="1:9" x14ac:dyDescent="0.3">
      <c r="A1231" t="s">
        <v>5000</v>
      </c>
      <c r="B1231" t="s">
        <v>5001</v>
      </c>
      <c r="C1231" t="s">
        <v>4988</v>
      </c>
      <c r="D1231" t="s">
        <v>2908</v>
      </c>
      <c r="E1231" t="s">
        <v>1236</v>
      </c>
      <c r="F1231" t="s">
        <v>5002</v>
      </c>
      <c r="G1231" t="s">
        <v>6505</v>
      </c>
      <c r="H1231">
        <v>0</v>
      </c>
      <c r="I1231">
        <v>0</v>
      </c>
    </row>
    <row r="1232" spans="1:9" x14ac:dyDescent="0.3">
      <c r="A1232" t="s">
        <v>5003</v>
      </c>
      <c r="B1232" t="s">
        <v>5004</v>
      </c>
      <c r="C1232" t="s">
        <v>4988</v>
      </c>
      <c r="D1232" t="s">
        <v>2908</v>
      </c>
      <c r="E1232" t="s">
        <v>1236</v>
      </c>
      <c r="F1232" t="s">
        <v>5005</v>
      </c>
      <c r="G1232" t="s">
        <v>6506</v>
      </c>
      <c r="H1232">
        <v>0</v>
      </c>
      <c r="I1232">
        <v>0</v>
      </c>
    </row>
    <row r="1233" spans="1:9" x14ac:dyDescent="0.3">
      <c r="A1233" t="s">
        <v>5006</v>
      </c>
      <c r="B1233" t="s">
        <v>5007</v>
      </c>
      <c r="C1233" t="s">
        <v>4988</v>
      </c>
      <c r="D1233" t="s">
        <v>2908</v>
      </c>
      <c r="E1233" t="s">
        <v>1236</v>
      </c>
      <c r="F1233" t="s">
        <v>5008</v>
      </c>
      <c r="G1233" t="s">
        <v>6507</v>
      </c>
      <c r="H1233">
        <v>0</v>
      </c>
      <c r="I1233">
        <v>0</v>
      </c>
    </row>
    <row r="1234" spans="1:9" x14ac:dyDescent="0.3">
      <c r="A1234" t="s">
        <v>5009</v>
      </c>
      <c r="B1234" t="s">
        <v>5010</v>
      </c>
      <c r="C1234" t="s">
        <v>4988</v>
      </c>
      <c r="D1234" t="s">
        <v>2908</v>
      </c>
      <c r="E1234" t="s">
        <v>1236</v>
      </c>
      <c r="F1234" t="s">
        <v>5011</v>
      </c>
      <c r="G1234" t="s">
        <v>6508</v>
      </c>
      <c r="H1234" t="s">
        <v>4996</v>
      </c>
      <c r="I1234">
        <v>0</v>
      </c>
    </row>
    <row r="1235" spans="1:9" x14ac:dyDescent="0.3">
      <c r="A1235" t="s">
        <v>5012</v>
      </c>
      <c r="B1235" t="s">
        <v>5013</v>
      </c>
      <c r="C1235" t="s">
        <v>4988</v>
      </c>
      <c r="D1235" t="s">
        <v>2908</v>
      </c>
      <c r="E1235" t="s">
        <v>1236</v>
      </c>
      <c r="F1235" t="s">
        <v>5014</v>
      </c>
      <c r="G1235" t="s">
        <v>6509</v>
      </c>
      <c r="H1235" t="s">
        <v>4996</v>
      </c>
      <c r="I1235">
        <v>0</v>
      </c>
    </row>
    <row r="1236" spans="1:9" x14ac:dyDescent="0.3">
      <c r="A1236" t="s">
        <v>5015</v>
      </c>
      <c r="B1236" t="s">
        <v>5016</v>
      </c>
      <c r="C1236" t="s">
        <v>4988</v>
      </c>
      <c r="D1236" t="s">
        <v>2908</v>
      </c>
      <c r="E1236" t="s">
        <v>1236</v>
      </c>
      <c r="F1236" t="s">
        <v>5017</v>
      </c>
      <c r="G1236" t="s">
        <v>6510</v>
      </c>
      <c r="H1236">
        <v>0</v>
      </c>
      <c r="I1236">
        <v>0</v>
      </c>
    </row>
    <row r="1237" spans="1:9" x14ac:dyDescent="0.3">
      <c r="A1237" t="s">
        <v>5018</v>
      </c>
      <c r="B1237" t="s">
        <v>5019</v>
      </c>
      <c r="C1237" t="s">
        <v>4988</v>
      </c>
      <c r="D1237" t="s">
        <v>2908</v>
      </c>
      <c r="E1237" t="s">
        <v>1236</v>
      </c>
      <c r="F1237" t="s">
        <v>5020</v>
      </c>
      <c r="G1237" t="s">
        <v>6511</v>
      </c>
      <c r="H1237" t="s">
        <v>4996</v>
      </c>
      <c r="I1237">
        <v>0</v>
      </c>
    </row>
    <row r="1238" spans="1:9" x14ac:dyDescent="0.3">
      <c r="A1238" t="s">
        <v>5021</v>
      </c>
      <c r="B1238" t="s">
        <v>5022</v>
      </c>
      <c r="C1238" t="s">
        <v>4988</v>
      </c>
      <c r="D1238" t="s">
        <v>2908</v>
      </c>
      <c r="E1238" t="s">
        <v>1236</v>
      </c>
      <c r="F1238" t="s">
        <v>5023</v>
      </c>
      <c r="G1238" t="s">
        <v>6512</v>
      </c>
      <c r="H1238">
        <v>0</v>
      </c>
      <c r="I1238">
        <v>0</v>
      </c>
    </row>
    <row r="1239" spans="1:9" x14ac:dyDescent="0.3">
      <c r="A1239" t="s">
        <v>5024</v>
      </c>
      <c r="B1239" t="s">
        <v>5025</v>
      </c>
      <c r="C1239" t="s">
        <v>4988</v>
      </c>
      <c r="D1239" t="s">
        <v>2908</v>
      </c>
      <c r="E1239" t="s">
        <v>1236</v>
      </c>
      <c r="F1239" t="s">
        <v>5026</v>
      </c>
      <c r="G1239" t="s">
        <v>6513</v>
      </c>
      <c r="H1239">
        <v>0</v>
      </c>
      <c r="I1239">
        <v>0</v>
      </c>
    </row>
    <row r="1240" spans="1:9" x14ac:dyDescent="0.3">
      <c r="A1240" t="s">
        <v>5027</v>
      </c>
      <c r="B1240" t="s">
        <v>5028</v>
      </c>
      <c r="C1240" t="s">
        <v>4988</v>
      </c>
      <c r="D1240" t="s">
        <v>2908</v>
      </c>
      <c r="E1240" t="s">
        <v>1236</v>
      </c>
      <c r="F1240" t="s">
        <v>5029</v>
      </c>
      <c r="G1240" t="s">
        <v>6514</v>
      </c>
      <c r="H1240">
        <v>0</v>
      </c>
      <c r="I1240">
        <v>0</v>
      </c>
    </row>
    <row r="1241" spans="1:9" x14ac:dyDescent="0.3">
      <c r="A1241" t="s">
        <v>5030</v>
      </c>
      <c r="B1241" t="s">
        <v>5031</v>
      </c>
      <c r="C1241" t="s">
        <v>4988</v>
      </c>
      <c r="D1241" t="s">
        <v>2908</v>
      </c>
      <c r="E1241" t="s">
        <v>1236</v>
      </c>
      <c r="F1241" t="s">
        <v>5032</v>
      </c>
      <c r="G1241" t="s">
        <v>6515</v>
      </c>
      <c r="H1241">
        <v>0</v>
      </c>
      <c r="I1241">
        <v>0</v>
      </c>
    </row>
    <row r="1242" spans="1:9" x14ac:dyDescent="0.3">
      <c r="A1242" t="s">
        <v>5033</v>
      </c>
      <c r="B1242" t="s">
        <v>5034</v>
      </c>
      <c r="C1242" t="s">
        <v>4988</v>
      </c>
      <c r="D1242" t="s">
        <v>2908</v>
      </c>
      <c r="E1242" t="s">
        <v>1236</v>
      </c>
      <c r="F1242" t="s">
        <v>5035</v>
      </c>
      <c r="G1242" t="s">
        <v>6516</v>
      </c>
      <c r="H1242">
        <v>0</v>
      </c>
      <c r="I1242">
        <v>0</v>
      </c>
    </row>
    <row r="1243" spans="1:9" x14ac:dyDescent="0.3">
      <c r="A1243" t="s">
        <v>5036</v>
      </c>
      <c r="B1243" t="s">
        <v>5037</v>
      </c>
      <c r="C1243" t="s">
        <v>4988</v>
      </c>
      <c r="D1243" t="s">
        <v>2908</v>
      </c>
      <c r="E1243" t="s">
        <v>1236</v>
      </c>
      <c r="F1243" t="s">
        <v>5038</v>
      </c>
      <c r="G1243" t="s">
        <v>6517</v>
      </c>
      <c r="H1243" t="s">
        <v>4996</v>
      </c>
      <c r="I1243">
        <v>0</v>
      </c>
    </row>
    <row r="1244" spans="1:9" x14ac:dyDescent="0.3">
      <c r="A1244" t="s">
        <v>5039</v>
      </c>
      <c r="B1244" t="s">
        <v>5040</v>
      </c>
      <c r="C1244" t="s">
        <v>4988</v>
      </c>
      <c r="D1244" t="s">
        <v>2908</v>
      </c>
      <c r="E1244" t="s">
        <v>1236</v>
      </c>
      <c r="F1244" t="s">
        <v>5041</v>
      </c>
      <c r="G1244" t="s">
        <v>6518</v>
      </c>
      <c r="H1244">
        <v>0</v>
      </c>
      <c r="I1244">
        <v>0</v>
      </c>
    </row>
    <row r="1245" spans="1:9" x14ac:dyDescent="0.3">
      <c r="A1245" t="s">
        <v>5042</v>
      </c>
      <c r="B1245" t="s">
        <v>5043</v>
      </c>
      <c r="C1245" t="s">
        <v>4988</v>
      </c>
      <c r="D1245" t="s">
        <v>2908</v>
      </c>
      <c r="E1245" t="s">
        <v>1236</v>
      </c>
      <c r="F1245" t="s">
        <v>5044</v>
      </c>
      <c r="G1245" t="s">
        <v>6519</v>
      </c>
      <c r="H1245">
        <v>0</v>
      </c>
      <c r="I1245">
        <v>0</v>
      </c>
    </row>
    <row r="1246" spans="1:9" x14ac:dyDescent="0.3">
      <c r="A1246" t="s">
        <v>5045</v>
      </c>
      <c r="B1246" t="s">
        <v>5046</v>
      </c>
      <c r="C1246" t="s">
        <v>4988</v>
      </c>
      <c r="D1246" t="s">
        <v>2908</v>
      </c>
      <c r="E1246" t="s">
        <v>1236</v>
      </c>
      <c r="F1246" t="s">
        <v>5047</v>
      </c>
      <c r="G1246" t="s">
        <v>6520</v>
      </c>
      <c r="H1246">
        <v>0</v>
      </c>
      <c r="I1246">
        <v>0</v>
      </c>
    </row>
    <row r="1247" spans="1:9" x14ac:dyDescent="0.3">
      <c r="A1247" t="s">
        <v>5048</v>
      </c>
      <c r="B1247" t="s">
        <v>5049</v>
      </c>
      <c r="C1247" t="s">
        <v>4988</v>
      </c>
      <c r="D1247" t="s">
        <v>2908</v>
      </c>
      <c r="E1247" t="s">
        <v>1236</v>
      </c>
      <c r="F1247" t="s">
        <v>5050</v>
      </c>
      <c r="G1247" t="s">
        <v>6521</v>
      </c>
      <c r="H1247" t="s">
        <v>4996</v>
      </c>
      <c r="I1247">
        <v>0</v>
      </c>
    </row>
    <row r="1248" spans="1:9" x14ac:dyDescent="0.3">
      <c r="A1248" t="s">
        <v>5051</v>
      </c>
      <c r="B1248" t="s">
        <v>5052</v>
      </c>
      <c r="C1248" t="s">
        <v>4988</v>
      </c>
      <c r="D1248" t="s">
        <v>2908</v>
      </c>
      <c r="E1248" t="s">
        <v>1236</v>
      </c>
      <c r="F1248" t="s">
        <v>5053</v>
      </c>
      <c r="G1248" t="s">
        <v>6522</v>
      </c>
      <c r="H1248">
        <v>0</v>
      </c>
      <c r="I1248">
        <v>0</v>
      </c>
    </row>
    <row r="1249" spans="1:9" x14ac:dyDescent="0.3">
      <c r="A1249" t="s">
        <v>5054</v>
      </c>
      <c r="B1249" t="s">
        <v>5055</v>
      </c>
      <c r="C1249" t="s">
        <v>4988</v>
      </c>
      <c r="D1249" t="s">
        <v>2908</v>
      </c>
      <c r="E1249" t="s">
        <v>1236</v>
      </c>
      <c r="F1249" t="s">
        <v>5056</v>
      </c>
      <c r="G1249" t="s">
        <v>6523</v>
      </c>
      <c r="H1249">
        <v>0</v>
      </c>
      <c r="I1249">
        <v>0</v>
      </c>
    </row>
    <row r="1250" spans="1:9" x14ac:dyDescent="0.3">
      <c r="A1250" t="s">
        <v>5057</v>
      </c>
      <c r="B1250" t="s">
        <v>5058</v>
      </c>
      <c r="C1250" t="s">
        <v>4988</v>
      </c>
      <c r="D1250" t="s">
        <v>2908</v>
      </c>
      <c r="E1250" t="s">
        <v>1236</v>
      </c>
      <c r="F1250" t="s">
        <v>5059</v>
      </c>
      <c r="G1250" t="s">
        <v>6524</v>
      </c>
      <c r="H1250" t="s">
        <v>4996</v>
      </c>
      <c r="I1250">
        <v>0</v>
      </c>
    </row>
    <row r="1251" spans="1:9" x14ac:dyDescent="0.3">
      <c r="A1251" t="s">
        <v>5060</v>
      </c>
      <c r="B1251" t="s">
        <v>5061</v>
      </c>
      <c r="C1251" t="s">
        <v>4988</v>
      </c>
      <c r="D1251" t="s">
        <v>2908</v>
      </c>
      <c r="E1251" t="s">
        <v>1236</v>
      </c>
      <c r="F1251" t="s">
        <v>5062</v>
      </c>
      <c r="G1251" t="s">
        <v>6525</v>
      </c>
      <c r="H1251">
        <v>0</v>
      </c>
      <c r="I1251">
        <v>0</v>
      </c>
    </row>
    <row r="1252" spans="1:9" x14ac:dyDescent="0.3">
      <c r="A1252" t="s">
        <v>5063</v>
      </c>
      <c r="B1252" t="s">
        <v>5064</v>
      </c>
      <c r="C1252" t="s">
        <v>4988</v>
      </c>
      <c r="D1252" t="s">
        <v>2908</v>
      </c>
      <c r="E1252" t="s">
        <v>1236</v>
      </c>
      <c r="F1252" t="s">
        <v>5065</v>
      </c>
      <c r="G1252" t="s">
        <v>6526</v>
      </c>
      <c r="H1252">
        <v>0</v>
      </c>
      <c r="I1252">
        <v>0</v>
      </c>
    </row>
    <row r="1253" spans="1:9" x14ac:dyDescent="0.3">
      <c r="A1253" t="s">
        <v>5066</v>
      </c>
      <c r="B1253" t="s">
        <v>5067</v>
      </c>
      <c r="C1253" t="s">
        <v>4988</v>
      </c>
      <c r="D1253" t="s">
        <v>2908</v>
      </c>
      <c r="E1253" t="s">
        <v>1236</v>
      </c>
      <c r="F1253" t="s">
        <v>5068</v>
      </c>
      <c r="G1253" t="s">
        <v>6527</v>
      </c>
      <c r="H1253" t="s">
        <v>4996</v>
      </c>
      <c r="I1253">
        <v>0</v>
      </c>
    </row>
    <row r="1254" spans="1:9" x14ac:dyDescent="0.3">
      <c r="A1254" t="s">
        <v>5069</v>
      </c>
      <c r="B1254" t="s">
        <v>5070</v>
      </c>
      <c r="C1254" t="s">
        <v>4988</v>
      </c>
      <c r="D1254" t="s">
        <v>2908</v>
      </c>
      <c r="E1254" t="s">
        <v>1236</v>
      </c>
      <c r="F1254" t="s">
        <v>5071</v>
      </c>
      <c r="G1254" t="s">
        <v>6528</v>
      </c>
      <c r="H1254">
        <v>0</v>
      </c>
      <c r="I1254">
        <v>0</v>
      </c>
    </row>
    <row r="1255" spans="1:9" x14ac:dyDescent="0.3">
      <c r="A1255" t="s">
        <v>5072</v>
      </c>
      <c r="B1255" t="s">
        <v>5073</v>
      </c>
      <c r="C1255" t="s">
        <v>4988</v>
      </c>
      <c r="D1255" t="s">
        <v>2908</v>
      </c>
      <c r="E1255" t="s">
        <v>1236</v>
      </c>
      <c r="F1255" t="s">
        <v>5074</v>
      </c>
      <c r="G1255" t="s">
        <v>6529</v>
      </c>
      <c r="H1255">
        <v>0</v>
      </c>
      <c r="I1255">
        <v>0</v>
      </c>
    </row>
    <row r="1256" spans="1:9" x14ac:dyDescent="0.3">
      <c r="A1256" t="s">
        <v>5075</v>
      </c>
      <c r="B1256" t="s">
        <v>5076</v>
      </c>
      <c r="C1256" t="s">
        <v>4988</v>
      </c>
      <c r="D1256" t="s">
        <v>2908</v>
      </c>
      <c r="E1256" t="s">
        <v>1236</v>
      </c>
      <c r="F1256" t="s">
        <v>5077</v>
      </c>
      <c r="G1256" t="s">
        <v>6530</v>
      </c>
      <c r="H1256" t="s">
        <v>4996</v>
      </c>
      <c r="I1256">
        <v>0</v>
      </c>
    </row>
    <row r="1257" spans="1:9" x14ac:dyDescent="0.3">
      <c r="A1257" t="s">
        <v>5078</v>
      </c>
      <c r="B1257" t="s">
        <v>5079</v>
      </c>
      <c r="C1257" t="s">
        <v>4988</v>
      </c>
      <c r="D1257" t="s">
        <v>2908</v>
      </c>
      <c r="E1257" t="s">
        <v>1236</v>
      </c>
      <c r="F1257" t="s">
        <v>5080</v>
      </c>
      <c r="G1257" t="s">
        <v>6531</v>
      </c>
      <c r="H1257" t="s">
        <v>4996</v>
      </c>
      <c r="I1257">
        <v>0</v>
      </c>
    </row>
    <row r="1258" spans="1:9" x14ac:dyDescent="0.3">
      <c r="A1258" t="s">
        <v>5081</v>
      </c>
      <c r="B1258" t="s">
        <v>5082</v>
      </c>
      <c r="C1258" t="s">
        <v>4988</v>
      </c>
      <c r="D1258" t="s">
        <v>2908</v>
      </c>
      <c r="E1258" t="s">
        <v>1236</v>
      </c>
      <c r="F1258" t="s">
        <v>5083</v>
      </c>
      <c r="G1258" t="s">
        <v>6532</v>
      </c>
      <c r="H1258">
        <v>0</v>
      </c>
      <c r="I1258">
        <v>0</v>
      </c>
    </row>
    <row r="1259" spans="1:9" x14ac:dyDescent="0.3">
      <c r="A1259" t="s">
        <v>5084</v>
      </c>
      <c r="B1259" t="s">
        <v>5085</v>
      </c>
      <c r="C1259" t="s">
        <v>4988</v>
      </c>
      <c r="D1259" t="s">
        <v>2908</v>
      </c>
      <c r="E1259" t="s">
        <v>1236</v>
      </c>
      <c r="F1259" t="s">
        <v>5086</v>
      </c>
      <c r="G1259" t="s">
        <v>6533</v>
      </c>
      <c r="H1259">
        <v>0</v>
      </c>
      <c r="I1259">
        <v>0</v>
      </c>
    </row>
    <row r="1260" spans="1:9" x14ac:dyDescent="0.3">
      <c r="A1260" t="s">
        <v>5087</v>
      </c>
      <c r="B1260" t="s">
        <v>5088</v>
      </c>
      <c r="C1260" t="s">
        <v>4988</v>
      </c>
      <c r="D1260" t="s">
        <v>2908</v>
      </c>
      <c r="E1260" t="s">
        <v>1236</v>
      </c>
      <c r="F1260" t="s">
        <v>5089</v>
      </c>
      <c r="G1260" t="s">
        <v>6534</v>
      </c>
      <c r="H1260">
        <v>0</v>
      </c>
      <c r="I1260">
        <v>0</v>
      </c>
    </row>
    <row r="1261" spans="1:9" x14ac:dyDescent="0.3">
      <c r="A1261" t="s">
        <v>5090</v>
      </c>
      <c r="B1261" t="s">
        <v>5091</v>
      </c>
      <c r="C1261" t="s">
        <v>4988</v>
      </c>
      <c r="D1261" t="s">
        <v>2908</v>
      </c>
      <c r="E1261" t="s">
        <v>1236</v>
      </c>
      <c r="F1261" t="s">
        <v>5092</v>
      </c>
      <c r="G1261" t="s">
        <v>6535</v>
      </c>
      <c r="H1261">
        <v>0</v>
      </c>
      <c r="I1261">
        <v>0</v>
      </c>
    </row>
    <row r="1262" spans="1:9" x14ac:dyDescent="0.3">
      <c r="A1262" t="s">
        <v>5093</v>
      </c>
      <c r="B1262" t="s">
        <v>5094</v>
      </c>
      <c r="C1262" t="s">
        <v>4988</v>
      </c>
      <c r="D1262" t="s">
        <v>2908</v>
      </c>
      <c r="E1262" t="s">
        <v>1236</v>
      </c>
      <c r="F1262" t="s">
        <v>5095</v>
      </c>
      <c r="G1262" t="s">
        <v>6536</v>
      </c>
      <c r="H1262">
        <v>0</v>
      </c>
      <c r="I1262">
        <v>0</v>
      </c>
    </row>
    <row r="1263" spans="1:9" x14ac:dyDescent="0.3">
      <c r="A1263" t="s">
        <v>5096</v>
      </c>
      <c r="B1263" t="s">
        <v>5097</v>
      </c>
      <c r="C1263" t="s">
        <v>4988</v>
      </c>
      <c r="D1263" t="s">
        <v>2908</v>
      </c>
      <c r="E1263" t="s">
        <v>1236</v>
      </c>
      <c r="F1263" t="s">
        <v>5098</v>
      </c>
      <c r="G1263" t="s">
        <v>6537</v>
      </c>
      <c r="H1263">
        <v>0</v>
      </c>
      <c r="I1263">
        <v>0</v>
      </c>
    </row>
    <row r="1264" spans="1:9" x14ac:dyDescent="0.3">
      <c r="A1264" t="s">
        <v>5099</v>
      </c>
      <c r="B1264" t="s">
        <v>5100</v>
      </c>
      <c r="C1264" t="s">
        <v>4988</v>
      </c>
      <c r="D1264" t="s">
        <v>2908</v>
      </c>
      <c r="E1264" t="s">
        <v>1236</v>
      </c>
      <c r="F1264" t="s">
        <v>5101</v>
      </c>
      <c r="G1264" t="s">
        <v>6538</v>
      </c>
      <c r="H1264">
        <v>0</v>
      </c>
      <c r="I1264">
        <v>0</v>
      </c>
    </row>
    <row r="1265" spans="1:9" x14ac:dyDescent="0.3">
      <c r="A1265" t="s">
        <v>5102</v>
      </c>
      <c r="B1265" t="s">
        <v>5103</v>
      </c>
      <c r="C1265" t="s">
        <v>4988</v>
      </c>
      <c r="D1265" t="s">
        <v>2908</v>
      </c>
      <c r="E1265" t="s">
        <v>1236</v>
      </c>
      <c r="F1265" t="s">
        <v>5104</v>
      </c>
      <c r="G1265" t="s">
        <v>6539</v>
      </c>
      <c r="H1265">
        <v>0</v>
      </c>
      <c r="I1265">
        <v>0</v>
      </c>
    </row>
    <row r="1266" spans="1:9" x14ac:dyDescent="0.3">
      <c r="A1266" t="s">
        <v>5105</v>
      </c>
      <c r="B1266" t="s">
        <v>3901</v>
      </c>
      <c r="C1266" t="s">
        <v>4988</v>
      </c>
      <c r="D1266" t="s">
        <v>2908</v>
      </c>
      <c r="E1266" t="s">
        <v>1236</v>
      </c>
      <c r="F1266" t="s">
        <v>5106</v>
      </c>
      <c r="G1266" t="s">
        <v>6203</v>
      </c>
      <c r="H1266">
        <v>0</v>
      </c>
      <c r="I1266">
        <v>0</v>
      </c>
    </row>
    <row r="1267" spans="1:9" x14ac:dyDescent="0.3">
      <c r="A1267" t="s">
        <v>5107</v>
      </c>
      <c r="B1267" t="s">
        <v>5108</v>
      </c>
      <c r="C1267" t="s">
        <v>4988</v>
      </c>
      <c r="D1267" t="s">
        <v>2908</v>
      </c>
      <c r="E1267" t="s">
        <v>1236</v>
      </c>
      <c r="F1267" t="s">
        <v>5109</v>
      </c>
      <c r="G1267" t="s">
        <v>6540</v>
      </c>
      <c r="H1267">
        <v>0</v>
      </c>
      <c r="I1267">
        <v>0</v>
      </c>
    </row>
    <row r="1268" spans="1:9" x14ac:dyDescent="0.3">
      <c r="A1268" t="s">
        <v>5110</v>
      </c>
      <c r="B1268" t="s">
        <v>5111</v>
      </c>
      <c r="C1268" t="s">
        <v>4988</v>
      </c>
      <c r="D1268" t="s">
        <v>2908</v>
      </c>
      <c r="E1268" t="s">
        <v>1236</v>
      </c>
      <c r="F1268" t="s">
        <v>5112</v>
      </c>
      <c r="G1268" t="s">
        <v>6541</v>
      </c>
      <c r="H1268">
        <v>0</v>
      </c>
      <c r="I1268">
        <v>0</v>
      </c>
    </row>
    <row r="1269" spans="1:9" x14ac:dyDescent="0.3">
      <c r="A1269" t="s">
        <v>5113</v>
      </c>
      <c r="B1269" t="s">
        <v>5114</v>
      </c>
      <c r="C1269" t="s">
        <v>4988</v>
      </c>
      <c r="D1269" t="s">
        <v>2908</v>
      </c>
      <c r="E1269" t="s">
        <v>1236</v>
      </c>
      <c r="F1269" t="s">
        <v>5115</v>
      </c>
      <c r="G1269" t="s">
        <v>6542</v>
      </c>
      <c r="H1269">
        <v>0</v>
      </c>
      <c r="I1269">
        <v>0</v>
      </c>
    </row>
    <row r="1270" spans="1:9" x14ac:dyDescent="0.3">
      <c r="A1270" t="s">
        <v>5116</v>
      </c>
      <c r="B1270" t="s">
        <v>5117</v>
      </c>
      <c r="C1270" t="s">
        <v>4988</v>
      </c>
      <c r="D1270" t="s">
        <v>2908</v>
      </c>
      <c r="E1270" t="s">
        <v>1236</v>
      </c>
      <c r="F1270" t="s">
        <v>5118</v>
      </c>
      <c r="G1270" t="s">
        <v>6543</v>
      </c>
      <c r="H1270" t="s">
        <v>4996</v>
      </c>
      <c r="I1270">
        <v>0</v>
      </c>
    </row>
    <row r="1271" spans="1:9" x14ac:dyDescent="0.3">
      <c r="A1271" t="s">
        <v>5119</v>
      </c>
      <c r="B1271" t="s">
        <v>2194</v>
      </c>
      <c r="C1271" t="s">
        <v>4988</v>
      </c>
      <c r="D1271" t="s">
        <v>2908</v>
      </c>
      <c r="E1271" t="s">
        <v>1236</v>
      </c>
      <c r="F1271" t="s">
        <v>5120</v>
      </c>
      <c r="G1271" t="s">
        <v>5675</v>
      </c>
      <c r="H1271">
        <v>0</v>
      </c>
      <c r="I1271">
        <v>0</v>
      </c>
    </row>
    <row r="1272" spans="1:9" x14ac:dyDescent="0.3">
      <c r="A1272" t="s">
        <v>5121</v>
      </c>
      <c r="B1272" t="s">
        <v>5122</v>
      </c>
      <c r="C1272" t="s">
        <v>4988</v>
      </c>
      <c r="D1272" t="s">
        <v>2908</v>
      </c>
      <c r="E1272" t="s">
        <v>1236</v>
      </c>
      <c r="F1272" t="s">
        <v>5123</v>
      </c>
      <c r="G1272" t="s">
        <v>6544</v>
      </c>
      <c r="H1272">
        <v>0</v>
      </c>
      <c r="I1272">
        <v>0</v>
      </c>
    </row>
    <row r="1273" spans="1:9" x14ac:dyDescent="0.3">
      <c r="A1273" t="s">
        <v>5124</v>
      </c>
      <c r="B1273" t="s">
        <v>5125</v>
      </c>
      <c r="C1273" t="s">
        <v>4988</v>
      </c>
      <c r="D1273" t="s">
        <v>2908</v>
      </c>
      <c r="E1273" t="s">
        <v>1236</v>
      </c>
      <c r="F1273" t="s">
        <v>5126</v>
      </c>
      <c r="G1273" t="s">
        <v>6545</v>
      </c>
      <c r="H1273">
        <v>0</v>
      </c>
      <c r="I1273">
        <v>0</v>
      </c>
    </row>
    <row r="1274" spans="1:9" x14ac:dyDescent="0.3">
      <c r="A1274" t="s">
        <v>5127</v>
      </c>
      <c r="B1274" t="s">
        <v>5128</v>
      </c>
      <c r="C1274" t="s">
        <v>4988</v>
      </c>
      <c r="D1274" t="s">
        <v>2908</v>
      </c>
      <c r="E1274" t="s">
        <v>1236</v>
      </c>
      <c r="F1274" t="s">
        <v>5129</v>
      </c>
      <c r="G1274" t="s">
        <v>6546</v>
      </c>
      <c r="H1274">
        <v>0</v>
      </c>
      <c r="I1274">
        <v>0</v>
      </c>
    </row>
    <row r="1275" spans="1:9" x14ac:dyDescent="0.3">
      <c r="A1275" t="s">
        <v>5130</v>
      </c>
      <c r="B1275" t="s">
        <v>5131</v>
      </c>
      <c r="C1275" t="s">
        <v>4988</v>
      </c>
      <c r="D1275" t="s">
        <v>2908</v>
      </c>
      <c r="E1275" t="s">
        <v>1236</v>
      </c>
      <c r="F1275" t="s">
        <v>5132</v>
      </c>
      <c r="G1275" t="s">
        <v>6547</v>
      </c>
      <c r="H1275">
        <v>0</v>
      </c>
      <c r="I1275">
        <v>0</v>
      </c>
    </row>
    <row r="1276" spans="1:9" x14ac:dyDescent="0.3">
      <c r="A1276" t="s">
        <v>5133</v>
      </c>
      <c r="B1276" t="s">
        <v>5134</v>
      </c>
      <c r="C1276" t="s">
        <v>5135</v>
      </c>
      <c r="D1276" t="s">
        <v>1235</v>
      </c>
      <c r="E1276" t="s">
        <v>1236</v>
      </c>
      <c r="F1276" t="s">
        <v>5136</v>
      </c>
      <c r="G1276" t="s">
        <v>6548</v>
      </c>
      <c r="H1276" t="s">
        <v>5137</v>
      </c>
      <c r="I1276">
        <v>0</v>
      </c>
    </row>
    <row r="1277" spans="1:9" x14ac:dyDescent="0.3">
      <c r="A1277" t="s">
        <v>5138</v>
      </c>
      <c r="B1277" t="s">
        <v>5139</v>
      </c>
      <c r="C1277" t="s">
        <v>5135</v>
      </c>
      <c r="D1277" t="s">
        <v>1235</v>
      </c>
      <c r="E1277" t="s">
        <v>1236</v>
      </c>
      <c r="F1277" t="s">
        <v>5140</v>
      </c>
      <c r="G1277" t="s">
        <v>6549</v>
      </c>
      <c r="H1277" t="s">
        <v>5141</v>
      </c>
      <c r="I1277">
        <v>0</v>
      </c>
    </row>
    <row r="1278" spans="1:9" x14ac:dyDescent="0.3">
      <c r="A1278" t="s">
        <v>5142</v>
      </c>
      <c r="B1278" t="s">
        <v>5143</v>
      </c>
      <c r="C1278" t="s">
        <v>5135</v>
      </c>
      <c r="D1278" t="s">
        <v>1235</v>
      </c>
      <c r="E1278" t="s">
        <v>1236</v>
      </c>
      <c r="F1278" t="s">
        <v>5144</v>
      </c>
      <c r="G1278" t="s">
        <v>6550</v>
      </c>
      <c r="H1278" t="s">
        <v>5141</v>
      </c>
      <c r="I1278">
        <v>0</v>
      </c>
    </row>
    <row r="1279" spans="1:9" x14ac:dyDescent="0.3">
      <c r="A1279" t="s">
        <v>5145</v>
      </c>
      <c r="B1279" t="s">
        <v>5146</v>
      </c>
      <c r="C1279" t="s">
        <v>5135</v>
      </c>
      <c r="D1279" t="s">
        <v>1235</v>
      </c>
      <c r="E1279" t="s">
        <v>1236</v>
      </c>
      <c r="F1279" t="s">
        <v>5147</v>
      </c>
      <c r="G1279" t="s">
        <v>6551</v>
      </c>
      <c r="H1279">
        <v>0</v>
      </c>
      <c r="I1279">
        <v>0</v>
      </c>
    </row>
    <row r="1280" spans="1:9" x14ac:dyDescent="0.3">
      <c r="A1280" t="s">
        <v>5148</v>
      </c>
      <c r="B1280" t="s">
        <v>5149</v>
      </c>
      <c r="C1280" t="s">
        <v>5135</v>
      </c>
      <c r="D1280" t="s">
        <v>1235</v>
      </c>
      <c r="E1280" t="s">
        <v>1236</v>
      </c>
      <c r="F1280" t="s">
        <v>5150</v>
      </c>
      <c r="G1280" t="s">
        <v>6552</v>
      </c>
      <c r="H1280">
        <v>0</v>
      </c>
      <c r="I1280">
        <v>0</v>
      </c>
    </row>
    <row r="1281" spans="1:9" x14ac:dyDescent="0.3">
      <c r="A1281" t="s">
        <v>5151</v>
      </c>
      <c r="B1281" t="s">
        <v>5152</v>
      </c>
      <c r="C1281" t="s">
        <v>5135</v>
      </c>
      <c r="D1281" t="s">
        <v>1235</v>
      </c>
      <c r="E1281" t="s">
        <v>1236</v>
      </c>
      <c r="F1281" t="s">
        <v>5153</v>
      </c>
      <c r="G1281" t="s">
        <v>6553</v>
      </c>
      <c r="H1281">
        <v>0</v>
      </c>
      <c r="I1281">
        <v>0</v>
      </c>
    </row>
    <row r="1282" spans="1:9" x14ac:dyDescent="0.3">
      <c r="A1282" t="s">
        <v>5154</v>
      </c>
      <c r="B1282" t="s">
        <v>5155</v>
      </c>
      <c r="C1282" t="s">
        <v>5135</v>
      </c>
      <c r="D1282" t="s">
        <v>1235</v>
      </c>
      <c r="E1282" t="s">
        <v>1236</v>
      </c>
      <c r="F1282" t="s">
        <v>5156</v>
      </c>
      <c r="G1282" t="s">
        <v>6554</v>
      </c>
      <c r="H1282">
        <v>0</v>
      </c>
      <c r="I1282">
        <v>0</v>
      </c>
    </row>
    <row r="1283" spans="1:9" x14ac:dyDescent="0.3">
      <c r="A1283" t="s">
        <v>5157</v>
      </c>
      <c r="B1283" t="s">
        <v>5158</v>
      </c>
      <c r="C1283" t="s">
        <v>5135</v>
      </c>
      <c r="D1283" t="s">
        <v>1235</v>
      </c>
      <c r="E1283" t="s">
        <v>1236</v>
      </c>
      <c r="F1283" t="s">
        <v>5159</v>
      </c>
      <c r="G1283" t="s">
        <v>6555</v>
      </c>
      <c r="H1283">
        <v>0</v>
      </c>
      <c r="I1283">
        <v>0</v>
      </c>
    </row>
    <row r="1284" spans="1:9" x14ac:dyDescent="0.3">
      <c r="A1284" t="s">
        <v>5160</v>
      </c>
      <c r="B1284" t="s">
        <v>5161</v>
      </c>
      <c r="C1284" t="s">
        <v>5135</v>
      </c>
      <c r="D1284" t="s">
        <v>1235</v>
      </c>
      <c r="E1284" t="s">
        <v>1236</v>
      </c>
      <c r="F1284" t="s">
        <v>5162</v>
      </c>
      <c r="G1284" t="s">
        <v>6556</v>
      </c>
      <c r="H1284">
        <v>0</v>
      </c>
      <c r="I1284">
        <v>0</v>
      </c>
    </row>
    <row r="1285" spans="1:9" x14ac:dyDescent="0.3">
      <c r="A1285" t="s">
        <v>5163</v>
      </c>
      <c r="B1285" t="s">
        <v>5164</v>
      </c>
      <c r="C1285" t="s">
        <v>5135</v>
      </c>
      <c r="D1285" t="s">
        <v>1235</v>
      </c>
      <c r="E1285" t="s">
        <v>1236</v>
      </c>
      <c r="F1285" t="s">
        <v>5165</v>
      </c>
      <c r="G1285" t="s">
        <v>6557</v>
      </c>
      <c r="H1285">
        <v>0</v>
      </c>
      <c r="I1285">
        <v>0</v>
      </c>
    </row>
    <row r="1286" spans="1:9" x14ac:dyDescent="0.3">
      <c r="A1286" t="s">
        <v>5166</v>
      </c>
      <c r="B1286" t="s">
        <v>5167</v>
      </c>
      <c r="C1286" t="s">
        <v>5135</v>
      </c>
      <c r="D1286" t="s">
        <v>1235</v>
      </c>
      <c r="E1286" t="s">
        <v>1236</v>
      </c>
      <c r="F1286" t="s">
        <v>5168</v>
      </c>
      <c r="G1286" t="s">
        <v>6558</v>
      </c>
      <c r="H1286">
        <v>0</v>
      </c>
      <c r="I1286">
        <v>0</v>
      </c>
    </row>
    <row r="1287" spans="1:9" x14ac:dyDescent="0.3">
      <c r="A1287" t="s">
        <v>5169</v>
      </c>
      <c r="B1287" t="s">
        <v>5170</v>
      </c>
      <c r="C1287" t="s">
        <v>5135</v>
      </c>
      <c r="D1287" t="s">
        <v>1235</v>
      </c>
      <c r="E1287" t="s">
        <v>1236</v>
      </c>
      <c r="F1287" t="s">
        <v>5171</v>
      </c>
      <c r="G1287" t="s">
        <v>6559</v>
      </c>
      <c r="H1287">
        <v>0</v>
      </c>
      <c r="I1287">
        <v>0</v>
      </c>
    </row>
    <row r="1288" spans="1:9" x14ac:dyDescent="0.3">
      <c r="A1288" t="s">
        <v>5172</v>
      </c>
      <c r="B1288" t="s">
        <v>5173</v>
      </c>
      <c r="C1288" t="s">
        <v>5135</v>
      </c>
      <c r="D1288" t="s">
        <v>1235</v>
      </c>
      <c r="E1288" t="s">
        <v>1236</v>
      </c>
      <c r="F1288" t="s">
        <v>5174</v>
      </c>
      <c r="G1288" t="s">
        <v>6560</v>
      </c>
      <c r="H1288">
        <v>0</v>
      </c>
      <c r="I1288">
        <v>0</v>
      </c>
    </row>
    <row r="1289" spans="1:9" x14ac:dyDescent="0.3">
      <c r="A1289" t="s">
        <v>5175</v>
      </c>
      <c r="B1289" t="s">
        <v>5176</v>
      </c>
      <c r="C1289" t="s">
        <v>5135</v>
      </c>
      <c r="D1289" t="s">
        <v>1235</v>
      </c>
      <c r="E1289" t="s">
        <v>1236</v>
      </c>
      <c r="F1289" t="s">
        <v>5177</v>
      </c>
      <c r="G1289" t="s">
        <v>6561</v>
      </c>
      <c r="H1289">
        <v>0</v>
      </c>
      <c r="I1289">
        <v>0</v>
      </c>
    </row>
    <row r="1290" spans="1:9" x14ac:dyDescent="0.3">
      <c r="A1290" t="s">
        <v>5178</v>
      </c>
      <c r="B1290" t="s">
        <v>5179</v>
      </c>
      <c r="C1290" t="s">
        <v>5135</v>
      </c>
      <c r="D1290" t="s">
        <v>1235</v>
      </c>
      <c r="E1290" t="s">
        <v>1236</v>
      </c>
      <c r="F1290" t="s">
        <v>5180</v>
      </c>
      <c r="G1290" t="s">
        <v>6562</v>
      </c>
      <c r="H1290" t="s">
        <v>5141</v>
      </c>
      <c r="I1290">
        <v>0</v>
      </c>
    </row>
    <row r="1291" spans="1:9" x14ac:dyDescent="0.3">
      <c r="A1291" t="s">
        <v>5181</v>
      </c>
      <c r="B1291" t="s">
        <v>5182</v>
      </c>
      <c r="C1291" t="s">
        <v>5135</v>
      </c>
      <c r="D1291" t="s">
        <v>1235</v>
      </c>
      <c r="E1291" t="s">
        <v>1236</v>
      </c>
      <c r="F1291" t="s">
        <v>5183</v>
      </c>
      <c r="G1291" t="s">
        <v>6563</v>
      </c>
      <c r="H1291" t="s">
        <v>5137</v>
      </c>
      <c r="I1291">
        <v>0</v>
      </c>
    </row>
    <row r="1292" spans="1:9" x14ac:dyDescent="0.3">
      <c r="A1292" t="s">
        <v>5184</v>
      </c>
      <c r="B1292" t="s">
        <v>5185</v>
      </c>
      <c r="C1292" t="s">
        <v>5135</v>
      </c>
      <c r="D1292" t="s">
        <v>1235</v>
      </c>
      <c r="E1292" t="s">
        <v>1236</v>
      </c>
      <c r="F1292" t="s">
        <v>5186</v>
      </c>
      <c r="G1292" t="s">
        <v>6564</v>
      </c>
      <c r="H1292">
        <v>0</v>
      </c>
      <c r="I1292">
        <v>0</v>
      </c>
    </row>
    <row r="1293" spans="1:9" x14ac:dyDescent="0.3">
      <c r="A1293" t="s">
        <v>5187</v>
      </c>
      <c r="B1293" t="s">
        <v>5188</v>
      </c>
      <c r="C1293" t="s">
        <v>5135</v>
      </c>
      <c r="D1293" t="s">
        <v>1235</v>
      </c>
      <c r="E1293" t="s">
        <v>1236</v>
      </c>
      <c r="F1293" t="s">
        <v>5189</v>
      </c>
      <c r="G1293" t="s">
        <v>6565</v>
      </c>
      <c r="H1293" t="s">
        <v>5137</v>
      </c>
      <c r="I1293">
        <v>0</v>
      </c>
    </row>
    <row r="1294" spans="1:9" x14ac:dyDescent="0.3">
      <c r="A1294" t="s">
        <v>5190</v>
      </c>
      <c r="B1294" t="s">
        <v>5191</v>
      </c>
      <c r="C1294" t="s">
        <v>5135</v>
      </c>
      <c r="D1294" t="s">
        <v>1235</v>
      </c>
      <c r="E1294" t="s">
        <v>1236</v>
      </c>
      <c r="F1294" t="s">
        <v>5192</v>
      </c>
      <c r="G1294" t="s">
        <v>6566</v>
      </c>
      <c r="H1294" t="s">
        <v>5137</v>
      </c>
      <c r="I1294">
        <v>0</v>
      </c>
    </row>
    <row r="1295" spans="1:9" x14ac:dyDescent="0.3">
      <c r="A1295" t="s">
        <v>5193</v>
      </c>
      <c r="B1295" t="s">
        <v>5194</v>
      </c>
      <c r="C1295" t="s">
        <v>5135</v>
      </c>
      <c r="D1295" t="s">
        <v>1235</v>
      </c>
      <c r="E1295" t="s">
        <v>1236</v>
      </c>
      <c r="F1295" t="s">
        <v>5195</v>
      </c>
      <c r="G1295" t="s">
        <v>6567</v>
      </c>
      <c r="H1295">
        <v>0</v>
      </c>
      <c r="I1295">
        <v>0</v>
      </c>
    </row>
    <row r="1296" spans="1:9" x14ac:dyDescent="0.3">
      <c r="A1296" t="s">
        <v>5196</v>
      </c>
      <c r="B1296" t="s">
        <v>5197</v>
      </c>
      <c r="C1296" t="s">
        <v>5135</v>
      </c>
      <c r="D1296" t="s">
        <v>1235</v>
      </c>
      <c r="E1296" t="s">
        <v>1236</v>
      </c>
      <c r="F1296" t="s">
        <v>5198</v>
      </c>
      <c r="G1296" t="s">
        <v>6568</v>
      </c>
      <c r="H1296" t="s">
        <v>5141</v>
      </c>
      <c r="I1296">
        <v>0</v>
      </c>
    </row>
    <row r="1297" spans="1:9" x14ac:dyDescent="0.3">
      <c r="A1297" t="s">
        <v>5199</v>
      </c>
      <c r="B1297" t="s">
        <v>5200</v>
      </c>
      <c r="C1297" t="s">
        <v>5135</v>
      </c>
      <c r="D1297" t="s">
        <v>1235</v>
      </c>
      <c r="E1297" t="s">
        <v>1236</v>
      </c>
      <c r="F1297" t="s">
        <v>5201</v>
      </c>
      <c r="G1297" t="s">
        <v>6569</v>
      </c>
      <c r="H1297" t="s">
        <v>5141</v>
      </c>
      <c r="I1297">
        <v>0</v>
      </c>
    </row>
    <row r="1298" spans="1:9" x14ac:dyDescent="0.3">
      <c r="A1298" t="s">
        <v>5202</v>
      </c>
      <c r="B1298" t="s">
        <v>5203</v>
      </c>
      <c r="C1298" t="s">
        <v>5135</v>
      </c>
      <c r="D1298" t="s">
        <v>1235</v>
      </c>
      <c r="E1298" t="s">
        <v>1236</v>
      </c>
      <c r="F1298" t="s">
        <v>5204</v>
      </c>
      <c r="G1298" t="s">
        <v>6570</v>
      </c>
      <c r="H1298" t="s">
        <v>5141</v>
      </c>
      <c r="I1298">
        <v>0</v>
      </c>
    </row>
    <row r="1299" spans="1:9" x14ac:dyDescent="0.3">
      <c r="A1299" t="s">
        <v>5205</v>
      </c>
      <c r="B1299" t="s">
        <v>5206</v>
      </c>
      <c r="C1299" t="s">
        <v>5135</v>
      </c>
      <c r="D1299" t="s">
        <v>1235</v>
      </c>
      <c r="E1299" t="s">
        <v>1236</v>
      </c>
      <c r="F1299" t="s">
        <v>5207</v>
      </c>
      <c r="G1299" t="s">
        <v>6571</v>
      </c>
      <c r="H1299" t="s">
        <v>5141</v>
      </c>
      <c r="I1299">
        <v>0</v>
      </c>
    </row>
    <row r="1300" spans="1:9" x14ac:dyDescent="0.3">
      <c r="A1300" t="s">
        <v>5208</v>
      </c>
      <c r="B1300" t="s">
        <v>5209</v>
      </c>
      <c r="C1300" t="s">
        <v>5135</v>
      </c>
      <c r="D1300" t="s">
        <v>1235</v>
      </c>
      <c r="E1300" t="s">
        <v>1236</v>
      </c>
      <c r="F1300" t="s">
        <v>5210</v>
      </c>
      <c r="G1300" t="s">
        <v>6572</v>
      </c>
      <c r="H1300" t="s">
        <v>5137</v>
      </c>
      <c r="I1300">
        <v>0</v>
      </c>
    </row>
    <row r="1302" spans="1:9" x14ac:dyDescent="0.3">
      <c r="A1302" t="s">
        <v>3044</v>
      </c>
      <c r="B1302" t="s">
        <v>5938</v>
      </c>
      <c r="C1302" t="s">
        <v>2983</v>
      </c>
      <c r="D1302" t="s">
        <v>1216</v>
      </c>
      <c r="E1302" t="s">
        <v>1287</v>
      </c>
      <c r="F1302" t="s">
        <v>3044</v>
      </c>
      <c r="G1302" t="s">
        <v>5938</v>
      </c>
      <c r="H1302" t="s">
        <v>59</v>
      </c>
    </row>
    <row r="1303" spans="1:9" x14ac:dyDescent="0.3">
      <c r="A1303" t="s">
        <v>2992</v>
      </c>
      <c r="B1303" t="s">
        <v>5927</v>
      </c>
      <c r="C1303" t="s">
        <v>2983</v>
      </c>
      <c r="D1303" t="s">
        <v>1216</v>
      </c>
      <c r="E1303" t="s">
        <v>1287</v>
      </c>
      <c r="F1303" t="s">
        <v>2992</v>
      </c>
      <c r="G1303" t="s">
        <v>5927</v>
      </c>
      <c r="H1303" t="s">
        <v>2993</v>
      </c>
    </row>
    <row r="1304" spans="1:9" x14ac:dyDescent="0.3">
      <c r="A1304" t="s">
        <v>3002</v>
      </c>
      <c r="B1304" t="s">
        <v>5929</v>
      </c>
      <c r="C1304" t="s">
        <v>2983</v>
      </c>
      <c r="D1304" t="s">
        <v>1216</v>
      </c>
      <c r="E1304" t="s">
        <v>1287</v>
      </c>
      <c r="F1304" t="s">
        <v>3002</v>
      </c>
      <c r="G1304" t="s">
        <v>5929</v>
      </c>
      <c r="H1304" t="s">
        <v>27</v>
      </c>
    </row>
    <row r="1305" spans="1:9" x14ac:dyDescent="0.3">
      <c r="A1305" t="s">
        <v>2984</v>
      </c>
      <c r="B1305" t="s">
        <v>5925</v>
      </c>
      <c r="C1305" t="s">
        <v>2983</v>
      </c>
      <c r="D1305" t="s">
        <v>1216</v>
      </c>
      <c r="E1305" t="s">
        <v>1287</v>
      </c>
      <c r="F1305" t="s">
        <v>2984</v>
      </c>
      <c r="G1305" t="s">
        <v>5925</v>
      </c>
      <c r="H1305" t="s">
        <v>58</v>
      </c>
    </row>
    <row r="1306" spans="1:9" x14ac:dyDescent="0.3">
      <c r="A1306" t="s">
        <v>3020</v>
      </c>
      <c r="B1306" t="s">
        <v>5934</v>
      </c>
      <c r="C1306" t="s">
        <v>2983</v>
      </c>
      <c r="D1306" t="s">
        <v>1216</v>
      </c>
      <c r="E1306" t="s">
        <v>1287</v>
      </c>
      <c r="F1306" t="s">
        <v>3020</v>
      </c>
      <c r="G1306" t="s">
        <v>5934</v>
      </c>
      <c r="H1306" t="s">
        <v>13</v>
      </c>
    </row>
    <row r="1307" spans="1:9" x14ac:dyDescent="0.3">
      <c r="A1307" t="s">
        <v>4116</v>
      </c>
      <c r="B1307" t="s">
        <v>6261</v>
      </c>
      <c r="C1307" t="s">
        <v>2983</v>
      </c>
      <c r="D1307" t="s">
        <v>1216</v>
      </c>
      <c r="E1307" t="s">
        <v>1287</v>
      </c>
      <c r="F1307" t="s">
        <v>4116</v>
      </c>
      <c r="G1307" t="s">
        <v>6261</v>
      </c>
      <c r="H1307" t="s">
        <v>12</v>
      </c>
    </row>
    <row r="1308" spans="1:9" x14ac:dyDescent="0.3">
      <c r="A1308" t="s">
        <v>3025</v>
      </c>
      <c r="B1308" t="s">
        <v>5935</v>
      </c>
      <c r="C1308" t="s">
        <v>2983</v>
      </c>
      <c r="D1308" t="s">
        <v>1216</v>
      </c>
      <c r="E1308" t="s">
        <v>1287</v>
      </c>
      <c r="F1308" t="s">
        <v>3025</v>
      </c>
      <c r="G1308" t="s">
        <v>5935</v>
      </c>
      <c r="H1308" t="s">
        <v>3026</v>
      </c>
    </row>
    <row r="1309" spans="1:9" x14ac:dyDescent="0.3">
      <c r="A1309" t="s">
        <v>2998</v>
      </c>
      <c r="B1309" t="s">
        <v>5928</v>
      </c>
      <c r="C1309" t="s">
        <v>2983</v>
      </c>
      <c r="D1309" t="s">
        <v>1216</v>
      </c>
      <c r="E1309" t="s">
        <v>1287</v>
      </c>
      <c r="F1309" t="s">
        <v>2998</v>
      </c>
      <c r="G1309" t="s">
        <v>5928</v>
      </c>
      <c r="H1309" t="s">
        <v>2999</v>
      </c>
    </row>
    <row r="1310" spans="1:9" x14ac:dyDescent="0.3">
      <c r="A1310" t="s">
        <v>3013</v>
      </c>
      <c r="B1310" t="s">
        <v>5932</v>
      </c>
      <c r="C1310" t="s">
        <v>2983</v>
      </c>
      <c r="D1310" t="s">
        <v>1216</v>
      </c>
      <c r="E1310" t="s">
        <v>1287</v>
      </c>
      <c r="F1310" t="s">
        <v>3013</v>
      </c>
      <c r="G1310" t="s">
        <v>5932</v>
      </c>
      <c r="H1310" t="s">
        <v>16</v>
      </c>
    </row>
    <row r="1311" spans="1:9" x14ac:dyDescent="0.3">
      <c r="A1311" t="s">
        <v>3016</v>
      </c>
      <c r="B1311" t="s">
        <v>5933</v>
      </c>
      <c r="C1311" t="s">
        <v>2983</v>
      </c>
      <c r="D1311" t="s">
        <v>1216</v>
      </c>
      <c r="E1311" t="s">
        <v>1287</v>
      </c>
      <c r="F1311" t="s">
        <v>3016</v>
      </c>
      <c r="G1311" t="s">
        <v>5933</v>
      </c>
      <c r="H1311" t="s">
        <v>3017</v>
      </c>
    </row>
    <row r="1312" spans="1:9" x14ac:dyDescent="0.3">
      <c r="A1312" t="s">
        <v>2988</v>
      </c>
      <c r="B1312" t="s">
        <v>5926</v>
      </c>
      <c r="C1312" t="s">
        <v>2983</v>
      </c>
      <c r="D1312" t="s">
        <v>1216</v>
      </c>
      <c r="E1312" t="s">
        <v>1287</v>
      </c>
      <c r="F1312" t="s">
        <v>2988</v>
      </c>
      <c r="G1312" t="s">
        <v>5926</v>
      </c>
      <c r="H1312" t="s">
        <v>2989</v>
      </c>
    </row>
    <row r="1313" spans="1:8" x14ac:dyDescent="0.3">
      <c r="A1313" t="s">
        <v>3039</v>
      </c>
      <c r="B1313" t="s">
        <v>5937</v>
      </c>
      <c r="C1313" t="s">
        <v>2983</v>
      </c>
      <c r="D1313" t="s">
        <v>1216</v>
      </c>
      <c r="E1313" t="s">
        <v>1287</v>
      </c>
      <c r="F1313" t="s">
        <v>3039</v>
      </c>
      <c r="G1313" t="s">
        <v>5937</v>
      </c>
      <c r="H1313" t="s">
        <v>24</v>
      </c>
    </row>
    <row r="1314" spans="1:8" x14ac:dyDescent="0.3">
      <c r="A1314" t="s">
        <v>3005</v>
      </c>
      <c r="B1314" t="s">
        <v>5930</v>
      </c>
      <c r="C1314" t="s">
        <v>2983</v>
      </c>
      <c r="D1314" t="s">
        <v>1216</v>
      </c>
      <c r="E1314" t="s">
        <v>1287</v>
      </c>
      <c r="F1314" t="s">
        <v>3005</v>
      </c>
      <c r="G1314" t="s">
        <v>5930</v>
      </c>
      <c r="H1314" t="s">
        <v>18</v>
      </c>
    </row>
    <row r="1316" spans="1:8" x14ac:dyDescent="0.3">
      <c r="A1316" t="s">
        <v>4052</v>
      </c>
      <c r="B1316" t="s">
        <v>6251</v>
      </c>
      <c r="C1316" t="s">
        <v>3008</v>
      </c>
      <c r="D1316" t="s">
        <v>1216</v>
      </c>
      <c r="E1316" t="s">
        <v>1287</v>
      </c>
      <c r="F1316" t="s">
        <v>4052</v>
      </c>
      <c r="G1316" t="s">
        <v>6251</v>
      </c>
      <c r="H1316" t="s">
        <v>6573</v>
      </c>
    </row>
    <row r="1317" spans="1:8" x14ac:dyDescent="0.3">
      <c r="A1317" t="s">
        <v>4067</v>
      </c>
      <c r="B1317" t="s">
        <v>6255</v>
      </c>
      <c r="C1317" t="s">
        <v>3008</v>
      </c>
      <c r="D1317" t="s">
        <v>1216</v>
      </c>
      <c r="E1317" t="s">
        <v>1287</v>
      </c>
      <c r="F1317" t="s">
        <v>4067</v>
      </c>
      <c r="G1317" t="s">
        <v>6255</v>
      </c>
      <c r="H1317" t="s">
        <v>4068</v>
      </c>
    </row>
    <row r="1318" spans="1:8" x14ac:dyDescent="0.3">
      <c r="A1318" t="s">
        <v>4071</v>
      </c>
      <c r="B1318" t="s">
        <v>6256</v>
      </c>
      <c r="C1318" t="s">
        <v>3008</v>
      </c>
      <c r="D1318" t="s">
        <v>1216</v>
      </c>
      <c r="E1318" t="s">
        <v>1287</v>
      </c>
      <c r="F1318" t="s">
        <v>4071</v>
      </c>
      <c r="G1318" t="s">
        <v>6256</v>
      </c>
      <c r="H1318" t="s">
        <v>424</v>
      </c>
    </row>
    <row r="1319" spans="1:8" x14ac:dyDescent="0.3">
      <c r="A1319" t="s">
        <v>4083</v>
      </c>
      <c r="B1319" t="s">
        <v>6258</v>
      </c>
      <c r="C1319" t="s">
        <v>3008</v>
      </c>
      <c r="D1319" t="s">
        <v>1216</v>
      </c>
      <c r="E1319" t="s">
        <v>1287</v>
      </c>
      <c r="F1319" t="s">
        <v>4083</v>
      </c>
      <c r="G1319" t="s">
        <v>6258</v>
      </c>
      <c r="H1319" t="s">
        <v>4084</v>
      </c>
    </row>
    <row r="1320" spans="1:8" x14ac:dyDescent="0.3">
      <c r="A1320" t="s">
        <v>4103</v>
      </c>
      <c r="B1320" t="s">
        <v>6260</v>
      </c>
      <c r="C1320" t="s">
        <v>3008</v>
      </c>
      <c r="D1320" t="s">
        <v>1216</v>
      </c>
      <c r="E1320" t="s">
        <v>1287</v>
      </c>
      <c r="F1320" t="s">
        <v>4103</v>
      </c>
      <c r="G1320" t="s">
        <v>6260</v>
      </c>
      <c r="H1320" t="s">
        <v>593</v>
      </c>
    </row>
    <row r="1321" spans="1:8" x14ac:dyDescent="0.3">
      <c r="A1321" t="s">
        <v>4060</v>
      </c>
      <c r="B1321" t="s">
        <v>6253</v>
      </c>
      <c r="C1321" t="s">
        <v>3008</v>
      </c>
      <c r="D1321" t="s">
        <v>1216</v>
      </c>
      <c r="E1321" t="s">
        <v>1287</v>
      </c>
      <c r="F1321" t="s">
        <v>4060</v>
      </c>
      <c r="G1321" t="s">
        <v>6253</v>
      </c>
      <c r="H1321" t="s">
        <v>386</v>
      </c>
    </row>
    <row r="1322" spans="1:8" x14ac:dyDescent="0.3">
      <c r="A1322" t="s">
        <v>4049</v>
      </c>
      <c r="B1322" t="s">
        <v>6250</v>
      </c>
      <c r="C1322" t="s">
        <v>3008</v>
      </c>
      <c r="D1322" t="s">
        <v>1216</v>
      </c>
      <c r="E1322" t="s">
        <v>1287</v>
      </c>
      <c r="F1322" t="s">
        <v>4049</v>
      </c>
      <c r="G1322" t="s">
        <v>6250</v>
      </c>
      <c r="H1322" t="s">
        <v>591</v>
      </c>
    </row>
    <row r="1323" spans="1:8" x14ac:dyDescent="0.3">
      <c r="A1323" t="s">
        <v>4063</v>
      </c>
      <c r="B1323" t="s">
        <v>6254</v>
      </c>
      <c r="C1323" t="s">
        <v>3008</v>
      </c>
      <c r="D1323" t="s">
        <v>1216</v>
      </c>
      <c r="E1323" t="s">
        <v>1287</v>
      </c>
      <c r="F1323" t="s">
        <v>4063</v>
      </c>
      <c r="G1323" t="s">
        <v>6254</v>
      </c>
      <c r="H1323" t="s">
        <v>425</v>
      </c>
    </row>
    <row r="1324" spans="1:8" x14ac:dyDescent="0.3">
      <c r="A1324" t="s">
        <v>4175</v>
      </c>
      <c r="B1324" t="s">
        <v>6268</v>
      </c>
      <c r="C1324" t="s">
        <v>3008</v>
      </c>
      <c r="D1324" t="s">
        <v>1216</v>
      </c>
      <c r="E1324" t="s">
        <v>1287</v>
      </c>
      <c r="F1324" t="s">
        <v>4175</v>
      </c>
      <c r="G1324" t="s">
        <v>6268</v>
      </c>
      <c r="H1324" t="s">
        <v>4176</v>
      </c>
    </row>
    <row r="1325" spans="1:8" x14ac:dyDescent="0.3">
      <c r="A1325" t="s">
        <v>4090</v>
      </c>
      <c r="B1325" t="s">
        <v>6259</v>
      </c>
      <c r="C1325" t="s">
        <v>3008</v>
      </c>
      <c r="D1325" t="s">
        <v>1216</v>
      </c>
      <c r="E1325" t="s">
        <v>1287</v>
      </c>
      <c r="F1325" t="s">
        <v>4090</v>
      </c>
      <c r="G1325" t="s">
        <v>6259</v>
      </c>
      <c r="H1325" t="s">
        <v>86</v>
      </c>
    </row>
    <row r="1326" spans="1:8" x14ac:dyDescent="0.3">
      <c r="A1326" t="s">
        <v>4075</v>
      </c>
      <c r="B1326" t="s">
        <v>6257</v>
      </c>
      <c r="C1326" t="s">
        <v>3008</v>
      </c>
      <c r="D1326" t="s">
        <v>1216</v>
      </c>
      <c r="E1326" t="s">
        <v>1287</v>
      </c>
      <c r="F1326" t="s">
        <v>4075</v>
      </c>
      <c r="G1326" t="s">
        <v>6257</v>
      </c>
      <c r="H1326" t="s">
        <v>4076</v>
      </c>
    </row>
    <row r="1327" spans="1:8" x14ac:dyDescent="0.3">
      <c r="A1327" t="s">
        <v>4122</v>
      </c>
      <c r="B1327" t="s">
        <v>6263</v>
      </c>
      <c r="C1327" t="s">
        <v>3008</v>
      </c>
      <c r="D1327" t="s">
        <v>1216</v>
      </c>
      <c r="E1327" t="s">
        <v>1287</v>
      </c>
      <c r="F1327" t="s">
        <v>4122</v>
      </c>
      <c r="G1327" t="s">
        <v>6263</v>
      </c>
      <c r="H1327" t="s">
        <v>4123</v>
      </c>
    </row>
    <row r="1328" spans="1:8" x14ac:dyDescent="0.3">
      <c r="A1328" t="s">
        <v>3031</v>
      </c>
      <c r="B1328" t="s">
        <v>5936</v>
      </c>
      <c r="C1328" t="s">
        <v>3008</v>
      </c>
      <c r="D1328" t="s">
        <v>1216</v>
      </c>
      <c r="E1328" t="s">
        <v>1287</v>
      </c>
      <c r="F1328" t="s">
        <v>3031</v>
      </c>
      <c r="G1328" t="s">
        <v>5936</v>
      </c>
      <c r="H1328" t="s">
        <v>3032</v>
      </c>
    </row>
    <row r="1329" spans="1:9" x14ac:dyDescent="0.3">
      <c r="A1329" t="s">
        <v>4130</v>
      </c>
      <c r="B1329" t="s">
        <v>6264</v>
      </c>
      <c r="C1329" t="s">
        <v>3008</v>
      </c>
      <c r="D1329" t="s">
        <v>1216</v>
      </c>
      <c r="E1329" t="s">
        <v>1287</v>
      </c>
      <c r="F1329" t="s">
        <v>4130</v>
      </c>
      <c r="G1329" t="s">
        <v>6264</v>
      </c>
      <c r="H1329" t="s">
        <v>6574</v>
      </c>
    </row>
    <row r="1330" spans="1:9" x14ac:dyDescent="0.3">
      <c r="A1330" t="s">
        <v>4119</v>
      </c>
      <c r="B1330" t="s">
        <v>6262</v>
      </c>
      <c r="C1330" t="s">
        <v>3008</v>
      </c>
      <c r="D1330" t="s">
        <v>1216</v>
      </c>
      <c r="E1330" t="s">
        <v>1287</v>
      </c>
      <c r="F1330" t="s">
        <v>4119</v>
      </c>
      <c r="G1330" t="s">
        <v>6262</v>
      </c>
      <c r="H1330" t="s">
        <v>595</v>
      </c>
    </row>
    <row r="1331" spans="1:9" x14ac:dyDescent="0.3">
      <c r="A1331" t="s">
        <v>4133</v>
      </c>
      <c r="B1331" t="s">
        <v>6265</v>
      </c>
      <c r="C1331" t="s">
        <v>3008</v>
      </c>
      <c r="D1331" t="s">
        <v>1216</v>
      </c>
      <c r="E1331" t="s">
        <v>1287</v>
      </c>
      <c r="F1331" t="s">
        <v>4133</v>
      </c>
      <c r="G1331" t="s">
        <v>6265</v>
      </c>
      <c r="H1331" t="s">
        <v>6575</v>
      </c>
    </row>
    <row r="1332" spans="1:9" x14ac:dyDescent="0.3">
      <c r="A1332" t="s">
        <v>3009</v>
      </c>
      <c r="B1332" t="s">
        <v>5931</v>
      </c>
      <c r="C1332" t="s">
        <v>3008</v>
      </c>
      <c r="D1332" t="s">
        <v>1216</v>
      </c>
      <c r="E1332" t="s">
        <v>1287</v>
      </c>
      <c r="F1332" t="s">
        <v>3009</v>
      </c>
      <c r="G1332" t="s">
        <v>5931</v>
      </c>
      <c r="H1332" t="s">
        <v>6576</v>
      </c>
    </row>
    <row r="1333" spans="1:9" x14ac:dyDescent="0.3">
      <c r="A1333" t="s">
        <v>4056</v>
      </c>
      <c r="B1333" t="s">
        <v>6252</v>
      </c>
      <c r="C1333" t="s">
        <v>3008</v>
      </c>
      <c r="D1333" t="s">
        <v>1216</v>
      </c>
      <c r="E1333" t="s">
        <v>1287</v>
      </c>
      <c r="F1333" t="s">
        <v>4056</v>
      </c>
      <c r="G1333" t="s">
        <v>6252</v>
      </c>
      <c r="H1333" t="s">
        <v>4057</v>
      </c>
    </row>
    <row r="1334" spans="1:9" x14ac:dyDescent="0.3">
      <c r="A1334" t="s">
        <v>4136</v>
      </c>
      <c r="B1334" t="s">
        <v>6266</v>
      </c>
      <c r="C1334" t="s">
        <v>3008</v>
      </c>
      <c r="D1334" t="s">
        <v>1216</v>
      </c>
      <c r="E1334" t="s">
        <v>1287</v>
      </c>
      <c r="F1334" t="s">
        <v>4136</v>
      </c>
      <c r="G1334" t="s">
        <v>6266</v>
      </c>
      <c r="H1334" t="s">
        <v>4137</v>
      </c>
    </row>
    <row r="1335" spans="1:9" x14ac:dyDescent="0.3">
      <c r="A1335" t="s">
        <v>4144</v>
      </c>
      <c r="B1335" t="s">
        <v>6267</v>
      </c>
      <c r="C1335" t="s">
        <v>3008</v>
      </c>
      <c r="D1335" t="s">
        <v>1216</v>
      </c>
      <c r="E1335" t="s">
        <v>1287</v>
      </c>
      <c r="F1335" t="s">
        <v>4144</v>
      </c>
      <c r="G1335" t="s">
        <v>6267</v>
      </c>
      <c r="H1335" t="s">
        <v>4145</v>
      </c>
    </row>
    <row r="1337" spans="1:9" x14ac:dyDescent="0.3">
      <c r="A1337" t="s">
        <v>4860</v>
      </c>
      <c r="B1337" t="s">
        <v>6470</v>
      </c>
      <c r="C1337" t="s">
        <v>2707</v>
      </c>
      <c r="D1337" t="s">
        <v>2707</v>
      </c>
      <c r="E1337" t="s">
        <v>1236</v>
      </c>
      <c r="F1337" t="s">
        <v>4860</v>
      </c>
      <c r="G1337" t="s">
        <v>6470</v>
      </c>
      <c r="H1337" t="s">
        <v>91</v>
      </c>
    </row>
    <row r="1338" spans="1:9" x14ac:dyDescent="0.3">
      <c r="A1338" t="s">
        <v>4882</v>
      </c>
      <c r="B1338" t="s">
        <v>6474</v>
      </c>
      <c r="C1338" t="s">
        <v>2707</v>
      </c>
      <c r="D1338" t="s">
        <v>2707</v>
      </c>
      <c r="E1338" t="s">
        <v>1236</v>
      </c>
      <c r="F1338" t="s">
        <v>4882</v>
      </c>
      <c r="G1338" t="s">
        <v>6474</v>
      </c>
      <c r="H1338" t="s">
        <v>136</v>
      </c>
    </row>
    <row r="1339" spans="1:9" x14ac:dyDescent="0.3">
      <c r="A1339" t="s">
        <v>4914</v>
      </c>
      <c r="B1339" t="s">
        <v>6481</v>
      </c>
      <c r="C1339" t="s">
        <v>2707</v>
      </c>
      <c r="D1339" t="s">
        <v>2707</v>
      </c>
      <c r="E1339" t="s">
        <v>1236</v>
      </c>
      <c r="F1339" t="s">
        <v>4914</v>
      </c>
      <c r="G1339" t="s">
        <v>6481</v>
      </c>
      <c r="H1339" t="s">
        <v>6577</v>
      </c>
    </row>
    <row r="1340" spans="1:9" x14ac:dyDescent="0.3">
      <c r="A1340" t="s">
        <v>4864</v>
      </c>
      <c r="B1340" t="s">
        <v>6471</v>
      </c>
      <c r="C1340" t="s">
        <v>2707</v>
      </c>
      <c r="D1340" t="s">
        <v>2707</v>
      </c>
      <c r="E1340" t="s">
        <v>1236</v>
      </c>
      <c r="F1340" t="s">
        <v>4864</v>
      </c>
      <c r="G1340" t="s">
        <v>6471</v>
      </c>
      <c r="H1340" t="s">
        <v>142</v>
      </c>
    </row>
    <row r="1341" spans="1:9" x14ac:dyDescent="0.3">
      <c r="A1341" t="s">
        <v>4856</v>
      </c>
      <c r="B1341" t="s">
        <v>6469</v>
      </c>
      <c r="C1341" t="s">
        <v>2707</v>
      </c>
      <c r="D1341" t="s">
        <v>2707</v>
      </c>
      <c r="E1341" t="s">
        <v>1236</v>
      </c>
      <c r="F1341" t="s">
        <v>4856</v>
      </c>
      <c r="G1341" t="s">
        <v>6469</v>
      </c>
      <c r="H1341" t="s">
        <v>136</v>
      </c>
    </row>
    <row r="1342" spans="1:9" x14ac:dyDescent="0.3">
      <c r="A1342" t="s">
        <v>4868</v>
      </c>
      <c r="B1342" t="s">
        <v>6472</v>
      </c>
      <c r="C1342" t="s">
        <v>2707</v>
      </c>
      <c r="D1342" t="s">
        <v>2707</v>
      </c>
      <c r="E1342" t="s">
        <v>1236</v>
      </c>
      <c r="F1342" t="s">
        <v>4868</v>
      </c>
      <c r="G1342" t="s">
        <v>6472</v>
      </c>
      <c r="H1342" t="s">
        <v>70</v>
      </c>
    </row>
    <row r="1343" spans="1:9" x14ac:dyDescent="0.3">
      <c r="A1343" t="s">
        <v>4879</v>
      </c>
      <c r="B1343" t="s">
        <v>6473</v>
      </c>
      <c r="C1343" t="s">
        <v>2707</v>
      </c>
      <c r="D1343" t="s">
        <v>2707</v>
      </c>
      <c r="E1343" t="s">
        <v>1236</v>
      </c>
      <c r="F1343" t="s">
        <v>4879</v>
      </c>
      <c r="G1343" t="s">
        <v>6473</v>
      </c>
      <c r="H1343" t="s">
        <v>85</v>
      </c>
    </row>
    <row r="1344" spans="1:9" x14ac:dyDescent="0.3">
      <c r="A1344" t="s">
        <v>4902</v>
      </c>
      <c r="B1344" t="s">
        <v>6478</v>
      </c>
      <c r="C1344" t="s">
        <v>2707</v>
      </c>
      <c r="D1344" t="s">
        <v>2707</v>
      </c>
      <c r="E1344" t="s">
        <v>1236</v>
      </c>
      <c r="F1344" t="s">
        <v>4902</v>
      </c>
      <c r="G1344" t="s">
        <v>6478</v>
      </c>
      <c r="H1344" t="s">
        <v>833</v>
      </c>
      <c r="I1344" t="s">
        <v>6578</v>
      </c>
    </row>
    <row r="1345" spans="1:8" x14ac:dyDescent="0.3">
      <c r="A1345" t="s">
        <v>4909</v>
      </c>
      <c r="B1345" t="s">
        <v>6480</v>
      </c>
      <c r="C1345" t="s">
        <v>2707</v>
      </c>
      <c r="D1345" t="s">
        <v>2707</v>
      </c>
      <c r="E1345" t="s">
        <v>1236</v>
      </c>
      <c r="F1345" t="s">
        <v>4909</v>
      </c>
      <c r="G1345" t="s">
        <v>6480</v>
      </c>
      <c r="H1345" t="s">
        <v>70</v>
      </c>
    </row>
    <row r="1346" spans="1:8" x14ac:dyDescent="0.3">
      <c r="A1346" t="s">
        <v>4890</v>
      </c>
      <c r="B1346" t="s">
        <v>6476</v>
      </c>
      <c r="C1346" t="s">
        <v>2707</v>
      </c>
      <c r="D1346" t="s">
        <v>2707</v>
      </c>
      <c r="E1346" t="s">
        <v>1236</v>
      </c>
      <c r="F1346" t="s">
        <v>4890</v>
      </c>
      <c r="G1346" t="s">
        <v>6476</v>
      </c>
      <c r="H1346" t="s">
        <v>833</v>
      </c>
    </row>
    <row r="1347" spans="1:8" x14ac:dyDescent="0.3">
      <c r="A1347" t="s">
        <v>4893</v>
      </c>
      <c r="B1347" t="s">
        <v>6477</v>
      </c>
      <c r="C1347" t="s">
        <v>2707</v>
      </c>
      <c r="D1347" t="s">
        <v>2707</v>
      </c>
      <c r="E1347" t="s">
        <v>1236</v>
      </c>
      <c r="F1347" t="s">
        <v>4893</v>
      </c>
      <c r="G1347" t="s">
        <v>6477</v>
      </c>
      <c r="H1347" t="s">
        <v>6577</v>
      </c>
    </row>
    <row r="1348" spans="1:8" x14ac:dyDescent="0.3">
      <c r="A1348" t="s">
        <v>4887</v>
      </c>
      <c r="B1348" t="s">
        <v>6475</v>
      </c>
      <c r="C1348" t="s">
        <v>2707</v>
      </c>
      <c r="D1348" t="s">
        <v>2707</v>
      </c>
      <c r="E1348" t="s">
        <v>1236</v>
      </c>
      <c r="F1348" t="s">
        <v>4887</v>
      </c>
      <c r="G1348" t="s">
        <v>6475</v>
      </c>
      <c r="H1348" t="s">
        <v>91</v>
      </c>
    </row>
    <row r="1349" spans="1:8" x14ac:dyDescent="0.3">
      <c r="A1349" t="s">
        <v>4906</v>
      </c>
      <c r="B1349" t="s">
        <v>6479</v>
      </c>
      <c r="C1349" t="s">
        <v>2707</v>
      </c>
      <c r="D1349" t="s">
        <v>2707</v>
      </c>
      <c r="E1349" t="s">
        <v>1236</v>
      </c>
      <c r="F1349" t="s">
        <v>4906</v>
      </c>
      <c r="G1349" t="s">
        <v>6479</v>
      </c>
      <c r="H1349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8246D3F7C2B47A494A339FDF5CC4A" ma:contentTypeVersion="18" ma:contentTypeDescription="Create a new document." ma:contentTypeScope="" ma:versionID="0ce096518759c6da43d5eeaaf714cf61">
  <xsd:schema xmlns:xsd="http://www.w3.org/2001/XMLSchema" xmlns:xs="http://www.w3.org/2001/XMLSchema" xmlns:p="http://schemas.microsoft.com/office/2006/metadata/properties" xmlns:ns2="7a436561-34c6-48a8-833e-99c650fd3fe3" xmlns:ns3="25475540-9773-43a3-8df6-094be5ca1716" targetNamespace="http://schemas.microsoft.com/office/2006/metadata/properties" ma:root="true" ma:fieldsID="836b862547399ebb80cc78f9563635b2" ns2:_="" ns3:_="">
    <xsd:import namespace="7a436561-34c6-48a8-833e-99c650fd3fe3"/>
    <xsd:import namespace="25475540-9773-43a3-8df6-094be5ca1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36561-34c6-48a8-833e-99c650fd3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321298-61a5-4500-88b3-c95152561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75540-9773-43a3-8df6-094be5ca17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a071af-2787-4fad-b13c-c768b2278048}" ma:internalName="TaxCatchAll" ma:showField="CatchAllData" ma:web="25475540-9773-43a3-8df6-094be5ca1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877BD4-EDB0-42C8-B723-7D7AF3FEE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36561-34c6-48a8-833e-99c650fd3fe3"/>
    <ds:schemaRef ds:uri="25475540-9773-43a3-8df6-094be5ca1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82B68E-8EFE-4B51-904E-412CC4CC79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A</vt:lpstr>
      <vt:lpstr>Table H</vt:lpstr>
      <vt:lpstr>Lookup 1961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Vaze</dc:creator>
  <cp:lastModifiedBy>Anthony Breach</cp:lastModifiedBy>
  <dcterms:created xsi:type="dcterms:W3CDTF">2024-06-05T07:06:39Z</dcterms:created>
  <dcterms:modified xsi:type="dcterms:W3CDTF">2024-08-27T11:45:02Z</dcterms:modified>
</cp:coreProperties>
</file>